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TFM\Evidencias\"/>
    </mc:Choice>
  </mc:AlternateContent>
  <xr:revisionPtr revIDLastSave="0" documentId="13_ncr:1_{209C46AA-6B25-4851-8ABE-411C939FDB65}" xr6:coauthVersionLast="47" xr6:coauthVersionMax="47" xr10:uidLastSave="{00000000-0000-0000-0000-000000000000}"/>
  <bookViews>
    <workbookView xWindow="-105" yWindow="0" windowWidth="14610" windowHeight="15585" firstSheet="5" activeTab="6" xr2:uid="{00000000-000D-0000-FFFF-FFFF00000000}"/>
  </bookViews>
  <sheets>
    <sheet name="00_Instrucciones" sheetId="16" r:id="rId1"/>
    <sheet name="01_Seleccion_Tecnicas" sheetId="1" r:id="rId2"/>
    <sheet name="02_Operaciones_Benignas" sheetId="2" r:id="rId3"/>
    <sheet name="03_Evaluacion_VR" sheetId="3" r:id="rId4"/>
    <sheet name="04_Resumen" sheetId="4" r:id="rId5"/>
    <sheet name="05_Datos_Graficos" sheetId="9" r:id="rId6"/>
    <sheet name="06_Control_Pruebas" sheetId="13" r:id="rId7"/>
    <sheet name="07_Catalogo_Artifacts" sheetId="14" r:id="rId8"/>
    <sheet name="08_Matriz_Resultados" sheetId="15" r:id="rId9"/>
    <sheet name="09_Resumen" sheetId="17" r:id="rId10"/>
    <sheet name="10_Graficos_técnicas" sheetId="8" r:id="rId11"/>
    <sheet name="99_Leyenda" sheetId="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7" l="1"/>
  <c r="B5" i="17"/>
  <c r="B11" i="17" s="1"/>
  <c r="B7" i="17"/>
  <c r="B8" i="17"/>
  <c r="B9" i="17"/>
  <c r="B10" i="17"/>
  <c r="B14" i="17"/>
  <c r="C14" i="17"/>
  <c r="B15" i="17"/>
  <c r="C15" i="17"/>
  <c r="B16" i="17"/>
  <c r="C16" i="17"/>
  <c r="B17" i="17"/>
  <c r="C17" i="17"/>
  <c r="B18" i="17"/>
  <c r="C18" i="17"/>
  <c r="Q44" i="4"/>
  <c r="I44" i="4"/>
  <c r="J44" i="4"/>
  <c r="C44" i="4"/>
  <c r="K43" i="4"/>
  <c r="J43" i="4"/>
  <c r="C43" i="4"/>
  <c r="K42" i="4"/>
  <c r="J42" i="4"/>
  <c r="C42" i="4"/>
  <c r="Q41" i="4"/>
  <c r="I41" i="4"/>
  <c r="J41" i="4"/>
  <c r="C41" i="4"/>
  <c r="K40" i="4"/>
  <c r="J40" i="4"/>
  <c r="C40" i="4"/>
  <c r="K39" i="4"/>
  <c r="J39" i="4"/>
  <c r="C39" i="4"/>
  <c r="K38" i="4"/>
  <c r="J38" i="4"/>
  <c r="C38" i="4"/>
  <c r="K37" i="4"/>
  <c r="J37" i="4"/>
  <c r="C37" i="4"/>
  <c r="K36" i="4"/>
  <c r="C36" i="4"/>
  <c r="K35" i="4"/>
  <c r="J35" i="4"/>
  <c r="C35" i="4"/>
  <c r="K34" i="4"/>
  <c r="J34" i="4"/>
  <c r="C34" i="4"/>
  <c r="K33" i="4"/>
  <c r="J33" i="4"/>
  <c r="C33" i="4"/>
  <c r="K32" i="4"/>
  <c r="J32" i="4"/>
  <c r="C32" i="4"/>
  <c r="K31" i="4"/>
  <c r="J31" i="4"/>
  <c r="C31" i="4"/>
  <c r="K30" i="4"/>
  <c r="J30" i="4"/>
  <c r="C30" i="4"/>
  <c r="K29" i="4"/>
  <c r="J29" i="4"/>
  <c r="C29" i="4"/>
  <c r="K28" i="4"/>
  <c r="J28" i="4"/>
  <c r="C28" i="4"/>
  <c r="K27" i="4"/>
  <c r="J27" i="4"/>
  <c r="C27" i="4"/>
  <c r="K26" i="4"/>
  <c r="J26" i="4"/>
  <c r="C26" i="4"/>
  <c r="J25" i="4"/>
  <c r="C25" i="4"/>
  <c r="K24" i="4"/>
  <c r="J24" i="4"/>
  <c r="C24" i="4"/>
  <c r="Q23" i="4"/>
  <c r="K23" i="4"/>
  <c r="J23" i="4"/>
  <c r="C23" i="4"/>
  <c r="K22" i="4"/>
  <c r="J22" i="4"/>
  <c r="C22" i="4"/>
  <c r="K21" i="4"/>
  <c r="J21" i="4"/>
  <c r="A10" i="3"/>
  <c r="A9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8" i="3"/>
  <c r="A7" i="3"/>
  <c r="A6" i="3"/>
  <c r="A5" i="3"/>
  <c r="A4" i="3"/>
  <c r="A3" i="3"/>
  <c r="A2" i="3"/>
  <c r="A2" i="2" a="1"/>
  <c r="A2" i="2" s="1"/>
  <c r="A8" i="1" a="1"/>
  <c r="A8" i="1" s="1"/>
  <c r="A7" i="1" a="1"/>
  <c r="A7" i="1" s="1"/>
  <c r="A6" i="1" a="1"/>
  <c r="A6" i="1" s="1"/>
  <c r="A5" i="1" a="1"/>
  <c r="A5" i="1" s="1"/>
  <c r="A4" i="1" a="1"/>
  <c r="A4" i="1" s="1"/>
  <c r="A3" i="1" a="1"/>
  <c r="A3" i="1" s="1"/>
  <c r="A2" i="1" a="1"/>
  <c r="A2" i="1" s="1"/>
  <c r="B6" i="17" l="1"/>
  <c r="Q39" i="4"/>
  <c r="I25" i="4"/>
  <c r="Q31" i="4"/>
  <c r="Q34" i="4"/>
  <c r="Q24" i="4"/>
  <c r="Q21" i="4"/>
  <c r="Q37" i="4"/>
  <c r="Q25" i="4"/>
  <c r="Q35" i="4"/>
  <c r="I28" i="4"/>
  <c r="P28" i="4" s="1"/>
  <c r="Q30" i="4"/>
  <c r="I36" i="4"/>
  <c r="P36" i="4" s="1"/>
  <c r="Q33" i="4"/>
  <c r="Q26" i="4"/>
  <c r="Q27" i="4"/>
  <c r="Q36" i="4"/>
  <c r="Q29" i="4"/>
  <c r="J36" i="4"/>
  <c r="Q40" i="4"/>
  <c r="Q43" i="4"/>
  <c r="I24" i="4"/>
  <c r="M24" i="4" s="1"/>
  <c r="K25" i="4"/>
  <c r="I40" i="4"/>
  <c r="L40" i="4" s="1"/>
  <c r="K41" i="4"/>
  <c r="I29" i="4"/>
  <c r="M29" i="4" s="1"/>
  <c r="Q28" i="4"/>
  <c r="I33" i="4"/>
  <c r="L33" i="4" s="1"/>
  <c r="Q32" i="4"/>
  <c r="K44" i="4"/>
  <c r="I32" i="4"/>
  <c r="L32" i="4" s="1"/>
  <c r="Q38" i="4"/>
  <c r="Q22" i="4"/>
  <c r="I21" i="4"/>
  <c r="L21" i="4" s="1"/>
  <c r="I37" i="4"/>
  <c r="O37" i="4" s="1"/>
  <c r="Q42" i="4"/>
  <c r="P44" i="4"/>
  <c r="O44" i="4"/>
  <c r="N44" i="4"/>
  <c r="M44" i="4"/>
  <c r="L44" i="4"/>
  <c r="L25" i="4"/>
  <c r="P25" i="4"/>
  <c r="M25" i="4"/>
  <c r="O25" i="4"/>
  <c r="N25" i="4"/>
  <c r="M37" i="4"/>
  <c r="L41" i="4"/>
  <c r="P41" i="4"/>
  <c r="M41" i="4"/>
  <c r="O41" i="4"/>
  <c r="N41" i="4"/>
  <c r="C21" i="4"/>
  <c r="I23" i="4"/>
  <c r="I27" i="4"/>
  <c r="I31" i="4"/>
  <c r="I35" i="4"/>
  <c r="I39" i="4"/>
  <c r="I43" i="4"/>
  <c r="I22" i="4"/>
  <c r="I26" i="4"/>
  <c r="I30" i="4"/>
  <c r="I34" i="4"/>
  <c r="O36" i="4"/>
  <c r="I38" i="4"/>
  <c r="I42" i="4"/>
  <c r="M36" i="4" l="1"/>
  <c r="L36" i="4"/>
  <c r="L29" i="4"/>
  <c r="M28" i="4"/>
  <c r="N28" i="4"/>
  <c r="O28" i="4"/>
  <c r="L28" i="4"/>
  <c r="O24" i="4"/>
  <c r="L24" i="4"/>
  <c r="N37" i="4"/>
  <c r="O29" i="4"/>
  <c r="M32" i="4"/>
  <c r="P29" i="4"/>
  <c r="O40" i="4"/>
  <c r="O32" i="4"/>
  <c r="N36" i="4"/>
  <c r="P37" i="4"/>
  <c r="L37" i="4"/>
  <c r="M21" i="4"/>
  <c r="N21" i="4"/>
  <c r="O21" i="4"/>
  <c r="P21" i="4"/>
  <c r="O33" i="4"/>
  <c r="N29" i="4"/>
  <c r="P40" i="4"/>
  <c r="N40" i="4"/>
  <c r="N33" i="4"/>
  <c r="M40" i="4"/>
  <c r="M33" i="4"/>
  <c r="P24" i="4"/>
  <c r="N24" i="4"/>
  <c r="P33" i="4"/>
  <c r="P32" i="4"/>
  <c r="N32" i="4"/>
  <c r="O30" i="4"/>
  <c r="M30" i="4"/>
  <c r="N30" i="4"/>
  <c r="L30" i="4"/>
  <c r="P30" i="4"/>
  <c r="P39" i="4"/>
  <c r="O39" i="4"/>
  <c r="N39" i="4"/>
  <c r="M39" i="4"/>
  <c r="L39" i="4"/>
  <c r="O26" i="4"/>
  <c r="N26" i="4"/>
  <c r="M26" i="4"/>
  <c r="L26" i="4"/>
  <c r="P26" i="4"/>
  <c r="P35" i="4"/>
  <c r="O35" i="4"/>
  <c r="N35" i="4"/>
  <c r="M35" i="4"/>
  <c r="L35" i="4"/>
  <c r="O22" i="4"/>
  <c r="M22" i="4"/>
  <c r="L22" i="4"/>
  <c r="N22" i="4"/>
  <c r="P22" i="4"/>
  <c r="P31" i="4"/>
  <c r="O31" i="4"/>
  <c r="N31" i="4"/>
  <c r="M31" i="4"/>
  <c r="L31" i="4"/>
  <c r="O42" i="4"/>
  <c r="N42" i="4"/>
  <c r="M42" i="4"/>
  <c r="L42" i="4"/>
  <c r="P42" i="4"/>
  <c r="P27" i="4"/>
  <c r="O27" i="4"/>
  <c r="N27" i="4"/>
  <c r="M27" i="4"/>
  <c r="L27" i="4"/>
  <c r="O38" i="4"/>
  <c r="N38" i="4"/>
  <c r="M38" i="4"/>
  <c r="L38" i="4"/>
  <c r="P38" i="4"/>
  <c r="P23" i="4"/>
  <c r="O23" i="4"/>
  <c r="N23" i="4"/>
  <c r="M23" i="4"/>
  <c r="L23" i="4"/>
  <c r="O34" i="4"/>
  <c r="M34" i="4"/>
  <c r="L34" i="4"/>
  <c r="N34" i="4"/>
  <c r="P34" i="4"/>
  <c r="P43" i="4"/>
  <c r="O43" i="4"/>
  <c r="N43" i="4"/>
  <c r="M43" i="4"/>
  <c r="L43" i="4"/>
  <c r="B14" i="4"/>
  <c r="B6" i="4"/>
  <c r="B5" i="4"/>
  <c r="B9" i="4" l="1"/>
  <c r="B12" i="4" s="1"/>
  <c r="B10" i="4"/>
  <c r="B7" i="4"/>
  <c r="B8" i="4"/>
  <c r="B11" i="4" l="1"/>
  <c r="B4" i="4" l="1"/>
  <c r="B41" i="8" l="1"/>
  <c r="B13" i="4"/>
  <c r="B15" i="4"/>
  <c r="B38" i="8"/>
  <c r="B39" i="8"/>
  <c r="B40" i="8"/>
  <c r="B42" i="8" l="1"/>
</calcChain>
</file>

<file path=xl/sharedStrings.xml><?xml version="1.0" encoding="utf-8"?>
<sst xmlns="http://schemas.openxmlformats.org/spreadsheetml/2006/main" count="2430" uniqueCount="923">
  <si>
    <t>ID_Tecnica_Interna</t>
  </si>
  <si>
    <t>Táctica_MITRE</t>
  </si>
  <si>
    <t>ID_Táctica</t>
  </si>
  <si>
    <t>Técnica_MITRE</t>
  </si>
  <si>
    <t>ID_Técnica</t>
  </si>
  <si>
    <t>Subtécnica</t>
  </si>
  <si>
    <t>ID_Subtécnica</t>
  </si>
  <si>
    <t>Descripción</t>
  </si>
  <si>
    <t>Justificación_selección</t>
  </si>
  <si>
    <t>Observable_en_HOST</t>
  </si>
  <si>
    <t>Tipo_de_Evidencia_Host_Esperada</t>
  </si>
  <si>
    <t>Procedimiento_de_Prueba</t>
  </si>
  <si>
    <t>Criterio_de_Éxito</t>
  </si>
  <si>
    <t>Notas_Tecnicas</t>
  </si>
  <si>
    <t>Enlace_Referencia</t>
  </si>
  <si>
    <t>Execution</t>
  </si>
  <si>
    <t>TA0002</t>
  </si>
  <si>
    <t>Command and Scripting Interpreter</t>
  </si>
  <si>
    <t>T1059</t>
  </si>
  <si>
    <t>PowerShell</t>
  </si>
  <si>
    <t>T1059.001</t>
  </si>
  <si>
    <t>Ejecución de comandos o scripts mediante PowerShell.</t>
  </si>
  <si>
    <t>Muy frecuente, muy visible en host y perfecta para una primera prueba.</t>
  </si>
  <si>
    <t>Sí</t>
  </si>
  <si>
    <t>Process Create</t>
  </si>
  <si>
    <t>Ejecutar powershell.exe con un script benigno local y parámetros visibles.</t>
  </si>
  <si>
    <t>Ver powershell.exe con Image, ParentImage y CommandLine coherentes.</t>
  </si>
  <si>
    <t>Empezar sin ofuscación; luego hacer una variante con argumentos más sospechosos.</t>
  </si>
  <si>
    <t>https://attack.mitre.org/techniques/T1059/001/</t>
  </si>
  <si>
    <t>Windows Command Shell</t>
  </si>
  <si>
    <t>T1059.003</t>
  </si>
  <si>
    <t>Ejecución de comandos a través de cmd.exe.</t>
  </si>
  <si>
    <t>Muy simple de probar y muy trazable.</t>
  </si>
  <si>
    <t>Lanzar cmd.exe con comandos benignos de prueba.</t>
  </si>
  <si>
    <t>Ver cmd.exe y su línea de comandos completa.</t>
  </si>
  <si>
    <t>Buena como baseline antes de PowerShell más complejo.</t>
  </si>
  <si>
    <t>https://attack.mitre.org/techniques/T1059/003</t>
  </si>
  <si>
    <t>Persistence</t>
  </si>
  <si>
    <t>TA0003</t>
  </si>
  <si>
    <t>Scheduled Task/Job</t>
  </si>
  <si>
    <t>T1053</t>
  </si>
  <si>
    <t>Scheduled Task</t>
  </si>
  <si>
    <t>T1053.005</t>
  </si>
  <si>
    <t>Creación de una tarea programada para ejecutar un binario o script.</t>
  </si>
  <si>
    <t>Muy típica y fácil de reproducir de forma benigna.</t>
  </si>
  <si>
    <t>Crear una tarea programada que ejecute una acción benigna y forzar su ejecución.</t>
  </si>
  <si>
    <r>
      <t xml:space="preserve">Ver </t>
    </r>
    <r>
      <rPr>
        <sz val="10"/>
        <color theme="1"/>
        <rFont val="Arial Unicode MS"/>
      </rPr>
      <t>schtasks.exe</t>
    </r>
    <r>
      <rPr>
        <sz val="11"/>
        <color theme="1"/>
        <rFont val="Aptos Narrow"/>
        <family val="2"/>
        <scheme val="minor"/>
      </rPr>
      <t xml:space="preserve"> y posteriormente el proceso lanzado por la tarea.</t>
    </r>
  </si>
  <si>
    <t>Técnica multiuso; aquí la modelas como persistencia.</t>
  </si>
  <si>
    <t>https://attack.mitre.org/techniques/T1053/005</t>
  </si>
  <si>
    <t>Boot or Logon Autostart Execution</t>
  </si>
  <si>
    <t>T1547</t>
  </si>
  <si>
    <t>Registry Run Keys / Startup Folder - HKCU Run</t>
  </si>
  <si>
    <t>T1547.001</t>
  </si>
  <si>
    <t>Persistencia mediante clave Run o carpeta de inicio.</t>
  </si>
  <si>
    <t>Clásica, muy justificable y con evidencia clara en registro.</t>
  </si>
  <si>
    <t>Regisitry</t>
  </si>
  <si>
    <t>Crear una clave Run de prueba o usar Startup con un payload benigno.</t>
  </si>
  <si>
    <t>Ver evento de modificación de registro y, si aplica, la ejecución posterior al logon.</t>
  </si>
  <si>
    <t>Empezar por HKCU, no por HKLM.</t>
  </si>
  <si>
    <t>https://attack.mitre.org/techniques/T1547/001</t>
  </si>
  <si>
    <t>System Services</t>
  </si>
  <si>
    <t>T1569</t>
  </si>
  <si>
    <t>Service Execution</t>
  </si>
  <si>
    <t>T1569.002</t>
  </si>
  <si>
    <t>Ejecución de contenido a través de un servicio de Windows.</t>
  </si>
  <si>
    <t>Muy representativa y bastante simple.</t>
  </si>
  <si>
    <t>Service</t>
  </si>
  <si>
    <t>Crear o modificar un servicio benigno y arrancarlo.</t>
  </si>
  <si>
    <t>Ver creación/modificación y arranque del servicio, además del proceso hijo.</t>
  </si>
  <si>
    <t>Mejor usar un servicio temporal de prueba y borrarlo al final.</t>
  </si>
  <si>
    <t>https://attack.mitre.org/techniques/T1569/002</t>
  </si>
  <si>
    <t>Discovery</t>
  </si>
  <si>
    <t>TA0007</t>
  </si>
  <si>
    <t>Software Discovery</t>
  </si>
  <si>
    <t>T1518</t>
  </si>
  <si>
    <t>Security Software Discovery</t>
  </si>
  <si>
    <t>T1518.001</t>
  </si>
  <si>
    <t>Enumeración de software de seguridad o herramientas defensivas instaladas.</t>
  </si>
  <si>
    <t>Muy relevante antes de evasión y muy asumible en primeras pruebas.</t>
  </si>
  <si>
    <t>Ejecutar una consulta benigna para listar AV, EDR o sensores instalados.</t>
  </si>
  <si>
    <t>Ver el proceso de consulta y su línea de comandos.</t>
  </si>
  <si>
    <t>Aquí solo discovery, sin desactivar nada.</t>
  </si>
  <si>
    <t>https://attack.mitre.org/techniques/T1518/001</t>
  </si>
  <si>
    <t>Impact</t>
  </si>
  <si>
    <t>TA0040</t>
  </si>
  <si>
    <t>Data Encrypted for Impact</t>
  </si>
  <si>
    <t>T1486</t>
  </si>
  <si>
    <t>N/A</t>
  </si>
  <si>
    <t>Cifrado de ficheros para interrumpir la disponibilidad de la información.</t>
  </si>
  <si>
    <t>Técnica núcleo del foco ransomware del TFM.</t>
  </si>
  <si>
    <t>Multiple</t>
  </si>
  <si>
    <t>Usar un simulador benigno que cifre o renombre solo archivos dummy en una carpeta de laboratorio.</t>
  </si>
  <si>
    <t>Ver el proceso lanzado y actividad anómala concentrada sobre la carpeta de prueba.</t>
  </si>
  <si>
    <t>Siempre con snapshot previo; nunca sobre datos reales.</t>
  </si>
  <si>
    <t>https://attack.mitre.org/techniques/T1486/</t>
  </si>
  <si>
    <t>ID_Operación_Benigna</t>
  </si>
  <si>
    <t>Operación benigna</t>
  </si>
  <si>
    <t>Código_usado</t>
  </si>
  <si>
    <t>PowerShell administrativo básico</t>
  </si>
  <si>
    <t>Ejecución de PowerShell para consultar fecha y procesos, sin flags sospechosos ni marcadores TFM/TEC.</t>
  </si>
  <si>
    <t>Permite comprobar que el artifact no alerta por cualquier ejecución legítima de PowerShell.</t>
  </si>
  <si>
    <t>Sí: powershell.exe</t>
  </si>
  <si>
    <t>Sysmon Event ID 1 - ProcessCreation</t>
  </si>
  <si>
    <t>Ejecutar PowerShell con una consulta administrativa básica.</t>
  </si>
  <si>
    <t>La operación genera telemetría host, pero no alerta CU-TFM-001.</t>
  </si>
  <si>
    <t>Caso benigno de referencia para diferenciar uso administrativo de PowerShell frente a ejecución sospechosa con bypass, encodedcommand o marcadores de laboratorio.</t>
  </si>
  <si>
    <t>powershell.exe -Command "Get-Date; Get-Process | Select-Object -First 5"</t>
  </si>
  <si>
    <t>OB-002</t>
  </si>
  <si>
    <t>PowerShell con consulta de sistema</t>
  </si>
  <si>
    <t>Consulta información básica del sistema operativo mediante Get-CimInstance.</t>
  </si>
  <si>
    <t>Permite validar que una consulta WMI/CIM genérica no se confunde con descubrimiento de software de seguridad.</t>
  </si>
  <si>
    <t>Ejecutar una consulta CIM sobre Win32_OperatingSystem.</t>
  </si>
  <si>
    <t>No debe generar alerta CU-TFM-006.</t>
  </si>
  <si>
    <t>Tras el ajuste, TEC-006 solo debe alertar si aparece SecurityCenter2 o AntivirusProduct.</t>
  </si>
  <si>
    <t>powershell.exe -Command "Get-CimInstance Win32_OperatingSystem | Select-Object Caption,Version"</t>
  </si>
  <si>
    <t>OB-003</t>
  </si>
  <si>
    <t>CMD benigno simple</t>
  </si>
  <si>
    <t>Ejecución de cmd.exe /c para crear un fichero de texto sin marcadores TEC.</t>
  </si>
  <si>
    <t>Valida que no se alerta cualquier uso de cmd.exe.</t>
  </si>
  <si>
    <t>Sí: cmd.exe</t>
  </si>
  <si>
    <t>Sysmon Event ID 1 - ProcessCreation; posible Event ID 11 - FileCreate</t>
  </si>
  <si>
    <t>Crear un fichero benigno en C:\Users\Public.</t>
  </si>
  <si>
    <t>No debe generar alerta CU-TFM-002.</t>
  </si>
  <si>
    <t>No incluye TFM_CMD_TEST, TEC002_OK ni otros marcadores de laboratorio.</t>
  </si>
  <si>
    <t>cmd.exe /c echo prueba benigna &gt; C:\Users\Public\benigno_cmd.txt</t>
  </si>
  <si>
    <t>OB-004</t>
  </si>
  <si>
    <t>Consulta de directorio con CMD</t>
  </si>
  <si>
    <t>Listado de archivos mediante dir.</t>
  </si>
  <si>
    <t>Representa una operación normal de usuario o administración básica.</t>
  </si>
  <si>
    <t>Ejecutar un listado de directorio sobre C:\Users\Public.</t>
  </si>
  <si>
    <t>Comprueba que el uso de cmd.exe /c por sí solo no dispara la regla.</t>
  </si>
  <si>
    <t>cmd.exe /c dir C:\Users\Public</t>
  </si>
  <si>
    <t>OB-005</t>
  </si>
  <si>
    <t>Consulta de tareas programadas</t>
  </si>
  <si>
    <t>Enumeración de tareas existentes mediante schtasks /query.</t>
  </si>
  <si>
    <t>Distingue consulta legítima de creación o manipulación de tareas programadas.</t>
  </si>
  <si>
    <t>Sí: schtasks.exe</t>
  </si>
  <si>
    <t>Ejecutar una consulta de tareas programadas.</t>
  </si>
  <si>
    <t>No debe generar alerta CU-TFM-003.</t>
  </si>
  <si>
    <t>La consulta pasiva no representa ejecución ni persistencia.</t>
  </si>
  <si>
    <t>schtasks /query /fo LIST</t>
  </si>
  <si>
    <t>OB-006</t>
  </si>
  <si>
    <t>Creación de tarea programada benigna</t>
  </si>
  <si>
    <t>Crea y elimina una tarea programada benigna sin marcadores TFM.</t>
  </si>
  <si>
    <t>Prueba actividad dual-use real: puede ser administración legítima o persistencia maliciosa.</t>
  </si>
  <si>
    <t>Crear y eliminar una tarea programada benigna.</t>
  </si>
  <si>
    <t>Puede generar alerta CU-TFM-003; si alerta, se clasifica como falso positivo controlado o dual-use esperable.</t>
  </si>
  <si>
    <t>Se mantiene como detección amplia porque schtasks /create y /delete son relevantes en contexto SOC.</t>
  </si>
  <si>
    <t>schtasks /create /tn "Benign_Update_Check" /tr "cmd.exe /c echo benigno &gt; C:\Users\Public\benign_task.txt" /sc once /st 23:59 &amp;&amp; schtasks /delete /tn "Benign_Update_Check" /f</t>
  </si>
  <si>
    <t>OB-007</t>
  </si>
  <si>
    <t>Consulta de Run Keys</t>
  </si>
  <si>
    <t>Consulta pasiva de claves Run del registro sin modificación.</t>
  </si>
  <si>
    <t>Diferencia enumeración legítima de persistencia mediante modificación de Run Keys.</t>
  </si>
  <si>
    <t>Sí: reg.exe</t>
  </si>
  <si>
    <t>Ejecutar reg query sobre HKCU\Software\Microsoft\Windows\CurrentVersion\Run.</t>
  </si>
  <si>
    <t>No debe generar alerta CU-TFM-004.</t>
  </si>
  <si>
    <t>Tras el ajuste, TEC-004 debe alertar solo ante add/delete, no ante query.</t>
  </si>
  <si>
    <t>reg query "HKCU\Software\Microsoft\Windows\CurrentVersion\Run"</t>
  </si>
  <si>
    <t>OB-008</t>
  </si>
  <si>
    <t>Modificación benigna de clave no persistente</t>
  </si>
  <si>
    <t>Crea y elimina una clave de registro no relacionada con Run.</t>
  </si>
  <si>
    <t>Comprueba que la regla de persistencia no detecta cualquier modificación del registro.</t>
  </si>
  <si>
    <t>Crear y eliminar una clave HKCU\Software\TFM_Benigno.</t>
  </si>
  <si>
    <t>Aunque aparece TFM en la ruta, no afecta a CurrentVersion\Run, por lo que no debería mapear a T1547.001.</t>
  </si>
  <si>
    <t>reg add HKCU\Software\TFM_Benigno /v Test /t REG_SZ /d benigno /f &amp;&amp; reg delete HKCU\Software\TFM_Benigno /f</t>
  </si>
  <si>
    <t>OB-009</t>
  </si>
  <si>
    <t>Consulta de servicio Windows</t>
  </si>
  <si>
    <t>Consulta el estado de un servicio legítimo del sistema.</t>
  </si>
  <si>
    <t>Valida que no se detecta cualquier uso de sc.exe.</t>
  </si>
  <si>
    <t>Sí: sc.exe</t>
  </si>
  <si>
    <t>Ejecutar sc query sobre Spooler.</t>
  </si>
  <si>
    <t>No debe generar alerta CU-TFM-005.</t>
  </si>
  <si>
    <t>La consulta de servicio no implica creación ni ejecución de servicio.</t>
  </si>
  <si>
    <t>sc query Spooler</t>
  </si>
  <si>
    <t>OB-010</t>
  </si>
  <si>
    <t>Consulta de servicio Windows Update</t>
  </si>
  <si>
    <t>Consulta el estado del servicio wuauserv sin modificarlo.</t>
  </si>
  <si>
    <t>Comprueba que operaciones administrativas pasivas sobre servicios no se clasifican como T1569.002.</t>
  </si>
  <si>
    <t>Ejecutar sc query sobre wuauserv.</t>
  </si>
  <si>
    <t>Se evita parar o arrancar servicios para no alterar el sistema.</t>
  </si>
  <si>
    <t>sc query wuauserv</t>
  </si>
  <si>
    <t>OB-011</t>
  </si>
  <si>
    <t>Consulta WMI no sensible</t>
  </si>
  <si>
    <t>Consulta WMI genérica sobre el sistema operativo mediante wmic.</t>
  </si>
  <si>
    <t>Diferencia WMI administrativo de descubrimiento de antivirus o software de seguridad.</t>
  </si>
  <si>
    <t>Sí: wmic.exe</t>
  </si>
  <si>
    <t>Ejecutar wmic os get Caption,Version.</t>
  </si>
  <si>
    <t>Tras el ajuste, TEC-006 debe requerir SecurityCenter2 o AntivirusProduct.</t>
  </si>
  <si>
    <t>wmic os get Caption,Version</t>
  </si>
  <si>
    <t>OB-012</t>
  </si>
  <si>
    <t>Creación de archivos .txt</t>
  </si>
  <si>
    <t>Crea varios ficheros de texto no cifrados.</t>
  </si>
  <si>
    <t>Distingue actividad normal de escritura de archivos frente a creación de artefactos cifrados tipo ransomware.</t>
  </si>
  <si>
    <t>Sí: cmd.exe; creación de .txt</t>
  </si>
  <si>
    <t>Crear una carpeta y varios archivos .txt en C:\Users\Public.</t>
  </si>
  <si>
    <t>No debe generar alerta CU-TFM-007.</t>
  </si>
  <si>
    <t>No se usa extensión .aes ni rutas TEC-007_LAB/Ransomware.</t>
  </si>
  <si>
    <t>cmd.exe /c mkdir C:\Users\Public\benign_files &amp; echo test &gt; C:\Users\Public\benign_files\file1.txt &amp; echo test &gt; C:\Users\Public\benign_files\file2.txt</t>
  </si>
  <si>
    <t>OB-013</t>
  </si>
  <si>
    <t>Copia de archivos</t>
  </si>
  <si>
    <t>Copia un fichero benigno a una carpeta de respaldo no asociada al laboratorio ransomware.</t>
  </si>
  <si>
    <t>Simula una operación normal de usuario o backup sin cifrado ni extensión sospechosa.</t>
  </si>
  <si>
    <t>Sí: cmd.exe; copy; creación en destino</t>
  </si>
  <si>
    <t>Copiar file1.txt a una carpeta benign_backup.</t>
  </si>
  <si>
    <t>Evita rutas Ransomware, TEC-007_LAB y extensión .aes para medir falsos positivos.</t>
  </si>
  <si>
    <t>cmd.exe /c mkdir C:\Users\Public\benign_backup &amp; copy C:\Users\Public\benign_files\file1.txt C:\Users\Public\benign_backup\file1_copy.txt</t>
  </si>
  <si>
    <t>OB-014</t>
  </si>
  <si>
    <t>Borrado de archivo benigno</t>
  </si>
  <si>
    <t>Elimina un archivo .txt normal previamente creado.</t>
  </si>
  <si>
    <t>Comprueba que un borrado benigno no se confunde con comportamiento ransomware.</t>
  </si>
  <si>
    <t>Sí: cmd.exe; del</t>
  </si>
  <si>
    <t>Sysmon Event ID 1 - ProcessCreation; posible Event ID 23/26 - FileDelete</t>
  </si>
  <si>
    <t>Eliminar file1_copy.txt.</t>
  </si>
  <si>
    <t>No se borra extensión .aes ni archivo asociado al laboratorio ransomware.</t>
  </si>
  <si>
    <t>cmd.exe /c del C:\Users\Public\benign_backup\file1_copy.txt</t>
  </si>
  <si>
    <t>OB-015</t>
  </si>
  <si>
    <t>Creación de archivo con extensión no .aes</t>
  </si>
  <si>
    <t>Crea un archivo .bak benigno.</t>
  </si>
  <si>
    <t>Verifica que la detección no alerta por cualquier extensión distinta a .txt.</t>
  </si>
  <si>
    <t>Sí: cmd.exe; creación de .bak</t>
  </si>
  <si>
    <t>Crear un archivo file1.bak en carpeta benigna.</t>
  </si>
  <si>
    <t>Valida que la regla ransomware se centra en .aes y marcadores/rutas controladas.</t>
  </si>
  <si>
    <t>cmd.exe /c echo backup &gt; C:\Users\Public\benign_files\file1.bak</t>
  </si>
  <si>
    <t>ID_Prueba</t>
  </si>
  <si>
    <t>ID_Interna</t>
  </si>
  <si>
    <t>Evidencia_Host_Observada</t>
  </si>
  <si>
    <t>Escenario_Prueba</t>
  </si>
  <si>
    <t>VM_Snapshot_ID</t>
  </si>
  <si>
    <t>Version_Velociraptor</t>
  </si>
  <si>
    <t>Artefacto_VR_Usado</t>
  </si>
  <si>
    <t>Tipo_Artefacto</t>
  </si>
  <si>
    <t>Modo_Ejecución</t>
  </si>
  <si>
    <t>Resultado_Detección</t>
  </si>
  <si>
    <t>Ground_Truth</t>
  </si>
  <si>
    <t>Clasificacion_Resultado</t>
  </si>
  <si>
    <t>Resumen_Evidencia</t>
  </si>
  <si>
    <t>Tiempo_Hasta_Evidencia</t>
  </si>
  <si>
    <t>Replicable</t>
  </si>
  <si>
    <t>Ref_Captura_Log_Anexo</t>
  </si>
  <si>
    <t>Fuente_Telemetria_Host</t>
  </si>
  <si>
    <t>Deteccion_VR_OK</t>
  </si>
  <si>
    <t>Comentario</t>
  </si>
  <si>
    <t>TEC-001</t>
  </si>
  <si>
    <r>
      <t xml:space="preserve">EventID 1 (Process Create) con </t>
    </r>
    <r>
      <rPr>
        <sz val="11"/>
        <color theme="1"/>
        <rFont val="Aptos Narrow"/>
        <family val="2"/>
        <scheme val="minor"/>
      </rPr>
      <t>Image = powershell.exe, CommandLine = powershell.exe -NoProfile -ExecutionPolicy Bypass -File prueba_ps.ps1 y ParentImage = cmd.exe</t>
    </r>
  </si>
  <si>
    <t>Ejecución controlada de script benigno local mediante PowerShell</t>
  </si>
  <si>
    <t>02_VR_Con_Artifacts_Funcionando</t>
  </si>
  <si>
    <t>0.75.6</t>
  </si>
  <si>
    <t>Custom.TFM.Alert.Process/Sysmon_Process_File_UseCases</t>
  </si>
  <si>
    <t>Event artifact</t>
  </si>
  <si>
    <t>Client Event</t>
  </si>
  <si>
    <t>Detectado</t>
  </si>
  <si>
    <t>Positivo</t>
  </si>
  <si>
    <t>verdadero positivo</t>
  </si>
  <si>
    <t>Velociraptor mostró un evento Sysmon del canal Microsoft-Windows-Sysmon/Operational con EventID = 1, donde se observó la ejecución de powershell.exe, su línea de comandos y el proceso padre cmd.exe</t>
  </si>
  <si>
    <t>&lt;5 min</t>
  </si>
  <si>
    <t>Resultado_TEC-001.png</t>
  </si>
  <si>
    <t>Windows.EventLogs.Evtx</t>
  </si>
  <si>
    <r>
      <t xml:space="preserve">La detección es válida, pero en este artifact la información útil aparece embebida en </t>
    </r>
    <r>
      <rPr>
        <sz val="11"/>
        <color theme="1"/>
        <rFont val="Aptos Narrow"/>
        <family val="2"/>
        <scheme val="minor"/>
      </rPr>
      <t>Message, no en columnas separadas</t>
    </r>
  </si>
  <si>
    <t>TEC-002</t>
  </si>
  <si>
    <t>Proceso cmd.exe con CommandLine conteniendo el marcador TEC002_OK; ParentCommandLine asociado a C:\Windows\Explorer.EXE; aparición coherente de procesos hijo como conhost.exe y timeout.exe.</t>
  </si>
  <si>
    <t>Ejecución benigna controlada de cmd.exe para crear un fichero temporal mediante echo, incluyendo una variante con timeout para mejorar la observabilidad.</t>
  </si>
  <si>
    <t>Velociraptor registró cmd.exe con la línea de comandos de la prueba y el marcador TEC002_OK, con relación padre-hijo coherente respecto a explorer.exe.</t>
  </si>
  <si>
    <t>Resultado_TEC-002.png</t>
  </si>
  <si>
    <t>Sysmon Event ID 1 — Process Create</t>
  </si>
  <si>
    <r>
      <t xml:space="preserve">La variante con </t>
    </r>
    <r>
      <rPr>
        <sz val="11"/>
        <color theme="1"/>
        <rFont val="Aptos Narrow"/>
        <family val="2"/>
        <scheme val="minor"/>
      </rPr>
      <t>timeout fue más robusta que la ejecución demasiado corta. Resultado válido como prueba base de ejecución vía shell.</t>
    </r>
  </si>
  <si>
    <t>TEC-003</t>
  </si>
  <si>
    <t>Creación de tarea programada TFM-TEC-003, ejecución de schtasks.exe, ejecución de cmd.exe y creación de C:\Users\Public\tec003_ok.txt</t>
  </si>
  <si>
    <t>Creación manual de tarea programada benigna y ejecución forzada con schtasks /run</t>
  </si>
  <si>
    <t>03_TFM_Montado_Configurado</t>
  </si>
  <si>
    <t>Se creó la tarea TFM-TEC-003, se ejecutó manualmente y se generó correctamente el fichero de evidencia</t>
  </si>
  <si>
    <t>Resultado_TEC-003.png</t>
  </si>
  <si>
    <t>Técnica validada correctamente; la ejecución final funcionó al usar comando directo en la tarea programada</t>
  </si>
  <si>
    <t>TEC-004</t>
  </si>
  <si>
    <t>Clave HKCU\Software\Microsoft\Windows\CurrentVersion\Run con valor TFM_T1547_001_test → C:\Windows\System32\calc.exe; procesos reg.exe (add/delete) y ejecución de calc.exe tras logon.</t>
  </si>
  <si>
    <t>VM Windows 10 aislada; usuario estándar seguridad; script batch TFM_T1547_001.bat que crea y elimina persistencia T1547.001 apuntando a calc.exe.</t>
  </si>
  <si>
    <t>04_Antes_de_persistencia</t>
  </si>
  <si>
    <t>Eventos de reg.exe con reg add/delete HKCU\...\Run TFM_T1547_001_test invocados desde cmd.exe (parent Explorer.EXE); presencia temporal del valor Run en StartupItems.</t>
  </si>
  <si>
    <t>Resultado_TEC-004.png</t>
  </si>
  <si>
    <t>Lectura del registro de usuario (HKCU Run).</t>
  </si>
  <si>
    <t>Caso de bajo riesgo usando binario legítimo (calc.exe) como payload benigno; escenario ideal para ilustrar T1547.001 con alta trazabilidad y limpieza sencilla en entorno académico.</t>
  </si>
  <si>
    <t>TEC-005</t>
  </si>
  <si>
    <t>Creacion de servicio temporal TFM_TEC005_20260406_151223 con binPath C:\Windows\System32\cmd.exe /c echo ServicioEjecutado_20260406_151223 &gt; "C:\Users\seguridad\Desktop\TFM\Pruebas\TEC005\TFM_TEC005_20260406_151223.txt"; generacion correcta del fichero de evidencia y posterior borrado del servicio.</t>
  </si>
  <si>
    <t>VM Windows 10 aislada; usuario seguridad; PowerShell como administrador; script sc.ps1 que crea, arranca, verifica y elimina un servicio temporal benigno para T1569.002.</t>
  </si>
  <si>
    <t>Evento 7045 capturado en Velociraptor con nombre de servicio TFM_TEC005_20260406_151223, DisplayName TFM TEC005 Test Service e ImagePath apuntando a cmd.exe /c echo ServicioEjecutado_20260406_151223 &gt; "...TFM_TEC005_20260406_151223.txt"; evidencia host generada correctamente y limpieza final del servicio completada.</t>
  </si>
  <si>
    <t>Resultado_TEC-005.png &amp; Resultado_TEC-005.2.png</t>
  </si>
  <si>
    <t>Log System / Service Control Manager (7045) y evidencia host en fichero de salida.</t>
  </si>
  <si>
    <t>Caso benigno, trazable y de bajo riesgo para ilustrar T1569.002 mediante creacion y ejecucion de un servicio temporal; alta claridad forense y limpieza sencilla para entorno academico.</t>
  </si>
  <si>
    <t>TEC-006</t>
  </si>
  <si>
    <t>Ejecución de powershell.exe con -File TEC006.ps1, powershell.exe con Get-CimInstance -Namespace 'root/SecurityCenter2' -ClassName 'AntivirusProduct', cmd.exe y WMIC.exe con consulta wmic /namespace:\\root\SecurityCenter2 path AntivirusProduct get displayName,productState</t>
  </si>
  <si>
    <t>05_Despues_de_ransom</t>
  </si>
  <si>
    <t>Sysmon Event ID 1 con CommandLine completa de TEC006.ps1, Get-CimInstance y WMIC sobre SecurityCenter2/AntivirusProduct; cadena powershell → cmd → WMIC</t>
  </si>
  <si>
    <t>Resultado_TEC-006.png &amp; Resultado_TEC-006.2.png</t>
  </si>
  <si>
    <t>Sysmon Operational / Event ID 1</t>
  </si>
  <si>
    <t>Se descarta Windows.Events.ProcessCreation como evidencia principal por menor claridad; SysmonLogForward ofrece trazabilidad más sólida</t>
  </si>
  <si>
    <t>TEC-007</t>
  </si>
  <si>
    <t>Ejecución de powershell.exe con Scriptransom.ps1 (Sysmon ID 1), creación/escritura de artefactos asociados al ataque (Sysmon ID 11), presencia final de archivos .aes en TEC-007_LAB, presencia de copias en backups y ausencia final de temp_*.aes. No se observaron eventos ID 23/26 de borrado.</t>
  </si>
  <si>
    <t>Simulación controlada de cifrado AES sobre ficheros dummy, con copia previa a backups, borrado del original y movimiento interno del temporal cifrado a .aes final.</t>
  </si>
  <si>
    <t>Velociraptor detectó la ejecución del script mediante Sysmon ID 1 y mostró eventos ID 11 coherentes con creación/escritura de artefactos del ataque. El estado final del host confirmó la presencia de .aes en la carpeta atacada y de backups del original.</t>
  </si>
  <si>
    <t>Resultado_TEC-007.png &amp; Resultado_TEC-007.2.png &amp; Resultado_TEC-007.3.png &amp; Resultado_TEC-007.4.png &amp; Resultado_TEC-007.5.png &amp; Resultado_TEC-007.6.png &amp; Resultado_TEC-007.7.png</t>
  </si>
  <si>
    <t>Sysmon (Microsoft-Windows-Sysmon/Operational) + estado del sistema de ficheros mediante glob()</t>
  </si>
  <si>
    <t>Detección parcial-fuerte. Se demuestra ejecución e impacto final compatibles con T1486, pero no se observaron eventos FileDelete (ID 23/26) en la configuración activa de Sysmon. El paso temp_*.aes -&gt; *.aes final se interpreta como move/rename interno inferido, no como evento explícito.</t>
  </si>
  <si>
    <t>OB-001</t>
  </si>
  <si>
    <t>Sysmon Event ID 1 asociado a powershell.exe con CommandLine = powershell.exe -Command "Get-Date; Get-Process | Select-Object -First 5" y ParentImage = cmd.exe.</t>
  </si>
  <si>
    <t>Validación de operaciones benignas para evaluación de falsos positivos del artifact</t>
  </si>
  <si>
    <t>06_Validacion_FP_Artifact_Ajustado</t>
  </si>
  <si>
    <t>No detectado</t>
  </si>
  <si>
    <t>Negativo</t>
  </si>
  <si>
    <t>verdadero negativo</t>
  </si>
  <si>
    <t>La operación generó telemetría host normal de creación de proceso, pero el artifact no la clasificó como TEC-001 al no existir flags sospechosos ni marcadores TFM/TEC.</t>
  </si>
  <si>
    <t>No aplica</t>
  </si>
  <si>
    <t>Resultado_OB-001.png</t>
  </si>
  <si>
    <t>Resultado correcto: PowerShell legítimo no fue alertado. Control benigno para TEC-001.</t>
  </si>
  <si>
    <t>Sysmon Event ID 1 asociado a powershell.exe con CommandLine = powershell.exe -Command "Get-CimInstance Win32_OperatingSystem | Select-Object Caption,Version".</t>
  </si>
  <si>
    <t>La consulta CIM/WMI genérica del sistema operativo generó telemetría host, pero no fue clasificada como TEC-006 tras restringir la regla a SecurityCenter2/AntivirusProduct.</t>
  </si>
  <si>
    <t>Resultado_OB-002.png</t>
  </si>
  <si>
    <t>Resultado correcto: WMI/CIM administrativo no sensible no generó alerta de descubrimiento de software de seguridad.</t>
  </si>
  <si>
    <t>Sysmon Event ID 1 asociado a cmd.exe con CommandLine = cmd.exe /c echo prueba benigna &gt; C:\Users\Public\benigno_cmd.txt.</t>
  </si>
  <si>
    <t>La ejecución de cmd.exe creó un fichero de texto benigno sin marcadores TEC002_OK ni TFM_CMD_TEST, por lo que no se generó alerta TEC-002.</t>
  </si>
  <si>
    <t>Resultado_OB-003.png</t>
  </si>
  <si>
    <t>Sysmon Operational / Event ID 1; posible Event ID 11</t>
  </si>
  <si>
    <t>Resultado correcto: cmd.exe /c por sí solo no dispara la regla si no contiene marcadores de laboratorio.</t>
  </si>
  <si>
    <t>Sysmon Event ID 1 asociado a cmd.exe con CommandLine = cmd.exe /c dir C:\Users\Public.</t>
  </si>
  <si>
    <t>El listado de directorio generó telemetría de proceso, pero no coincidió con los criterios de TEC-002.</t>
  </si>
  <si>
    <t>Resultado_OB-004.png</t>
  </si>
  <si>
    <t>Resultado correcto: operación administrativa básica sin alerta.</t>
  </si>
  <si>
    <t>Sysmon Event ID 1 asociado a schtasks.exe con CommandLine = schtasks /query /fo LIST.</t>
  </si>
  <si>
    <t>La enumeración pasiva de tareas programadas no generó alerta CU-TFM-003, al no implicar creación, ejecución ni eliminación de tarea.</t>
  </si>
  <si>
    <t>Resultado_OB-005.png</t>
  </si>
  <si>
    <t>Resultado correcto: se diferencia consulta legítima de manipulación de tareas programadas.</t>
  </si>
  <si>
    <t>Sysmon Event ID 1 asociado a schtasks.exe con CommandLine de creación de tarea Benign_Update_Check y posterior eliminación con schtasks /delete.</t>
  </si>
  <si>
    <t>falso positivo controlado / dual-use</t>
  </si>
  <si>
    <t>El artifact generó alertas CU-TFM-003 ante schtasks /create y schtasks /delete. La actividad es benigna en esta prueba, pero la operación es dual-use y relevante para detección SOC.</t>
  </si>
  <si>
    <t>Resultado_OB-006.png &amp; Resultado_OB-006.2.png</t>
  </si>
  <si>
    <t>Parcial</t>
  </si>
  <si>
    <t>Alerta aceptable como falso positivo controlado: la creación/eliminación de tareas programadas puede ser legítima o maliciosa según contexto.</t>
  </si>
  <si>
    <t>Sysmon Event ID 1 asociado a reg.exe con CommandLine = reg query "HKCU\Software\Microsoft\Windows\CurrentVersion\Run".</t>
  </si>
  <si>
    <t>La consulta pasiva de Run Keys generó telemetría, pero no fue clasificada como TEC-004 al no existir modificación add/delete.</t>
  </si>
  <si>
    <t>Resultado_OB-007.png</t>
  </si>
  <si>
    <t>Resultado correcto tras ajuste: reg query queda excluido para evitar falsos positivos en persistencia.</t>
  </si>
  <si>
    <t>Sysmon Event ID 1 asociado a reg.exe con reg add y reg delete sobre HKCU\Software\TFM_Benigno, sin afectar a CurrentVersion\Run.</t>
  </si>
  <si>
    <t>La modificación de una clave no persistente generó telemetría de registro, pero no cumplió condiciones de TEC-004 al no operar sobre Run Key.</t>
  </si>
  <si>
    <t>Resultado_OB-008.png</t>
  </si>
  <si>
    <t>Resultado correcto: el artifact no detecta cualquier escritura en registro, solo modificación relevante de Run Key con marcador.</t>
  </si>
  <si>
    <t>Sysmon Event ID 1 asociado a sc.exe con CommandLine = sc query Spooler.</t>
  </si>
  <si>
    <t>La consulta de servicio Spooler generó telemetría host, pero no fue clasificada como TEC-005 al no existir create/start/delete ni marcador de servicio TFM.</t>
  </si>
  <si>
    <t>Resultado_OB-009.png</t>
  </si>
  <si>
    <t>Resultado correcto: sc query no se confunde con ejecución o creación de servicio.</t>
  </si>
  <si>
    <t>Sysmon Event ID 1 asociado a sc.exe con CommandLine = sc query wuauserv.</t>
  </si>
  <si>
    <t>La consulta pasiva del servicio Windows Update no generó alerta TEC-005.</t>
  </si>
  <si>
    <t>Resultado_OB-010.png</t>
  </si>
  <si>
    <t>Resultado correcto: se evita alertar consultas administrativas pasivas de servicios.</t>
  </si>
  <si>
    <t>Sysmon Event ID 1 asociado a WMIC.exe con CommandLine = wmic os get Caption,Version.</t>
  </si>
  <si>
    <t>La consulta WMI genérica generó telemetría, pero no coincidió con TEC-006 al no consultar SecurityCenter2 ni AntivirusProduct.</t>
  </si>
  <si>
    <t>Resultado_OB-011.png</t>
  </si>
  <si>
    <t>Resultado correcto tras ajuste: WMIC genérico no se clasifica como descubrimiento de software de seguridad.</t>
  </si>
  <si>
    <t>Sysmon Event ID 1 asociado a cmd.exe y posible Event ID 11 por creación de file1.txt y file2.txt en C:\Users\Public\benign_files.</t>
  </si>
  <si>
    <t>La creación de archivos .txt no cifrados generó actividad de ficheros, pero no coincidió con TEC-007 al no usar .aes ni rutas del laboratorio ransomware.</t>
  </si>
  <si>
    <t>Resultado_OB-012.png</t>
  </si>
  <si>
    <t>Resultado correcto: actividad normal de escritura no se confunde con cifrado tipo ransomware.</t>
  </si>
  <si>
    <t>Sysmon Event ID 1 asociado a cmd.exe/copy y posible Event ID 11 por creación de file1_copy.txt en C:\Users\Public\benign_backup.</t>
  </si>
  <si>
    <t>La copia de archivo benigno generó actividad de lectura/escritura, pero no activó TEC-007 al no usar extensión .aes ni rutas TEC-007_LAB/Ransomware.</t>
  </si>
  <si>
    <t>Resultado_OB-013.png</t>
  </si>
  <si>
    <t>Resultado correcto: operación de backup/copia no fue interpretada como ransomware.</t>
  </si>
  <si>
    <t>Sysmon Event ID 1 asociado a cmd.exe/del y posible Event ID 23/26 por borrado de file1_copy.txt.</t>
  </si>
  <si>
    <t>El borrado de un archivo .txt benigno no generó alerta CU-TFM-007.</t>
  </si>
  <si>
    <t>Resultado_OB-014.png</t>
  </si>
  <si>
    <t>Sysmon Operational / Event ID 1; posible Event ID 23/26</t>
  </si>
  <si>
    <t>Resultado correcto: FileDelete benigno no se confunde con artefactos .aes ni actividad ransomware controlada.</t>
  </si>
  <si>
    <t>Sysmon Event ID 1 asociado a cmd.exe y posible Event ID 11 por creación de file1.bak en C:\Users\Public\benign_files.</t>
  </si>
  <si>
    <t>La creación de un archivo .bak no activó TEC-007, confirmando que la regla no alerta por cualquier extensión no común.</t>
  </si>
  <si>
    <t>Resultado_OB-015.png</t>
  </si>
  <si>
    <t>Resultado correcto: la detección ransomware se mantiene centrada en .aes, rutas controladas y marcadores específicos.</t>
  </si>
  <si>
    <t>1. Significado de columnas</t>
  </si>
  <si>
    <t>Identificador interno único de cada técnica evaluada. Formato habitual: TEC-XXX</t>
  </si>
  <si>
    <t>Resultado real esperado de la prueba.
Indica si, en teoría, la técnica debía ser detectada o no.</t>
  </si>
  <si>
    <t>Clasificación final del resultado comparando la detección observada con el resultado esperado.
Valores típicos: VP, FN, FP, VN</t>
  </si>
  <si>
    <t>Impacto_Rendimiento</t>
  </si>
  <si>
    <t>Nivel cualitativo del impacto de la configuración o prueba sobre el sistema.
Se basa en el efecto observado en métricas como CPU, RAM o I/O.</t>
  </si>
  <si>
    <t>2. Prefijos</t>
  </si>
  <si>
    <t>TEC-XXX</t>
  </si>
  <si>
    <t>Identificador de técnica interna.</t>
  </si>
  <si>
    <t>BENCH-XXX</t>
  </si>
  <si>
    <t>Identificador de ejecución de benchmark o medición de rendimiento.</t>
  </si>
  <si>
    <t>VR-CONF-XXX</t>
  </si>
  <si>
    <t>Identificador de configuración de Velociraptor utilizada en la prueba.</t>
  </si>
  <si>
    <t>SNAP-XXX</t>
  </si>
  <si>
    <t>Identificador del snapshot o estado base de la máquina virtual.</t>
  </si>
  <si>
    <t>3. Valores posibles</t>
  </si>
  <si>
    <t>La evidencia o comportamiento esperado fue identificado.</t>
  </si>
  <si>
    <t>No se observó la evidencia esperada.</t>
  </si>
  <si>
    <t>La técnica fue detectada solo de forma incompleta o ambigua.</t>
  </si>
  <si>
    <t>No evaluado</t>
  </si>
  <si>
    <t>La prueba no pudo completarse o no dispone de resultado válido.</t>
  </si>
  <si>
    <t>4. Clasificación del resultado</t>
  </si>
  <si>
    <t>Verdadero positivo (VP)</t>
  </si>
  <si>
    <t>La técnica debía ser detectada y fue detectada.</t>
  </si>
  <si>
    <t>Falso negativo (FN)</t>
  </si>
  <si>
    <t>La técnica debía ser detectada y no fue detectada.</t>
  </si>
  <si>
    <t>Falso positivo (FP)</t>
  </si>
  <si>
    <t>La técnica no debía ser detectada, pero se marcó como detectada.</t>
  </si>
  <si>
    <t>Verdadero negativo (VN)</t>
  </si>
  <si>
    <t>La técnica no debía ser detectada y no fue detectada.</t>
  </si>
  <si>
    <t>5. Impacto en rendimiento</t>
  </si>
  <si>
    <t>Nulo / no apreciable</t>
  </si>
  <si>
    <t>Sin impacto observable relevante.</t>
  </si>
  <si>
    <t>Bajo</t>
  </si>
  <si>
    <t>Impacto reducido, asumible en operación normal.</t>
  </si>
  <si>
    <t>Moderado</t>
  </si>
  <si>
    <t>Impacto visible, pero todavía aceptable.</t>
  </si>
  <si>
    <t>Alto</t>
  </si>
  <si>
    <t>Impacto relevante sobre el rendimiento del sistema.</t>
  </si>
  <si>
    <t>6. ¿Cómo se calcula el impacto?</t>
  </si>
  <si>
    <t>El impacto se calcula comparando la condición MEDIDA de cada técnica frente a las tres mediciones BASE en el mismo entorno de laboratorio: misma VM, misma snapshot, misma configuración y Velociraptor activo. Se miden CPU, RAM, I/O lectura e I/O escritura.</t>
  </si>
  <si>
    <t>Fórmulas</t>
  </si>
  <si>
    <t>CPU_Delta_% = CPU_Medida_% - CPU_Base_%
RAM_Delta_MB = RAM_Medida_MB - RAM_Base_MB
IO_Read_Delta = IO_Read_Medida - IO_Read_Base
IO_Write_Delta = IO_Write_Medida - IO_Write_Base</t>
  </si>
  <si>
    <t>Importante sobre RAM</t>
  </si>
  <si>
    <t>La RAM se mide con Memory\Available MBytes:
RAM_Delta_MB &lt; 0 → menos RAM disponible → más consumo real
RAM_Delta_MB &gt; 0 → más RAM disponible → menos consumo real</t>
  </si>
  <si>
    <t>Clasificación de Impacto_Rendimiento</t>
  </si>
  <si>
    <t>No evaluado → si falta CPU_Delta o RAM_Delta
Bajo → si |CPU_Delta_%| &lt; 5 y |RAM_Delta_MB| &lt; 100
Medio → si |CPU_Delta_%| &lt;= 15 y |RAM_Delta_MB| &lt;= 300
Alto → en el resto de casos</t>
  </si>
  <si>
    <t>Nota</t>
  </si>
  <si>
    <t>La etiqueta Impacto_Rendimiento se clasifica con CPU y RAM
I/O se calcula y se grafica, pero no entra en la etiqueta final</t>
  </si>
  <si>
    <t>7. Siglas</t>
  </si>
  <si>
    <t>VR</t>
  </si>
  <si>
    <t>Velociraptor</t>
  </si>
  <si>
    <t>HIDS</t>
  </si>
  <si>
    <t>Host-based Intrusion Detection System</t>
  </si>
  <si>
    <t>MITRE ATT&amp;CK</t>
  </si>
  <si>
    <t>marco de conocimiento de tácticas y técnicas de ataque</t>
  </si>
  <si>
    <t>IO</t>
  </si>
  <si>
    <t>entrada/salida (Input/Output)</t>
  </si>
  <si>
    <t>CPU</t>
  </si>
  <si>
    <t>unidad central de procesamiento</t>
  </si>
  <si>
    <t>RAM</t>
  </si>
  <si>
    <t>memoria de acceso aleatorio</t>
  </si>
  <si>
    <t>Resumen final de evaluación: técnicas MITRE + operaciones benignas</t>
  </si>
  <si>
    <t>Indicador</t>
  </si>
  <si>
    <t>Valor</t>
  </si>
  <si>
    <t>Interpretación</t>
  </si>
  <si>
    <t>Lectura técnica para la memoria</t>
  </si>
  <si>
    <t>Total de pruebas</t>
  </si>
  <si>
    <t>TEC + OB evaluadas</t>
  </si>
  <si>
    <t>1</t>
  </si>
  <si>
    <t>La cobertura de detección sobre las siete técnicas TEC fue completa: VP = 7 y FN = 0.</t>
  </si>
  <si>
    <t>Técnicas TEC evaluadas</t>
  </si>
  <si>
    <t>Pruebas positivas esperadas</t>
  </si>
  <si>
    <t>2</t>
  </si>
  <si>
    <t>Las operaciones benignas validan discriminación: 14/15 fueron verdaderos negativos.</t>
  </si>
  <si>
    <t>Operaciones benignas OB</t>
  </si>
  <si>
    <t>Pruebas negativas esperadas</t>
  </si>
  <si>
    <t>3</t>
  </si>
  <si>
    <t>El único falso positivo corresponde a OB-006, una creación/eliminación de tarea programada; se clasifica como dual-use controlado.</t>
  </si>
  <si>
    <t>Verdaderos positivos (VP)</t>
  </si>
  <si>
    <t>Técnicas detectadas correctamente</t>
  </si>
  <si>
    <t>4</t>
  </si>
  <si>
    <t>La tasa de FP por operación benigna queda acotada y es coherente con un artifact SOC-style orientado a superficie de exposición.</t>
  </si>
  <si>
    <t>Verdaderos negativos (VN)</t>
  </si>
  <si>
    <t>Operaciones benignas no alertadas</t>
  </si>
  <si>
    <t>Falsos positivos (FP)</t>
  </si>
  <si>
    <t>OB que generaron alerta</t>
  </si>
  <si>
    <t>Reglas de clasificación usadas en la hoja</t>
  </si>
  <si>
    <t>Falsos negativos (FN)</t>
  </si>
  <si>
    <t>TEC no detectadas</t>
  </si>
  <si>
    <t>VP</t>
  </si>
  <si>
    <t>Ground_Truth = Positivo y Resultado_Detección = Detectado.</t>
  </si>
  <si>
    <t>Tasa detección TEC</t>
  </si>
  <si>
    <t>VP / TEC</t>
  </si>
  <si>
    <t>FN</t>
  </si>
  <si>
    <t>Ground_Truth = Positivo y Resultado_Detección distinto de Detectado.</t>
  </si>
  <si>
    <t>Tasa FP OB</t>
  </si>
  <si>
    <t>FP / OB</t>
  </si>
  <si>
    <t>VN</t>
  </si>
  <si>
    <t>Ground_Truth = Negativo y Resultado_Detección distinto de Detectado.</t>
  </si>
  <si>
    <t>Exactitud global</t>
  </si>
  <si>
    <t>(VP + VN) / Total</t>
  </si>
  <si>
    <t>FP</t>
  </si>
  <si>
    <t>Ground_Truth = Negativo y Resultado_Detección = Detectado.</t>
  </si>
  <si>
    <t>Alertas dual-use controladas</t>
  </si>
  <si>
    <t>FP esperable por comportamiento dual-use</t>
  </si>
  <si>
    <t>Dual-use</t>
  </si>
  <si>
    <t>Clasificación o comentario contiene dual-use/controlado; se conserva como FP, pero se interpreta con contexto SOC.</t>
  </si>
  <si>
    <t>Exactitud operativa ajustada</t>
  </si>
  <si>
    <t>(VP + VN + dual-use) / Total</t>
  </si>
  <si>
    <t>Tipo</t>
  </si>
  <si>
    <t>Grupo/Operación</t>
  </si>
  <si>
    <t>MITRE/Técnica</t>
  </si>
  <si>
    <t>Clase_Normalizada</t>
  </si>
  <si>
    <t>Detectado_Bin</t>
  </si>
  <si>
    <t>GroundTruth_Bin</t>
  </si>
  <si>
    <t>Correcto_Bin</t>
  </si>
  <si>
    <t>VP_Bin</t>
  </si>
  <si>
    <t>VN_Bin</t>
  </si>
  <si>
    <t>FP_Bin</t>
  </si>
  <si>
    <t>FN_Bin</t>
  </si>
  <si>
    <t>DualUse_Bin</t>
  </si>
  <si>
    <t>Ref_Captura</t>
  </si>
  <si>
    <t>Comentario_TFM</t>
  </si>
  <si>
    <t>Panel gráfico de resultados: detección, falsos positivos y cobertura MITRE</t>
  </si>
  <si>
    <t>Grand Total</t>
  </si>
  <si>
    <t>6. Métricas resumen añadidas</t>
  </si>
  <si>
    <t>Verdadero positivo: técnica positiva detectada correctamente.</t>
  </si>
  <si>
    <t>Verdadero negativo: operación benigna no alertada.</t>
  </si>
  <si>
    <t>Falso positivo: operación benigna que genera alerta.</t>
  </si>
  <si>
    <t>Falso negativo: técnica positiva no detectada.</t>
  </si>
  <si>
    <t>Dual-use controlado</t>
  </si>
  <si>
    <t>Actividad benigna que comparte comportamiento con técnica MITRE y requiere triage contextual.</t>
  </si>
  <si>
    <t>VP / total de técnicas TEC evaluadas.</t>
  </si>
  <si>
    <t>FP / total de operaciones benignas evaluadas.</t>
  </si>
  <si>
    <t>(VP + VN) / total de pruebas.</t>
  </si>
  <si>
    <t>(VP + VN + dual-use contextualizado) / total de pruebas.</t>
  </si>
  <si>
    <t>Fuente</t>
  </si>
  <si>
    <t>Hoja 04_Resumen + 05_Datos_Graficos.</t>
  </si>
  <si>
    <t>Datos auxiliares para gráficos - generados desde 04_Resumen</t>
  </si>
  <si>
    <t>Total</t>
  </si>
  <si>
    <t>Detectados</t>
  </si>
  <si>
    <t>Correctos</t>
  </si>
  <si>
    <t>TEC</t>
  </si>
  <si>
    <t>OB</t>
  </si>
  <si>
    <t>Clase</t>
  </si>
  <si>
    <t>N</t>
  </si>
  <si>
    <t>Tasa</t>
  </si>
  <si>
    <t>Táctica TEC</t>
  </si>
  <si>
    <t>Detección TEC</t>
  </si>
  <si>
    <t>Falsos positivos OB</t>
  </si>
  <si>
    <t>Exactitud ajustada dual-use</t>
  </si>
  <si>
    <t>ID</t>
  </si>
  <si>
    <t>Correcto</t>
  </si>
  <si>
    <t>DualUse</t>
  </si>
  <si>
    <t>GRÁFICAS</t>
  </si>
  <si>
    <t>TEC-008</t>
  </si>
  <si>
    <t>Data Destruction</t>
  </si>
  <si>
    <t>T1485</t>
  </si>
  <si>
    <t>Borrado controlado de ficheros para afectar a la disponibilidad e integridad de datos.</t>
  </si>
  <si>
    <t>Amplía el foco ransomware hacia sabotaje, técnica frecuente en escenarios insider.</t>
  </si>
  <si>
    <t>Process Create; File Delete</t>
  </si>
  <si>
    <t>Ejecutar un script controlado que enumera y borra únicamente ficheros dummy dentro de C:\Users\Pruebas\dump.</t>
  </si>
  <si>
    <t>Ver powershell.exe ejecutando el script y eventos de borrado/ausencia final de los ficheros del directorio dump.</t>
  </si>
  <si>
    <t>Prueba limitada al directorio dump; no ejecutar sobre rutas reales ni de sistema.</t>
  </si>
  <si>
    <t>https://attack.mitre.org/techniques/T1485/</t>
  </si>
  <si>
    <t>TEC-009</t>
  </si>
  <si>
    <t>Exfiltration</t>
  </si>
  <si>
    <t>TA0010</t>
  </si>
  <si>
    <t>Automated Exfiltration / Exfiltration Over C2 Channel</t>
  </si>
  <si>
    <t>T1020 / T1041</t>
  </si>
  <si>
    <t>Compresión y copia local de ficheros para simular exfiltración masiva sin salida real a Internet.</t>
  </si>
  <si>
    <t>Permite evaluar detección HIDS de preparación y staging de datos, sin usar infraestructura externa.</t>
  </si>
  <si>
    <t>Process Create; File Create; Archive/ZIP</t>
  </si>
  <si>
    <t>Comprimir el contenido de C:\Users\Pruebas\dump en un ZIP y copiarlo a C:\Users\Pruebas\EXFIL como exfiltración simulada.</t>
  </si>
  <si>
    <t>Ver ejecución de powershell.exe, creación de ZIP y copia del archivo a la carpeta EXFIL.</t>
  </si>
  <si>
    <t>No usa SMTP, C2, nube ni credenciales reales; la exfiltración queda simulada a nivel host.</t>
  </si>
  <si>
    <t>https://attack.mitre.org/techniques/T1020/ ; https://attack.mitre.org/techniques/T1041/</t>
  </si>
  <si>
    <t>Ejecución de powershell.exe con TEC-008_sabotaje_controlado.ps1; enumeración recursiva de C:\Users\Pruebas\dump; borrado masivo de ficheros dummy mediante Remove-Item; eventos de proceso y eliminación de ficheros sobre TargetFilename dentro de dump.</t>
  </si>
  <si>
    <t>Simulación controlada de sabotaje mediante borrado masivo de archivos dummy dentro de C:\Users\Pruebas\dump, sin afectar a otras rutas del sistema y sin persistencia, evasión ni propagación.</t>
  </si>
  <si>
    <t>07_Sabotaje_Exfiltracion_Dummy</t>
  </si>
  <si>
    <t>Velociraptor registró la ejecución de PowerShell y evidencias coherentes de destrucción controlada sobre el directorio dump; la actividad quedó acotada a archivos dummy del laboratorio.</t>
  </si>
  <si>
    <t>Resultado_TEC-008.png</t>
  </si>
  <si>
    <t>Sysmon Event ID 1 — Process Create; Sysmon Event ID 23/26 — File Delete si están habilitados; TargetFilename en C:\Users\Pruebas\dump</t>
  </si>
  <si>
    <t>La técnica permite evaluar la capacidad de Velociraptor para observar comportamientos de sabotaje host-based mediante eliminación masiva de archivos en un directorio controlado.</t>
  </si>
  <si>
    <t>Ejecución de powershell.exe con TEC-009_exfiltracion_simulada.ps1; enumeración de C:\Users\Pruebas\dump; compresión mediante Compress-Archive; creación de archivo ZIP y copia local a C:\Users\Pruebas\EXFIL.</t>
  </si>
  <si>
    <t>Simulación controlada de exfiltración host-based mediante compresión y copia local de información dummy a una carpeta EXFIL, sin envío real a Internet ni uso de C2, SMTP, nube o credenciales reales.</t>
  </si>
  <si>
    <t>Velociraptor registró la ejecución de PowerShell, la creación del archivo ZIP y la copia local del paquete hacia EXFIL, simulando staging/exfiltración sin transmisión externa.</t>
  </si>
  <si>
    <t>Resultado_TEC-009.png</t>
  </si>
  <si>
    <t>Sysmon Event ID 1 — Process Create; Sysmon Event ID 11 — File Create; eventos de creación/modificación de ZIP y copia en C:\Users\Pruebas\EXFIL</t>
  </si>
  <si>
    <t>La técnica permite evaluar la capacidad de Velociraptor para detectar patrones de exfiltración host-based, especialmente compresión, empaquetado y copia de información desde una ubicación sensible simulada.</t>
  </si>
  <si>
    <t>falso negativo</t>
  </si>
  <si>
    <t>Artifact</t>
  </si>
  <si>
    <t>Modo</t>
  </si>
  <si>
    <t>MITRE</t>
  </si>
  <si>
    <t>PR-001</t>
  </si>
  <si>
    <t>PR-002</t>
  </si>
  <si>
    <t>PR-003</t>
  </si>
  <si>
    <t>PR-004</t>
  </si>
  <si>
    <t>PR-005</t>
  </si>
  <si>
    <t>PR-006</t>
  </si>
  <si>
    <t>PR-007</t>
  </si>
  <si>
    <t>PR-008</t>
  </si>
  <si>
    <t>PR-009</t>
  </si>
  <si>
    <t>PR-010</t>
  </si>
  <si>
    <t>PR-011</t>
  </si>
  <si>
    <t>PR-012</t>
  </si>
  <si>
    <t>PR-013</t>
  </si>
  <si>
    <t>PR-014</t>
  </si>
  <si>
    <t>PR-015</t>
  </si>
  <si>
    <t>PR-016</t>
  </si>
  <si>
    <t>PR-017</t>
  </si>
  <si>
    <t>PR-018</t>
  </si>
  <si>
    <t>PR-019</t>
  </si>
  <si>
    <t>PR-020</t>
  </si>
  <si>
    <t>PR-021</t>
  </si>
  <si>
    <t>PR-022</t>
  </si>
  <si>
    <t>PR-023</t>
  </si>
  <si>
    <t>PR-024</t>
  </si>
  <si>
    <t>La detección es válida, pero en este artifact la información útil aparece embebida en Message, no en columnas separadas</t>
  </si>
  <si>
    <t>La variante con timeout fue más robusta que la ejecución demasiado corta. Resultado válido como prueba base de ejecución vía shell.</t>
  </si>
  <si>
    <t>Opcional; usar solo para activos críticos o análisis profundo</t>
  </si>
  <si>
    <t>Pendiente</t>
  </si>
  <si>
    <t>Claves relevantes de persistencia / cambios de registro</t>
  </si>
  <si>
    <t>Bajo demanda; no continuo</t>
  </si>
  <si>
    <t>Evaluar búsqueda avanzada de registro solo si hace falta</t>
  </si>
  <si>
    <t>Persistence / DFIR</t>
  </si>
  <si>
    <t>Varios</t>
  </si>
  <si>
    <t>TEC-003/004</t>
  </si>
  <si>
    <t>Registry forensic</t>
  </si>
  <si>
    <t>CLIENT / Hunt</t>
  </si>
  <si>
    <t>Windows.Registry.Hunter</t>
  </si>
  <si>
    <t>P1 Critical</t>
  </si>
  <si>
    <t>F4 Opcional forense alto detalle</t>
  </si>
  <si>
    <t>PUB-040</t>
  </si>
  <si>
    <t>Opcional; no prioritario ahora</t>
  </si>
  <si>
    <t>Colección amplia de evidencias forenses</t>
  </si>
  <si>
    <t>Evaluar triage forense amplio solo si hace falta</t>
  </si>
  <si>
    <t>DFIR</t>
  </si>
  <si>
    <t>Varias</t>
  </si>
  <si>
    <t>Forensic triage</t>
  </si>
  <si>
    <t>Windows.Triage.Targets</t>
  </si>
  <si>
    <t>PUB-039</t>
  </si>
  <si>
    <t>Alto valor DFIR; posible ruido</t>
  </si>
  <si>
    <t>Autorun relacionado con técnica</t>
  </si>
  <si>
    <t>Hunt post-ejecución</t>
  </si>
  <si>
    <t>Evaluar persistencia amplia con Autoruns</t>
  </si>
  <si>
    <t>TEC-003/004/005</t>
  </si>
  <si>
    <t>Autoruns</t>
  </si>
  <si>
    <t>Windows.Sysinternals.Autoruns</t>
  </si>
  <si>
    <t>P2 High</t>
  </si>
  <si>
    <t>F3 Persistencia / triage</t>
  </si>
  <si>
    <t>PUB-038</t>
  </si>
  <si>
    <t>Comparar con ServiceCreation 7045</t>
  </si>
  <si>
    <t>Servicio creado o presente</t>
  </si>
  <si>
    <t>Evaluar servicios instalados</t>
  </si>
  <si>
    <t>Services</t>
  </si>
  <si>
    <t>Windows.System.Services</t>
  </si>
  <si>
    <t>PUB-037</t>
  </si>
  <si>
    <t>Complementa TaskScheduler</t>
  </si>
  <si>
    <t>Entradas de TaskCache / Scheduled Tasks</t>
  </si>
  <si>
    <t>Evaluar tareas desde registro</t>
  </si>
  <si>
    <t>Registry</t>
  </si>
  <si>
    <t>Windows.Registry.ScheduledTasks</t>
  </si>
  <si>
    <t>PUB-036</t>
  </si>
  <si>
    <t>Útil como evidencia, no necesariamente alerta inmediata</t>
  </si>
  <si>
    <t>Tarea creada o modificada</t>
  </si>
  <si>
    <t>Evaluar tareas programadas existentes</t>
  </si>
  <si>
    <t>Execution / Persistence</t>
  </si>
  <si>
    <t>Task Scheduler</t>
  </si>
  <si>
    <t>Windows.System.TaskScheduler</t>
  </si>
  <si>
    <t>PUB-035</t>
  </si>
  <si>
    <t>Sirve para evidencia de persistencia</t>
  </si>
  <si>
    <t>Entrada en Run/RunOnce o startup folder</t>
  </si>
  <si>
    <t>Evaluar Run Keys / Startup folders post-ejecución</t>
  </si>
  <si>
    <t>Registry / Startup folders</t>
  </si>
  <si>
    <t>Windows.Sys.StartupItems</t>
  </si>
  <si>
    <t>PUB-034</t>
  </si>
  <si>
    <t>No usar como alerta continua principal</t>
  </si>
  <si>
    <t>Tareas, Run Keys, servicios o mecanismos persistentes</t>
  </si>
  <si>
    <t>Evaluar pack público de persistencia tras ejecutar técnicas</t>
  </si>
  <si>
    <t>T1053.005 / T1547.001 / T1569.002</t>
  </si>
  <si>
    <t>Windows persistence</t>
  </si>
  <si>
    <t>Windows.Packs.Persistence</t>
  </si>
  <si>
    <t>PUB-033</t>
  </si>
  <si>
    <t>Comparar contra custom 4104 Compress-Archive</t>
  </si>
  <si>
    <t>Evento de monitoring si regla pública coincide</t>
  </si>
  <si>
    <t>Client Monitoring; Critical/High; luego Medium</t>
  </si>
  <si>
    <t>Evaluar alerta HIDS pública en tiempo real para staging/archivo</t>
  </si>
  <si>
    <t>Collection</t>
  </si>
  <si>
    <t>T1074.001 / T1560.001</t>
  </si>
  <si>
    <t>EVTX + Sigma/Hayabusa</t>
  </si>
  <si>
    <t>CLIENT_EVENT</t>
  </si>
  <si>
    <t>Windows.Hayabusa.Monitoring</t>
  </si>
  <si>
    <t>P3 Medium</t>
  </si>
  <si>
    <t>F2 Sigma/Hayabusa tiempo real</t>
  </si>
  <si>
    <t>PUB-032</t>
  </si>
  <si>
    <t>Comparar contra custom 4104 Remove-Item</t>
  </si>
  <si>
    <t>Evaluar alerta HIDS pública en tiempo real para data destruction</t>
  </si>
  <si>
    <t>PUB-031</t>
  </si>
  <si>
    <t>Comparar contra custom 4104 crypto</t>
  </si>
  <si>
    <t>Evaluar alerta HIDS pública en tiempo real para ransomware simulado</t>
  </si>
  <si>
    <t>PUB-030</t>
  </si>
  <si>
    <t>Evento de monitoring / regla sobre AV discovery</t>
  </si>
  <si>
    <t>Evaluar alerta HIDS pública en tiempo real para Security Discovery</t>
  </si>
  <si>
    <t>PUB-029</t>
  </si>
  <si>
    <t>Evento de monitoring / EventID 7045 / service creation</t>
  </si>
  <si>
    <t>Evaluar alerta HIDS pública en tiempo real para Service Creation</t>
  </si>
  <si>
    <t>PUB-028</t>
  </si>
  <si>
    <t>Evento de monitoring / regla sobre registry persistence</t>
  </si>
  <si>
    <t>Evaluar alerta HIDS pública en tiempo real para Run Keys</t>
  </si>
  <si>
    <t>PUB-027</t>
  </si>
  <si>
    <t>Evento de monitoring / regla sobre schtasks</t>
  </si>
  <si>
    <t>Evaluar alerta HIDS pública en tiempo real para Scheduled Task</t>
  </si>
  <si>
    <t>PUB-026</t>
  </si>
  <si>
    <t>Evento de monitoring con regla y severidad</t>
  </si>
  <si>
    <t>Evaluar alerta HIDS pública en tiempo real para CMD</t>
  </si>
  <si>
    <t>PUB-025</t>
  </si>
  <si>
    <t>Evento de monitoring con RuleTitle, Level, EventID, ATT&amp;CK</t>
  </si>
  <si>
    <t>Evaluar alerta HIDS pública en tiempo real para PowerShell</t>
  </si>
  <si>
    <t>PUB-024</t>
  </si>
  <si>
    <t>No contar como exfiltración si no hay red externa</t>
  </si>
  <si>
    <t>Regla sobre Compress-Archive / archive / staging si existe</t>
  </si>
  <si>
    <t>Critical/High; luego Medium</t>
  </si>
  <si>
    <t>Evaluar detección histórica de staging/archivo</t>
  </si>
  <si>
    <t>Windows.Hayabusa.Rules</t>
  </si>
  <si>
    <t>F2 Sigma/Hayabusa histórico</t>
  </si>
  <si>
    <t>PUB-023</t>
  </si>
  <si>
    <t>Puede no detectar si no coincide con regla pública</t>
  </si>
  <si>
    <t>Regla sobre Remove-Item / delete / destruction si existe</t>
  </si>
  <si>
    <t>Evaluar detección histórica de data destruction</t>
  </si>
  <si>
    <t>PUB-022</t>
  </si>
  <si>
    <t>Probable cobertura parcial si el script es controlado y benigno</t>
  </si>
  <si>
    <t>Regla sobre crypto/ransomware/extensiones/ciphering si existe</t>
  </si>
  <si>
    <t>Evaluar detección histórica de comportamiento ransomware</t>
  </si>
  <si>
    <t>PUB-021</t>
  </si>
  <si>
    <t>Regla sobre SecurityCenter2 / AntivirusProduct / Defender</t>
  </si>
  <si>
    <t>Evaluar detección histórica de Security Software Discovery</t>
  </si>
  <si>
    <t>PUB-020</t>
  </si>
  <si>
    <t>Regla sobre Service Creation / EventID 7045</t>
  </si>
  <si>
    <t>Evaluar detección histórica de servicio</t>
  </si>
  <si>
    <t>PUB-019</t>
  </si>
  <si>
    <t>Regla sobre Registry Run Key / Startup</t>
  </si>
  <si>
    <t>Evaluar detección histórica de Run Keys</t>
  </si>
  <si>
    <t>PUB-018</t>
  </si>
  <si>
    <t>Regla sobre schtasks / Task Scheduler</t>
  </si>
  <si>
    <t>Evaluar detección histórica de Scheduled Task</t>
  </si>
  <si>
    <t>PUB-017</t>
  </si>
  <si>
    <t>Regla Sigma/Hayabusa asociada a cmd o LOLBins</t>
  </si>
  <si>
    <t>Evaluar detección Sigma histórica de CMD</t>
  </si>
  <si>
    <t>PUB-016</t>
  </si>
  <si>
    <t>RuleTitle, Level, EventID, ATT&amp;CK tags</t>
  </si>
  <si>
    <t>RuleLevel Critical/High; luego Medium si no detecta</t>
  </si>
  <si>
    <t>Evaluar detección Sigma histórica de PowerShell</t>
  </si>
  <si>
    <t>PUB-015</t>
  </si>
  <si>
    <t>T1041 solo si hay conexión externa real</t>
  </si>
  <si>
    <t>FileCreate .zip y, si procede, NetworkConnect externo</t>
  </si>
  <si>
    <t>Sysmon FileCreate/Network/DNS activos</t>
  </si>
  <si>
    <t>Comprobar Sysmon ID 11/3/22 para ZIP y posible salida externa</t>
  </si>
  <si>
    <t>Collection / Exfiltration contextual</t>
  </si>
  <si>
    <t>T1074.001 / T1560.001 / T1041 contextual</t>
  </si>
  <si>
    <t>Sysmon Operational</t>
  </si>
  <si>
    <t>Windows.Sysinternals.SysmonLogForward</t>
  </si>
  <si>
    <t>P4 Low/P2 High</t>
  </si>
  <si>
    <t>F1 Built-in básico</t>
  </si>
  <si>
    <t>PUB-014</t>
  </si>
  <si>
    <t>No usar como Discord por fichero; evidencia forense</t>
  </si>
  <si>
    <t>FileDeleteDetected / TargetFilename</t>
  </si>
  <si>
    <t>Sysmon ID 26 activo</t>
  </si>
  <si>
    <t>Comprobar evidencia de borrado real con Sysmon ID 26</t>
  </si>
  <si>
    <t>PUB-013</t>
  </si>
  <si>
    <t>Útil como evidencia de registro</t>
  </si>
  <si>
    <t>EventID 12/13/14 sobre Run/RunOnce</t>
  </si>
  <si>
    <t>Sysmon Registry events activos</t>
  </si>
  <si>
    <t>Comprobar reenvío de Sysmon 12/13/14 para Run Keys</t>
  </si>
  <si>
    <t>P4 Low</t>
  </si>
  <si>
    <t>PUB-012</t>
  </si>
  <si>
    <t>Base de evidencia, no alerta semántica</t>
  </si>
  <si>
    <t>Sysmon ID 1 con Image, CommandLine y ParentImage</t>
  </si>
  <si>
    <t>Sysmon activo + artifact activo</t>
  </si>
  <si>
    <t>Comprobar reenvío de eventos Sysmon ID 1</t>
  </si>
  <si>
    <t>Execution / Discovery</t>
  </si>
  <si>
    <t>TEC-001/002/003/005/006</t>
  </si>
  <si>
    <t>PUB-011</t>
  </si>
  <si>
    <t>Muy útil para servicio, pero no cubre resto de técnicas</t>
  </si>
  <si>
    <t>EventID 7045 con ServiceName e ImagePath</t>
  </si>
  <si>
    <t>Client Monitoring activo</t>
  </si>
  <si>
    <t>Comprobar creación de servicio mediante Event ID 7045</t>
  </si>
  <si>
    <t>System 7045</t>
  </si>
  <si>
    <t>Windows.Events.ServiceCreation</t>
  </si>
  <si>
    <t>PUB-010</t>
  </si>
  <si>
    <t>Si no hay red externa, clasificar como Collection/staging</t>
  </si>
  <si>
    <t>powershell.exe con Compress-Archive / Copy-Item</t>
  </si>
  <si>
    <t>Comprobar visibilidad mínima de staging/archivo</t>
  </si>
  <si>
    <t>Process creation</t>
  </si>
  <si>
    <t>Windows.Events.ProcessCreation</t>
  </si>
  <si>
    <t>PUB-009</t>
  </si>
  <si>
    <t>Esperable detección parcial: ve proceso, no intención destructiva</t>
  </si>
  <si>
    <t>powershell.exe con Remove-Item / borrado masivo</t>
  </si>
  <si>
    <t>Comprobar visibilidad mínima de borrado destructivo</t>
  </si>
  <si>
    <t>PUB-008</t>
  </si>
  <si>
    <t>Esperable detección solo parcial: ve proceso, no lógica crypto</t>
  </si>
  <si>
    <t>powershell.exe ejecutando lógica de cifrado controlado</t>
  </si>
  <si>
    <t>Comprobar visibilidad mínima de ejecución del script de cifrado</t>
  </si>
  <si>
    <t>PUB-007</t>
  </si>
  <si>
    <t>PowerShell/WMI/WMIC consultando root\SecurityCenter2 o AntivirusProduct</t>
  </si>
  <si>
    <t>Comprobar visibilidad de discovery de AV/EDR</t>
  </si>
  <si>
    <t>PUB-006</t>
  </si>
  <si>
    <t>sc create/start/delete</t>
  </si>
  <si>
    <t>Comprobar visibilidad de sc.exe</t>
  </si>
  <si>
    <t>PUB-005</t>
  </si>
  <si>
    <t>reg add/delete HKCU\...\Run</t>
  </si>
  <si>
    <t>Comprobar visibilidad de reg.exe sobre Run/RunOnce</t>
  </si>
  <si>
    <t>PUB-004</t>
  </si>
  <si>
    <t>schtasks /create /run /delete</t>
  </si>
  <si>
    <t>Comprobar visibilidad de schtasks.exe</t>
  </si>
  <si>
    <t>PUB-003</t>
  </si>
  <si>
    <t>cmd.exe /c, whoami, reg, net o llamada desde PowerShell</t>
  </si>
  <si>
    <t>Comprobar visibilidad de cmd.exe y encadenamiento</t>
  </si>
  <si>
    <t>PUB-002</t>
  </si>
  <si>
    <t>powershell.exe con -NoProfile / -ExecutionPolicy Bypass</t>
  </si>
  <si>
    <t>Comprobar visibilidad de PowerShell sospechoso</t>
  </si>
  <si>
    <t>PUB-001</t>
  </si>
  <si>
    <t>Necesita_Custom</t>
  </si>
  <si>
    <t>Evidencia_Guardada</t>
  </si>
  <si>
    <t>EventID/Channel</t>
  </si>
  <si>
    <t>Regla/Title</t>
  </si>
  <si>
    <t>Severity/Level</t>
  </si>
  <si>
    <t>Calidad_Detección</t>
  </si>
  <si>
    <t>Detección</t>
  </si>
  <si>
    <t>Evento_Base_Visto</t>
  </si>
  <si>
    <t>Técnica_Ejecutada</t>
  </si>
  <si>
    <t>Activado/Ejecutado</t>
  </si>
  <si>
    <t>Importado/Disponible</t>
  </si>
  <si>
    <t>Evidencia_Esperada</t>
  </si>
  <si>
    <t>Configuración</t>
  </si>
  <si>
    <t>Objetivo_Prueba</t>
  </si>
  <si>
    <t>Táctica</t>
  </si>
  <si>
    <t>Artifact_Publico</t>
  </si>
  <si>
    <t>Perfil</t>
  </si>
  <si>
    <t>Fase</t>
  </si>
  <si>
    <t>No usar ahora</t>
  </si>
  <si>
    <t>Opcional</t>
  </si>
  <si>
    <t>Server.Import.Extras</t>
  </si>
  <si>
    <t>Análisis avanzado de registro</t>
  </si>
  <si>
    <t>Bajo demanda</t>
  </si>
  <si>
    <t>Público/forense</t>
  </si>
  <si>
    <t>Triage forense amplio; no HIDS continuo</t>
  </si>
  <si>
    <t>Probar con cautela</t>
  </si>
  <si>
    <t>Recomendado</t>
  </si>
  <si>
    <t>Built-in; requiere Sysinternals Autoruns si procede</t>
  </si>
  <si>
    <t>Persistencia amplia; posible ruido</t>
  </si>
  <si>
    <t>Medio/alto</t>
  </si>
  <si>
    <t>Built-in/Tool</t>
  </si>
  <si>
    <t>Probar Fase 3</t>
  </si>
  <si>
    <t>Built-in</t>
  </si>
  <si>
    <t>Evidencia de servicios instalados</t>
  </si>
  <si>
    <t>Bajo/medio</t>
  </si>
  <si>
    <t>Evidencia complementaria de tareas desde registro</t>
  </si>
  <si>
    <t>Medio</t>
  </si>
  <si>
    <t>Evidencia de tareas programadas</t>
  </si>
  <si>
    <t>Evidencia de Run Keys / Startup Folder</t>
  </si>
  <si>
    <t>Built-in o imports oficiales</t>
  </si>
  <si>
    <t>Evaluar persistencia pública tras técnicas</t>
  </si>
  <si>
    <t>Built-in/Pack</t>
  </si>
  <si>
    <t>Solo si hace falta</t>
  </si>
  <si>
    <t>Sigma artifacts</t>
  </si>
  <si>
    <t>Comparación secundaria si Hayabusa Rules no es suficiente</t>
  </si>
  <si>
    <t>Hunt histórico</t>
  </si>
  <si>
    <t>Público Sigma</t>
  </si>
  <si>
    <t>Windows.Sigma.Triage</t>
  </si>
  <si>
    <t>Probar después de Rules</t>
  </si>
  <si>
    <t>Obligatorio</t>
  </si>
  <si>
    <t>Importado desde Velociraptor.Sigma.Artifacts.zip o Server.Import.Extras</t>
  </si>
  <si>
    <t>Evaluar HIDS público en tiempo real</t>
  </si>
  <si>
    <t>TEC-001 a TEC-009 parcial</t>
  </si>
  <si>
    <t>Client Monitoring</t>
  </si>
  <si>
    <t>Público Sigma/Hayabusa</t>
  </si>
  <si>
    <t>Probar tras cada técnica</t>
  </si>
  <si>
    <t>Evaluar detección pública MITRE/Hayabusa sobre EVTX históricos</t>
  </si>
  <si>
    <t>Probar primero</t>
  </si>
  <si>
    <t>Evidencia Sysmon; no clasificación MITRE por sí sola</t>
  </si>
  <si>
    <t>Bajo/medio según volumen</t>
  </si>
  <si>
    <t>P4 Low / P2 High</t>
  </si>
  <si>
    <t>Línea base pública para creación de servicios / EventID 7045</t>
  </si>
  <si>
    <t>Built-in: View Artifacts → buscar nombre</t>
  </si>
  <si>
    <t>Línea base pública de visibilidad de procesos</t>
  </si>
  <si>
    <t>TEC-001/002/003/004/005/006; parcial 007/008/009</t>
  </si>
  <si>
    <t>Decisión</t>
  </si>
  <si>
    <t>Prioridad</t>
  </si>
  <si>
    <t>Dónde se obtiene</t>
  </si>
  <si>
    <t>Uso en el TFM</t>
  </si>
  <si>
    <t>Técnicas objetivo</t>
  </si>
  <si>
    <t>Consumo esperado</t>
  </si>
  <si>
    <t>Modo recomendado</t>
  </si>
  <si>
    <t>Staging / Archive</t>
  </si>
  <si>
    <t>Run Keys</t>
  </si>
  <si>
    <t>CMD</t>
  </si>
  <si>
    <t>Notas</t>
  </si>
  <si>
    <t>Custom necesario</t>
  </si>
  <si>
    <t>Conclusión pública</t>
  </si>
  <si>
    <t>Persistence/Triage</t>
  </si>
  <si>
    <t>Hayabusa.Monitoring</t>
  </si>
  <si>
    <t>Hayabusa.Rules</t>
  </si>
  <si>
    <t>SysmonLogForward</t>
  </si>
  <si>
    <t>ServiceCreation</t>
  </si>
  <si>
    <t>ProcessCreation</t>
  </si>
  <si>
    <t>Técnica</t>
  </si>
  <si>
    <t>Con la hoja 04_Matriz_Resultados decidir qué gaps justifican artifacts custom.</t>
  </si>
  <si>
    <t>6</t>
  </si>
  <si>
    <t>Usar persistence/triage solo después y como evidencia post-ejecución.</t>
  </si>
  <si>
    <t>5</t>
  </si>
  <si>
    <t>Activar Windows.Hayabusa.Monitoring y repetir pruebas clave.</t>
  </si>
  <si>
    <t>Ejecutar Windows.Hayabusa.Rules tras cada técnica.</t>
  </si>
  <si>
    <t>Ejecutar TEC-001 a TEC-009 una a una y rellenar la hoja 01_Control_Pruebas.</t>
  </si>
  <si>
    <t>Activar ProcessCreation, ServiceCreation y SysmonLogForward.</t>
  </si>
  <si>
    <t>Orden práctico</t>
  </si>
  <si>
    <t>La cobertura pública es insuficiente por falta de semántica MITRE, falso positivo, formato SOC, Discord o consumo.</t>
  </si>
  <si>
    <t>Criterio Custom necesario = Sí</t>
  </si>
  <si>
    <t>No genera evento útil pese a existir evidencia en el endpoint.</t>
  </si>
  <si>
    <t>Criterio Detecta = No</t>
  </si>
  <si>
    <t>El artifact ve actividad base, pero no clasifica técnica, severidad o MITRE de forma suficiente.</t>
  </si>
  <si>
    <t>Criterio Detecta = Parcial</t>
  </si>
  <si>
    <t>El artifact genera un evento útil y atribuible a la técnica probada.</t>
  </si>
  <si>
    <t>Criterio Detecta = Sí</t>
  </si>
  <si>
    <t>No ejecutar todos a la vez. Seguir fases: F1 built-in básico → F2 Sigma/Hayabusa → F3 persistencia/triage → F4 opcional.</t>
  </si>
  <si>
    <t>Regla de uso</t>
  </si>
  <si>
    <t>Comprobar primero qué detectan los artifacts públicos antes de justificar artifacts personalizados P4-P1.</t>
  </si>
  <si>
    <t>Objetivo</t>
  </si>
  <si>
    <t>Tabla de control - Evaluación de artifacts públicos Velociraptor</t>
  </si>
  <si>
    <t>Analizadas</t>
  </si>
  <si>
    <t>Resultado por fase</t>
  </si>
  <si>
    <t>Pruebas analizadas / Total</t>
  </si>
  <si>
    <t>% avance</t>
  </si>
  <si>
    <t>Necesita_Custom = Sí</t>
  </si>
  <si>
    <t>Custom necesario Sí</t>
  </si>
  <si>
    <t>Detección = No</t>
  </si>
  <si>
    <t>No detectadas</t>
  </si>
  <si>
    <t>Detección = Parcial</t>
  </si>
  <si>
    <t>Detectadas Parcial</t>
  </si>
  <si>
    <t>Detección = Sí</t>
  </si>
  <si>
    <t>Detectadas Sí</t>
  </si>
  <si>
    <t>Total - analizadas</t>
  </si>
  <si>
    <t>Pendientes</t>
  </si>
  <si>
    <t>Detección distinta de Pendiente</t>
  </si>
  <si>
    <t>Pruebas analizadas</t>
  </si>
  <si>
    <t>Filas de 01_Control_Pruebas</t>
  </si>
  <si>
    <t>Total pruebas</t>
  </si>
  <si>
    <t>Fórmula/criterio</t>
  </si>
  <si>
    <t>Métrica</t>
  </si>
  <si>
    <t>Resumen de avance - artifacts públicos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</si>
</sst>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 Unicode MS"/>
    </font>
    <font>
      <sz val="11"/>
      <color theme="1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name val="Carlito"/>
    </font>
    <font>
      <sz val="10"/>
      <color theme="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sz val="10"/>
      <color theme="1"/>
      <name val="Aptos Narrow"/>
    </font>
    <font>
      <b/>
      <sz val="10"/>
      <color rgb="FFFFFFFF"/>
      <name val="Aptos Narrow"/>
    </font>
    <font>
      <b/>
      <sz val="11"/>
      <color theme="1"/>
      <name val="Aptos Narrow"/>
    </font>
    <font>
      <b/>
      <sz val="14"/>
      <color rgb="FFFFFFFF"/>
      <name val="Aptos Narrow"/>
    </font>
    <font>
      <b/>
      <sz val="11"/>
      <color rgb="FFFFFFFF"/>
      <name val="Aptos Narrow"/>
    </font>
  </fonts>
  <fills count="16">
    <fill>
      <patternFill patternType="none"/>
    </fill>
    <fill>
      <patternFill patternType="gray125"/>
    </fill>
    <fill>
      <patternFill patternType="solid">
        <fgColor theme="4" tint="-0.49995422223578601"/>
        <bgColor indexed="65"/>
      </patternFill>
    </fill>
    <fill>
      <patternFill patternType="solid">
        <fgColor theme="9" tint="-0.4999542222357860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rgb="FF2F6338"/>
      </patternFill>
    </fill>
    <fill>
      <patternFill patternType="solid">
        <fgColor rgb="FF1F4E78"/>
      </patternFill>
    </fill>
    <fill>
      <patternFill patternType="solid">
        <fgColor rgb="FFF3FAEF"/>
      </patternFill>
    </fill>
    <fill>
      <patternFill patternType="solid">
        <fgColor rgb="FF6AA84F"/>
      </patternFill>
    </fill>
    <fill>
      <patternFill patternType="solid">
        <fgColor rgb="FFE2F0D9"/>
      </patternFill>
    </fill>
    <fill>
      <patternFill patternType="solid">
        <fgColor rgb="FF93C47D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7" fillId="0" borderId="0"/>
    <xf numFmtId="0" fontId="14" fillId="0" borderId="13"/>
    <xf numFmtId="0" fontId="15" fillId="0" borderId="13"/>
  </cellStyleXfs>
  <cellXfs count="8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9" fillId="0" borderId="0" xfId="2" applyFont="1" applyAlignment="1">
      <alignment horizontal="center" vertical="center"/>
    </xf>
    <xf numFmtId="0" fontId="8" fillId="0" borderId="0" xfId="0" applyFont="1"/>
    <xf numFmtId="0" fontId="10" fillId="8" borderId="0" xfId="0" applyFont="1" applyFill="1"/>
    <xf numFmtId="0" fontId="11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wrapText="1"/>
    </xf>
    <xf numFmtId="0" fontId="12" fillId="13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wrapText="1"/>
    </xf>
    <xf numFmtId="0" fontId="8" fillId="10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/>
    </xf>
    <xf numFmtId="0" fontId="9" fillId="0" borderId="0" xfId="2" applyFont="1" applyAlignment="1">
      <alignment horizontal="left" vertical="center"/>
    </xf>
    <xf numFmtId="0" fontId="11" fillId="15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vertical="center" wrapText="1"/>
    </xf>
    <xf numFmtId="0" fontId="8" fillId="10" borderId="10" xfId="0" applyFont="1" applyFill="1" applyBorder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10" fontId="8" fillId="10" borderId="8" xfId="0" applyNumberFormat="1" applyFont="1" applyFill="1" applyBorder="1" applyAlignment="1">
      <alignment horizontal="center" vertical="center" wrapText="1"/>
    </xf>
    <xf numFmtId="10" fontId="8" fillId="10" borderId="1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/>
    <xf numFmtId="0" fontId="0" fillId="0" borderId="3" xfId="0" applyBorder="1" applyAlignment="1">
      <alignment wrapText="1"/>
    </xf>
    <xf numFmtId="0" fontId="0" fillId="0" borderId="13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8" fillId="14" borderId="0" xfId="0" applyFont="1" applyFill="1" applyAlignment="1">
      <alignment horizontal="left" vertical="top"/>
    </xf>
    <xf numFmtId="1" fontId="8" fillId="14" borderId="0" xfId="0" applyNumberFormat="1" applyFont="1" applyFill="1" applyAlignment="1">
      <alignment horizontal="left" vertical="top"/>
    </xf>
    <xf numFmtId="0" fontId="0" fillId="0" borderId="13" xfId="0" applyBorder="1" applyAlignment="1">
      <alignment horizontal="left" vertical="center"/>
    </xf>
    <xf numFmtId="0" fontId="14" fillId="0" borderId="13" xfId="3"/>
    <xf numFmtId="0" fontId="8" fillId="0" borderId="13" xfId="3" applyFont="1"/>
    <xf numFmtId="0" fontId="8" fillId="0" borderId="13" xfId="3" applyFont="1" applyAlignment="1">
      <alignment horizontal="left"/>
    </xf>
    <xf numFmtId="0" fontId="8" fillId="0" borderId="13" xfId="3" applyFont="1" applyAlignment="1">
      <alignment wrapText="1"/>
    </xf>
    <xf numFmtId="0" fontId="11" fillId="9" borderId="13" xfId="3" applyFont="1" applyFill="1" applyAlignment="1">
      <alignment horizontal="center" wrapText="1"/>
    </xf>
    <xf numFmtId="10" fontId="8" fillId="0" borderId="13" xfId="3" applyNumberFormat="1" applyFont="1" applyAlignment="1">
      <alignment wrapText="1"/>
    </xf>
    <xf numFmtId="0" fontId="11" fillId="8" borderId="13" xfId="3" applyFont="1" applyFill="1" applyAlignment="1">
      <alignment horizontal="center"/>
    </xf>
    <xf numFmtId="0" fontId="14" fillId="0" borderId="13" xfId="3"/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13" fillId="12" borderId="3" xfId="3" applyFont="1" applyFill="1" applyBorder="1" applyAlignment="1">
      <alignment horizontal="center" vertical="center" wrapText="1"/>
    </xf>
    <xf numFmtId="0" fontId="14" fillId="0" borderId="18" xfId="3" applyBorder="1"/>
    <xf numFmtId="0" fontId="14" fillId="0" borderId="17" xfId="3" applyBorder="1"/>
    <xf numFmtId="0" fontId="14" fillId="0" borderId="16" xfId="3" applyBorder="1"/>
    <xf numFmtId="0" fontId="14" fillId="0" borderId="15" xfId="3" applyBorder="1"/>
    <xf numFmtId="0" fontId="14" fillId="0" borderId="14" xfId="3" applyBorder="1"/>
    <xf numFmtId="0" fontId="15" fillId="0" borderId="13" xfId="4"/>
    <xf numFmtId="0" fontId="16" fillId="0" borderId="13" xfId="4" applyFont="1"/>
    <xf numFmtId="0" fontId="16" fillId="0" borderId="13" xfId="4" applyFont="1" applyAlignment="1">
      <alignment wrapText="1"/>
    </xf>
    <xf numFmtId="0" fontId="17" fillId="9" borderId="13" xfId="4" applyFont="1" applyFill="1" applyAlignment="1">
      <alignment horizontal="center" vertical="center"/>
    </xf>
    <xf numFmtId="0" fontId="18" fillId="0" borderId="13" xfId="4" applyFont="1"/>
    <xf numFmtId="0" fontId="15" fillId="0" borderId="13" xfId="4" applyAlignment="1">
      <alignment wrapText="1"/>
    </xf>
    <xf numFmtId="0" fontId="19" fillId="9" borderId="13" xfId="4" applyFont="1" applyFill="1" applyAlignment="1">
      <alignment horizontal="center" wrapText="1"/>
    </xf>
    <xf numFmtId="0" fontId="15" fillId="0" borderId="13" xfId="4" applyAlignment="1">
      <alignment wrapText="1"/>
    </xf>
    <xf numFmtId="0" fontId="20" fillId="9" borderId="13" xfId="4" applyFont="1" applyFill="1" applyAlignment="1">
      <alignment horizontal="center" vertical="center" wrapText="1"/>
    </xf>
    <xf numFmtId="10" fontId="15" fillId="0" borderId="13" xfId="4" applyNumberFormat="1" applyAlignment="1">
      <alignment wrapText="1"/>
    </xf>
    <xf numFmtId="0" fontId="11" fillId="9" borderId="13" xfId="4" applyFont="1" applyFill="1" applyAlignment="1">
      <alignment horizontal="center" vertical="center" wrapText="1"/>
    </xf>
    <xf numFmtId="0" fontId="14" fillId="0" borderId="13" xfId="4" applyFont="1"/>
    <xf numFmtId="0" fontId="8" fillId="0" borderId="13" xfId="4" applyFont="1" applyAlignment="1">
      <alignment vertical="top" wrapText="1"/>
    </xf>
    <xf numFmtId="0" fontId="8" fillId="0" borderId="13" xfId="4" applyFont="1"/>
  </cellXfs>
  <cellStyles count="5">
    <cellStyle name="Hipervínculo" xfId="1" xr:uid="{00000000-0005-0000-0000-000000000000}"/>
    <cellStyle name="Normal" xfId="0" builtinId="0"/>
    <cellStyle name="Normal 2" xfId="2" xr:uid="{00000000-0005-0000-0000-000002000000}"/>
    <cellStyle name="Normal 3" xfId="3" xr:uid="{817A4B57-82D8-4FB2-994F-3401B4CF3495}"/>
    <cellStyle name="Normal 4" xfId="4" xr:uid="{2B1E8919-0B22-489B-8046-D6C78B88C50F}"/>
  </cellStyles>
  <dxfs count="145"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ill>
        <patternFill patternType="solid">
          <bgColor rgb="FFEEEEE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EEEE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EEEE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EEEE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EEEE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EEEE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EEEE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EEEE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FFFFFF"/>
      </font>
      <fill>
        <patternFill patternType="solid">
          <bgColor rgb="FFCC0000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FFFFFF"/>
      </font>
      <fill>
        <patternFill patternType="solid">
          <bgColor rgb="FFCC0000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FFFFFF"/>
      </font>
      <fill>
        <patternFill patternType="solid">
          <bgColor rgb="FFCC0000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FFFFFF"/>
      </font>
      <fill>
        <patternFill patternType="solid">
          <bgColor rgb="FFCC0000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FFFFFF"/>
      </font>
      <fill>
        <patternFill patternType="solid">
          <bgColor rgb="FFCC0000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FFFFFF"/>
      </font>
      <fill>
        <patternFill patternType="solid">
          <bgColor rgb="FFCC0000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FFFFFF"/>
      </font>
      <fill>
        <patternFill patternType="solid">
          <bgColor rgb="FFCC0000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FFFFFF"/>
      </font>
      <fill>
        <patternFill patternType="solid">
          <bgColor rgb="FFCC0000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Detección pública: Sí / Parcial / 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'09_Resumen'!$A$7:$A$9</c:f>
              <c:strCache>
                <c:ptCount val="3"/>
                <c:pt idx="0">
                  <c:v>Detectadas Sí</c:v>
                </c:pt>
                <c:pt idx="1">
                  <c:v>Detectadas Parcial</c:v>
                </c:pt>
                <c:pt idx="2">
                  <c:v>No detectadas</c:v>
                </c:pt>
              </c:strCache>
            </c:strRef>
          </c:cat>
          <c:val>
            <c:numRef>
              <c:f>'09_Resumen'!$B$7:$B$9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2-41DD-94A9-2239B2751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spPr>
            <a:ln>
              <a:prstDash val="solid"/>
            </a:ln>
          </c:spPr>
          <c:invertIfNegative val="1"/>
          <c:cat>
            <c:strRef>
              <c:f>'05_Datos_Graficos'!$A$9:$A$12</c:f>
              <c:strCache>
                <c:ptCount val="4"/>
                <c:pt idx="0">
                  <c:v>VP</c:v>
                </c:pt>
                <c:pt idx="1">
                  <c:v>VN</c:v>
                </c:pt>
                <c:pt idx="2">
                  <c:v>FP</c:v>
                </c:pt>
                <c:pt idx="3">
                  <c:v>FN</c:v>
                </c:pt>
              </c:strCache>
            </c:strRef>
          </c:cat>
          <c:val>
            <c:numRef>
              <c:f>'05_Datos_Graficos'!$B$9:$B$12</c:f>
              <c:numCache>
                <c:formatCode>General</c:formatCode>
                <c:ptCount val="4"/>
                <c:pt idx="0">
                  <c:v>9</c:v>
                </c:pt>
                <c:pt idx="1">
                  <c:v>14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0-40B7-B66E-CA8C69872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Nº de pruebas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'05_Datos_Graficos'!$B$4:$B$5</c:f>
              <c:numCache>
                <c:formatCode>General</c:formatCode>
                <c:ptCount val="2"/>
                <c:pt idx="0">
                  <c:v>9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6-4727-B670-4F876A8FCE1E}"/>
            </c:ext>
          </c:extLst>
        </c:ser>
        <c:ser>
          <c:idx val="1"/>
          <c:order val="1"/>
          <c:tx>
            <c:v>Detectados</c:v>
          </c:tx>
          <c:spPr>
            <a:ln>
              <a:prstDash val="solid"/>
            </a:ln>
          </c:spPr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'05_Datos_Graficos'!$C$4:$C$5</c:f>
              <c:numCache>
                <c:formatCode>General</c:formatCode>
                <c:ptCount val="2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6-4727-B670-4F876A8FCE1E}"/>
            </c:ext>
          </c:extLst>
        </c:ser>
        <c:ser>
          <c:idx val="2"/>
          <c:order val="2"/>
          <c:tx>
            <c:v>Correctos</c:v>
          </c:tx>
          <c:spPr>
            <a:ln>
              <a:prstDash val="solid"/>
            </a:ln>
          </c:spPr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'05_Datos_Graficos'!$D$4:$D$5</c:f>
              <c:numCache>
                <c:formatCode>General</c:formatCode>
                <c:ptCount val="2"/>
                <c:pt idx="0">
                  <c:v>9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26-4727-B670-4F876A8FCE1E}"/>
            </c:ext>
          </c:extLst>
        </c:ser>
        <c:ser>
          <c:idx val="3"/>
          <c:order val="3"/>
          <c:tx>
            <c:v>FP</c:v>
          </c:tx>
          <c:spPr>
            <a:ln>
              <a:prstDash val="solid"/>
            </a:ln>
          </c:spPr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'05_Datos_Graficos'!$G$4:$G$5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26-4727-B670-4F876A8FCE1E}"/>
            </c:ext>
          </c:extLst>
        </c:ser>
        <c:ser>
          <c:idx val="4"/>
          <c:order val="4"/>
          <c:tx>
            <c:v>FN</c:v>
          </c:tx>
          <c:spPr>
            <a:ln>
              <a:prstDash val="solid"/>
            </a:ln>
          </c:spPr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'05_Datos_Graficos'!$H$4:$H$5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26-4727-B670-4F876A8F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Nº de pruebas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spPr>
            <a:ln>
              <a:prstDash val="solid"/>
            </a:ln>
          </c:spPr>
          <c:invertIfNegative val="1"/>
          <c:cat>
            <c:strRef>
              <c:f>'05_Datos_Graficos'!$D$9:$D$12</c:f>
              <c:strCache>
                <c:ptCount val="4"/>
                <c:pt idx="0">
                  <c:v>Detección TEC</c:v>
                </c:pt>
                <c:pt idx="1">
                  <c:v>Falsos positivos OB</c:v>
                </c:pt>
                <c:pt idx="2">
                  <c:v>Exactitud global</c:v>
                </c:pt>
                <c:pt idx="3">
                  <c:v>Exactitud ajustada dual-use</c:v>
                </c:pt>
              </c:strCache>
            </c:strRef>
          </c:cat>
          <c:val>
            <c:numRef>
              <c:f>'05_Datos_Graficos'!$E$9:$E$12</c:f>
              <c:numCache>
                <c:formatCode>0.00%</c:formatCode>
                <c:ptCount val="4"/>
                <c:pt idx="0">
                  <c:v>1</c:v>
                </c:pt>
                <c:pt idx="1">
                  <c:v>6.6666666666666666E-2</c:v>
                </c:pt>
                <c:pt idx="2">
                  <c:v>0.95833333333333337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F-491F-84C9-3BDC1561E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Porcentaje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spPr>
            <a:ln>
              <a:prstDash val="solid"/>
            </a:ln>
          </c:spPr>
          <c:invertIfNegative val="1"/>
          <c:cat>
            <c:strRef>
              <c:f>'05_Datos_Graficos'!$G$9:$G$13</c:f>
              <c:strCache>
                <c:ptCount val="5"/>
                <c:pt idx="0">
                  <c:v>Execution</c:v>
                </c:pt>
                <c:pt idx="1">
                  <c:v>Persistence</c:v>
                </c:pt>
                <c:pt idx="2">
                  <c:v>Discovery</c:v>
                </c:pt>
                <c:pt idx="3">
                  <c:v>Impact</c:v>
                </c:pt>
                <c:pt idx="4">
                  <c:v>Exfiltration</c:v>
                </c:pt>
              </c:strCache>
            </c:strRef>
          </c:cat>
          <c:val>
            <c:numRef>
              <c:f>'05_Datos_Graficos'!$H$9:$H$13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3-42F6-BDF4-89F00F01A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Nº técnicas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Correcto</c:v>
          </c:tx>
          <c:spPr>
            <a:ln>
              <a:prstDash val="solid"/>
            </a:ln>
          </c:spPr>
          <c:invertIfNegative val="1"/>
          <c:cat>
            <c:strRef>
              <c:f>'05_Datos_Graficos'!$A$17:$A$40</c:f>
              <c:strCache>
                <c:ptCount val="24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  <c:pt idx="9">
                  <c:v>OB-001</c:v>
                </c:pt>
                <c:pt idx="10">
                  <c:v>OB-002</c:v>
                </c:pt>
                <c:pt idx="11">
                  <c:v>OB-003</c:v>
                </c:pt>
                <c:pt idx="12">
                  <c:v>OB-004</c:v>
                </c:pt>
                <c:pt idx="13">
                  <c:v>OB-005</c:v>
                </c:pt>
                <c:pt idx="14">
                  <c:v>OB-006</c:v>
                </c:pt>
                <c:pt idx="15">
                  <c:v>OB-007</c:v>
                </c:pt>
                <c:pt idx="16">
                  <c:v>OB-008</c:v>
                </c:pt>
                <c:pt idx="17">
                  <c:v>OB-009</c:v>
                </c:pt>
                <c:pt idx="18">
                  <c:v>OB-010</c:v>
                </c:pt>
                <c:pt idx="19">
                  <c:v>OB-011</c:v>
                </c:pt>
                <c:pt idx="20">
                  <c:v>OB-012</c:v>
                </c:pt>
                <c:pt idx="21">
                  <c:v>OB-013</c:v>
                </c:pt>
                <c:pt idx="22">
                  <c:v>OB-014</c:v>
                </c:pt>
                <c:pt idx="23">
                  <c:v>OB-015</c:v>
                </c:pt>
              </c:strCache>
            </c:strRef>
          </c:cat>
          <c:val>
            <c:numRef>
              <c:f>'05_Datos_Graficos'!$D$17:$D$40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B-41EA-B219-77601E13DBBA}"/>
            </c:ext>
          </c:extLst>
        </c:ser>
        <c:ser>
          <c:idx val="1"/>
          <c:order val="1"/>
          <c:tx>
            <c:v>FP</c:v>
          </c:tx>
          <c:spPr>
            <a:ln>
              <a:prstDash val="solid"/>
            </a:ln>
          </c:spPr>
          <c:invertIfNegative val="1"/>
          <c:cat>
            <c:strRef>
              <c:f>'05_Datos_Graficos'!$A$17:$A$40</c:f>
              <c:strCache>
                <c:ptCount val="24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  <c:pt idx="9">
                  <c:v>OB-001</c:v>
                </c:pt>
                <c:pt idx="10">
                  <c:v>OB-002</c:v>
                </c:pt>
                <c:pt idx="11">
                  <c:v>OB-003</c:v>
                </c:pt>
                <c:pt idx="12">
                  <c:v>OB-004</c:v>
                </c:pt>
                <c:pt idx="13">
                  <c:v>OB-005</c:v>
                </c:pt>
                <c:pt idx="14">
                  <c:v>OB-006</c:v>
                </c:pt>
                <c:pt idx="15">
                  <c:v>OB-007</c:v>
                </c:pt>
                <c:pt idx="16">
                  <c:v>OB-008</c:v>
                </c:pt>
                <c:pt idx="17">
                  <c:v>OB-009</c:v>
                </c:pt>
                <c:pt idx="18">
                  <c:v>OB-010</c:v>
                </c:pt>
                <c:pt idx="19">
                  <c:v>OB-011</c:v>
                </c:pt>
                <c:pt idx="20">
                  <c:v>OB-012</c:v>
                </c:pt>
                <c:pt idx="21">
                  <c:v>OB-013</c:v>
                </c:pt>
                <c:pt idx="22">
                  <c:v>OB-014</c:v>
                </c:pt>
                <c:pt idx="23">
                  <c:v>OB-015</c:v>
                </c:pt>
              </c:strCache>
            </c:strRef>
          </c:cat>
          <c:val>
            <c:numRef>
              <c:f>'05_Datos_Graficos'!$E$17:$E$40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EB-41EA-B219-77601E13DBBA}"/>
            </c:ext>
          </c:extLst>
        </c:ser>
        <c:ser>
          <c:idx val="2"/>
          <c:order val="2"/>
          <c:tx>
            <c:v>FN</c:v>
          </c:tx>
          <c:spPr>
            <a:ln>
              <a:prstDash val="solid"/>
            </a:ln>
          </c:spPr>
          <c:invertIfNegative val="1"/>
          <c:cat>
            <c:strRef>
              <c:f>'05_Datos_Graficos'!$A$17:$A$40</c:f>
              <c:strCache>
                <c:ptCount val="24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  <c:pt idx="9">
                  <c:v>OB-001</c:v>
                </c:pt>
                <c:pt idx="10">
                  <c:v>OB-002</c:v>
                </c:pt>
                <c:pt idx="11">
                  <c:v>OB-003</c:v>
                </c:pt>
                <c:pt idx="12">
                  <c:v>OB-004</c:v>
                </c:pt>
                <c:pt idx="13">
                  <c:v>OB-005</c:v>
                </c:pt>
                <c:pt idx="14">
                  <c:v>OB-006</c:v>
                </c:pt>
                <c:pt idx="15">
                  <c:v>OB-007</c:v>
                </c:pt>
                <c:pt idx="16">
                  <c:v>OB-008</c:v>
                </c:pt>
                <c:pt idx="17">
                  <c:v>OB-009</c:v>
                </c:pt>
                <c:pt idx="18">
                  <c:v>OB-010</c:v>
                </c:pt>
                <c:pt idx="19">
                  <c:v>OB-011</c:v>
                </c:pt>
                <c:pt idx="20">
                  <c:v>OB-012</c:v>
                </c:pt>
                <c:pt idx="21">
                  <c:v>OB-013</c:v>
                </c:pt>
                <c:pt idx="22">
                  <c:v>OB-014</c:v>
                </c:pt>
                <c:pt idx="23">
                  <c:v>OB-015</c:v>
                </c:pt>
              </c:strCache>
            </c:strRef>
          </c:cat>
          <c:val>
            <c:numRef>
              <c:f>'05_Datos_Graficos'!$F$17:$F$40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EB-41EA-B219-77601E13DBBA}"/>
            </c:ext>
          </c:extLst>
        </c:ser>
        <c:ser>
          <c:idx val="3"/>
          <c:order val="3"/>
          <c:tx>
            <c:v>Dual-use</c:v>
          </c:tx>
          <c:spPr>
            <a:ln>
              <a:prstDash val="solid"/>
            </a:ln>
          </c:spPr>
          <c:invertIfNegative val="1"/>
          <c:cat>
            <c:strRef>
              <c:f>'05_Datos_Graficos'!$A$17:$A$40</c:f>
              <c:strCache>
                <c:ptCount val="24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  <c:pt idx="9">
                  <c:v>OB-001</c:v>
                </c:pt>
                <c:pt idx="10">
                  <c:v>OB-002</c:v>
                </c:pt>
                <c:pt idx="11">
                  <c:v>OB-003</c:v>
                </c:pt>
                <c:pt idx="12">
                  <c:v>OB-004</c:v>
                </c:pt>
                <c:pt idx="13">
                  <c:v>OB-005</c:v>
                </c:pt>
                <c:pt idx="14">
                  <c:v>OB-006</c:v>
                </c:pt>
                <c:pt idx="15">
                  <c:v>OB-007</c:v>
                </c:pt>
                <c:pt idx="16">
                  <c:v>OB-008</c:v>
                </c:pt>
                <c:pt idx="17">
                  <c:v>OB-009</c:v>
                </c:pt>
                <c:pt idx="18">
                  <c:v>OB-010</c:v>
                </c:pt>
                <c:pt idx="19">
                  <c:v>OB-011</c:v>
                </c:pt>
                <c:pt idx="20">
                  <c:v>OB-012</c:v>
                </c:pt>
                <c:pt idx="21">
                  <c:v>OB-013</c:v>
                </c:pt>
                <c:pt idx="22">
                  <c:v>OB-014</c:v>
                </c:pt>
                <c:pt idx="23">
                  <c:v>OB-015</c:v>
                </c:pt>
              </c:strCache>
            </c:strRef>
          </c:cat>
          <c:val>
            <c:numRef>
              <c:f>'05_Datos_Graficos'!$G$17:$G$40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EB-41EA-B219-77601E13D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Indicador binario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Detectado</c:v>
          </c:tx>
          <c:spPr>
            <a:ln>
              <a:prstDash val="solid"/>
            </a:ln>
          </c:spPr>
          <c:invertIfNegative val="1"/>
          <c:cat>
            <c:strRef>
              <c:f>'05_Datos_Graficos'!$A$17:$A$40</c:f>
              <c:strCache>
                <c:ptCount val="24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  <c:pt idx="9">
                  <c:v>OB-001</c:v>
                </c:pt>
                <c:pt idx="10">
                  <c:v>OB-002</c:v>
                </c:pt>
                <c:pt idx="11">
                  <c:v>OB-003</c:v>
                </c:pt>
                <c:pt idx="12">
                  <c:v>OB-004</c:v>
                </c:pt>
                <c:pt idx="13">
                  <c:v>OB-005</c:v>
                </c:pt>
                <c:pt idx="14">
                  <c:v>OB-006</c:v>
                </c:pt>
                <c:pt idx="15">
                  <c:v>OB-007</c:v>
                </c:pt>
                <c:pt idx="16">
                  <c:v>OB-008</c:v>
                </c:pt>
                <c:pt idx="17">
                  <c:v>OB-009</c:v>
                </c:pt>
                <c:pt idx="18">
                  <c:v>OB-010</c:v>
                </c:pt>
                <c:pt idx="19">
                  <c:v>OB-011</c:v>
                </c:pt>
                <c:pt idx="20">
                  <c:v>OB-012</c:v>
                </c:pt>
                <c:pt idx="21">
                  <c:v>OB-013</c:v>
                </c:pt>
                <c:pt idx="22">
                  <c:v>OB-014</c:v>
                </c:pt>
                <c:pt idx="23">
                  <c:v>OB-015</c:v>
                </c:pt>
              </c:strCache>
            </c:strRef>
          </c:cat>
          <c:val>
            <c:numRef>
              <c:f>'05_Datos_Graficos'!$C$17:$C$40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5-4BB8-810D-8BD9E872F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Detectado =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CA2B7F2-B9A2-436B-96C7-83F365638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72DE7-C0D9-4F63-9A5D-96576B0C0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516BC0-AE98-4699-9B59-B16FD4175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54F75E-0DD1-4947-9FA7-0241DB5EB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B396E2-C319-466C-8D6F-C52354FD9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17</xdr:col>
      <xdr:colOff>0</xdr:colOff>
      <xdr:row>64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DD4808-6595-46B3-814F-4A22B775F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17</xdr:col>
      <xdr:colOff>0</xdr:colOff>
      <xdr:row>86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76C336-392D-4E42-ABFE-1233153A3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Tecnicas" displayName="tblTecnicas" ref="A1:O10">
  <autoFilter ref="A1:O10" xr:uid="{00000000-0009-0000-0100-000003000000}"/>
  <tableColumns count="15">
    <tableColumn id="1" xr3:uid="{00000000-0010-0000-0000-000001000000}" name="ID_Tecnica_Interna"/>
    <tableColumn id="2" xr3:uid="{00000000-0010-0000-0000-000002000000}" name="Táctica_MITRE"/>
    <tableColumn id="3" xr3:uid="{00000000-0010-0000-0000-000003000000}" name="ID_Táctica"/>
    <tableColumn id="4" xr3:uid="{00000000-0010-0000-0000-000004000000}" name="Técnica_MITRE"/>
    <tableColumn id="5" xr3:uid="{00000000-0010-0000-0000-000005000000}" name="ID_Técnica"/>
    <tableColumn id="6" xr3:uid="{00000000-0010-0000-0000-000006000000}" name="Subtécnica"/>
    <tableColumn id="7" xr3:uid="{00000000-0010-0000-0000-000007000000}" name="ID_Subtécnica"/>
    <tableColumn id="8" xr3:uid="{00000000-0010-0000-0000-000008000000}" name="Descripción"/>
    <tableColumn id="9" xr3:uid="{00000000-0010-0000-0000-000009000000}" name="Justificación_selección"/>
    <tableColumn id="10" xr3:uid="{00000000-0010-0000-0000-00000A000000}" name="Observable_en_HOST"/>
    <tableColumn id="11" xr3:uid="{00000000-0010-0000-0000-00000B000000}" name="Tipo_de_Evidencia_Host_Esperada"/>
    <tableColumn id="12" xr3:uid="{00000000-0010-0000-0000-00000C000000}" name="Procedimiento_de_Prueba"/>
    <tableColumn id="14" xr3:uid="{00000000-0010-0000-0000-00000E000000}" name="Criterio_de_Éxito"/>
    <tableColumn id="15" xr3:uid="{00000000-0010-0000-0000-00000F000000}" name="Notas_Tecnicas"/>
    <tableColumn id="16" xr3:uid="{00000000-0010-0000-0000-000010000000}" name="Enlace_Refer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peraciones_Benignas" displayName="Operaciones_Benignas" ref="A1:J16">
  <autoFilter ref="A1:J16" xr:uid="{00000000-0009-0000-0100-000001000000}"/>
  <tableColumns count="10">
    <tableColumn id="1" xr3:uid="{00000000-0010-0000-0100-000001000000}" name="ID_Operación_Benigna"/>
    <tableColumn id="2" xr3:uid="{00000000-0010-0000-0100-000002000000}" name="Operación benigna"/>
    <tableColumn id="3" xr3:uid="{00000000-0010-0000-0100-000003000000}" name="Descripción"/>
    <tableColumn id="4" xr3:uid="{00000000-0010-0000-0100-000004000000}" name="Justificación_selección"/>
    <tableColumn id="5" xr3:uid="{00000000-0010-0000-0100-000005000000}" name="Observable_en_HOST"/>
    <tableColumn id="6" xr3:uid="{00000000-0010-0000-0100-000006000000}" name="Tipo_de_Evidencia_Host_Esperada"/>
    <tableColumn id="7" xr3:uid="{00000000-0010-0000-0100-000007000000}" name="Procedimiento_de_Prueba"/>
    <tableColumn id="8" xr3:uid="{00000000-0010-0000-0100-000008000000}" name="Criterio_de_Éxito"/>
    <tableColumn id="9" xr3:uid="{00000000-0010-0000-0100-000009000000}" name="Notas_Tecnicas"/>
    <tableColumn id="10" xr3:uid="{00000000-0010-0000-0100-00000A000000}" name="Código_usad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EvaluaciónVR" displayName="EvaluaciónVR" ref="B1:S25" dataDxfId="144">
  <autoFilter ref="B1:S25" xr:uid="{00000000-0009-0000-0100-000004000000}"/>
  <tableColumns count="18">
    <tableColumn id="4" xr3:uid="{00000000-0010-0000-0200-000004000000}" name="ID_Interna" dataDxfId="143"/>
    <tableColumn id="5" xr3:uid="{00000000-0010-0000-0200-000005000000}" name="Evidencia_Host_Observada" dataDxfId="142"/>
    <tableColumn id="6" xr3:uid="{00000000-0010-0000-0200-000006000000}" name="Escenario_Prueba" dataDxfId="141"/>
    <tableColumn id="16385" xr3:uid="{00000000-0010-0000-0200-000001400000}" name="VM_Snapshot_ID" dataDxfId="140"/>
    <tableColumn id="2" xr3:uid="{00000000-0010-0000-0200-000002000000}" name="Version_Velociraptor" dataDxfId="139"/>
    <tableColumn id="7" xr3:uid="{00000000-0010-0000-0200-000007000000}" name="Artefacto_VR_Usado" dataDxfId="138"/>
    <tableColumn id="8" xr3:uid="{00000000-0010-0000-0200-000008000000}" name="Tipo_Artefacto" dataDxfId="137"/>
    <tableColumn id="9" xr3:uid="{00000000-0010-0000-0200-000009000000}" name="Modo_Ejecución" dataDxfId="136"/>
    <tableColumn id="10" xr3:uid="{00000000-0010-0000-0200-00000A000000}" name="Resultado_Detección" dataDxfId="135"/>
    <tableColumn id="11" xr3:uid="{00000000-0010-0000-0200-00000B000000}" name="Ground_Truth" dataDxfId="134"/>
    <tableColumn id="12" xr3:uid="{00000000-0010-0000-0200-00000C000000}" name="Clasificacion_Resultado" dataDxfId="133"/>
    <tableColumn id="13" xr3:uid="{00000000-0010-0000-0200-00000D000000}" name="Resumen_Evidencia" dataDxfId="132"/>
    <tableColumn id="14" xr3:uid="{00000000-0010-0000-0200-00000E000000}" name="Tiempo_Hasta_Evidencia" dataDxfId="131"/>
    <tableColumn id="15" xr3:uid="{00000000-0010-0000-0200-00000F000000}" name="Replicable" dataDxfId="130"/>
    <tableColumn id="16" xr3:uid="{00000000-0010-0000-0200-000010000000}" name="Ref_Captura_Log_Anexo" dataDxfId="129"/>
    <tableColumn id="17" xr3:uid="{00000000-0010-0000-0200-000011000000}" name="Fuente_Telemetria_Host" dataDxfId="128"/>
    <tableColumn id="19" xr3:uid="{00000000-0010-0000-0200-000013000000}" name="Deteccion_VR_OK" dataDxfId="127"/>
    <tableColumn id="20" xr3:uid="{00000000-0010-0000-0200-000014000000}" name="Comentario" dataDxfId="1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ResumenTFMTable" displayName="ResumenTFMTable" ref="A20:U44" headerRowDxfId="125" dataDxfId="124">
  <tableColumns count="21">
    <tableColumn id="1" xr3:uid="{00000000-0010-0000-0300-000001000000}" name="ID_Prueba" dataDxfId="123"/>
    <tableColumn id="2" xr3:uid="{00000000-0010-0000-0300-000002000000}" name="ID_Interna" dataDxfId="122"/>
    <tableColumn id="3" xr3:uid="{00000000-0010-0000-0300-000003000000}" name="Tipo" dataDxfId="121">
      <calculatedColumnFormula>IF(LEFT(B21,3)="TEC","TEC",IF(LEFT(B21,2)="OB","OB",""))</calculatedColumnFormula>
    </tableColumn>
    <tableColumn id="4" xr3:uid="{00000000-0010-0000-0300-000004000000}" name="Grupo/Operación" dataDxfId="120"/>
    <tableColumn id="5" xr3:uid="{00000000-0010-0000-0300-000005000000}" name="MITRE/Técnica" dataDxfId="119"/>
    <tableColumn id="6" xr3:uid="{00000000-0010-0000-0300-000006000000}" name="Resultado_Detección" dataDxfId="118"/>
    <tableColumn id="7" xr3:uid="{00000000-0010-0000-0300-000007000000}" name="Ground_Truth" dataDxfId="117"/>
    <tableColumn id="8" xr3:uid="{00000000-0010-0000-0300-000008000000}" name="Clasificacion_Resultado" dataDxfId="116"/>
    <tableColumn id="9" xr3:uid="{00000000-0010-0000-0300-000009000000}" name="Clase_Normalizada" dataDxfId="115">
      <calculatedColumnFormula>IF(AND(G21="Positivo",F21="Detectado"),"VP",IF(AND(G21="Positivo",F21&lt;&gt;"Detectado"),"FN",IF(AND(G21="Negativo",F21="Detectado"),"FP",IF(AND(G21="Negativo",F21&lt;&gt;"Detectado"),"VN","NE"))))</calculatedColumnFormula>
    </tableColumn>
    <tableColumn id="10" xr3:uid="{00000000-0010-0000-0300-00000A000000}" name="Detectado_Bin" dataDxfId="114">
      <calculatedColumnFormula>IF(F21="Detectado",1,0)</calculatedColumnFormula>
    </tableColumn>
    <tableColumn id="11" xr3:uid="{00000000-0010-0000-0300-00000B000000}" name="GroundTruth_Bin" dataDxfId="113">
      <calculatedColumnFormula>IF(G21="Positivo",1,0)</calculatedColumnFormula>
    </tableColumn>
    <tableColumn id="12" xr3:uid="{00000000-0010-0000-0300-00000C000000}" name="Correcto_Bin" dataDxfId="112">
      <calculatedColumnFormula>IF(OR(I21="VP",I21="VN"),1,0)</calculatedColumnFormula>
    </tableColumn>
    <tableColumn id="13" xr3:uid="{00000000-0010-0000-0300-00000D000000}" name="VP_Bin" dataDxfId="111">
      <calculatedColumnFormula>IF(I21="VP",1,0)</calculatedColumnFormula>
    </tableColumn>
    <tableColumn id="14" xr3:uid="{00000000-0010-0000-0300-00000E000000}" name="VN_Bin" dataDxfId="110">
      <calculatedColumnFormula>IF(I21="VN",1,0)</calculatedColumnFormula>
    </tableColumn>
    <tableColumn id="15" xr3:uid="{00000000-0010-0000-0300-00000F000000}" name="FP_Bin" dataDxfId="109">
      <calculatedColumnFormula>IF(I21="FP",1,0)</calculatedColumnFormula>
    </tableColumn>
    <tableColumn id="16" xr3:uid="{00000000-0010-0000-0300-000010000000}" name="FN_Bin" dataDxfId="108">
      <calculatedColumnFormula>IF(I21="FN",1,0)</calculatedColumnFormula>
    </tableColumn>
    <tableColumn id="17" xr3:uid="{00000000-0010-0000-0300-000011000000}" name="DualUse_Bin" dataDxfId="107">
      <calculatedColumnFormula>IF(ISNUMBER(SEARCH("dual",LOWER(H21&amp;" "&amp;U21))),1,0)</calculatedColumnFormula>
    </tableColumn>
    <tableColumn id="18" xr3:uid="{00000000-0010-0000-0300-000012000000}" name="Replicable" dataDxfId="106"/>
    <tableColumn id="19" xr3:uid="{00000000-0010-0000-0300-000013000000}" name="Deteccion_VR_OK" dataDxfId="105"/>
    <tableColumn id="20" xr3:uid="{00000000-0010-0000-0300-000014000000}" name="Ref_Captura" dataDxfId="104"/>
    <tableColumn id="21" xr3:uid="{00000000-0010-0000-0300-000015000000}" name="Comentario_TFM" dataDxfId="103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B1134-A62F-45EB-A602-224FAB842DBF}" name="ControlPruebasPublicos" displayName="ControlPruebasPublicos" ref="A1:X41" headerRowDxfId="2" dataDxfId="0" totalsRowDxfId="1">
  <tableColumns count="24">
    <tableColumn id="1" xr3:uid="{00000000-0010-0000-0000-000001000000}" name="ID_Prueba" dataDxfId="26"/>
    <tableColumn id="2" xr3:uid="{00000000-0010-0000-0000-000002000000}" name="Fase" dataDxfId="25"/>
    <tableColumn id="3" xr3:uid="{00000000-0010-0000-0000-000003000000}" name="Perfil" dataDxfId="24"/>
    <tableColumn id="4" xr3:uid="{00000000-0010-0000-0000-000004000000}" name="Artifact_Publico" dataDxfId="23"/>
    <tableColumn id="5" xr3:uid="{00000000-0010-0000-0000-000005000000}" name="Modo" dataDxfId="22"/>
    <tableColumn id="6" xr3:uid="{00000000-0010-0000-0000-000006000000}" name="Fuente" dataDxfId="21"/>
    <tableColumn id="7" xr3:uid="{00000000-0010-0000-0000-000007000000}" name="TEC" dataDxfId="20"/>
    <tableColumn id="8" xr3:uid="{00000000-0010-0000-0000-000008000000}" name="MITRE" dataDxfId="19"/>
    <tableColumn id="9" xr3:uid="{00000000-0010-0000-0000-000009000000}" name="Táctica" dataDxfId="18"/>
    <tableColumn id="10" xr3:uid="{00000000-0010-0000-0000-00000A000000}" name="Objetivo_Prueba" dataDxfId="17"/>
    <tableColumn id="11" xr3:uid="{00000000-0010-0000-0000-00000B000000}" name="Configuración" dataDxfId="16"/>
    <tableColumn id="12" xr3:uid="{00000000-0010-0000-0000-00000C000000}" name="Evidencia_Esperada" dataDxfId="15"/>
    <tableColumn id="13" xr3:uid="{00000000-0010-0000-0000-00000D000000}" name="Importado/Disponible" dataDxfId="14"/>
    <tableColumn id="14" xr3:uid="{00000000-0010-0000-0000-00000E000000}" name="Activado/Ejecutado" dataDxfId="13"/>
    <tableColumn id="15" xr3:uid="{00000000-0010-0000-0000-00000F000000}" name="Técnica_Ejecutada" dataDxfId="12"/>
    <tableColumn id="16" xr3:uid="{00000000-0010-0000-0000-000010000000}" name="Evento_Base_Visto" dataDxfId="11"/>
    <tableColumn id="17" xr3:uid="{00000000-0010-0000-0000-000011000000}" name="Detección" dataDxfId="10"/>
    <tableColumn id="18" xr3:uid="{00000000-0010-0000-0000-000012000000}" name="Calidad_Detección" dataDxfId="9"/>
    <tableColumn id="19" xr3:uid="{00000000-0010-0000-0000-000013000000}" name="Severity/Level" dataDxfId="8"/>
    <tableColumn id="20" xr3:uid="{00000000-0010-0000-0000-000014000000}" name="Regla/Title" dataDxfId="7"/>
    <tableColumn id="21" xr3:uid="{00000000-0010-0000-0000-000015000000}" name="EventID/Channel" dataDxfId="6"/>
    <tableColumn id="22" xr3:uid="{00000000-0010-0000-0000-000016000000}" name="Evidencia_Guardada" dataDxfId="5"/>
    <tableColumn id="23" xr3:uid="{00000000-0010-0000-0000-000017000000}" name="Necesita_Custom" dataDxfId="4"/>
    <tableColumn id="24" xr3:uid="{00000000-0010-0000-0000-000018000000}" name="Comentario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FDC443-4A42-42DC-AD10-D07EC6C2858C}" name="CatalogoArtifacts" displayName="CatalogoArtifacts" ref="A1:J15">
  <tableColumns count="10">
    <tableColumn id="1" xr3:uid="{00000000-0010-0000-0100-000001000000}" name="Artifact"/>
    <tableColumn id="2" xr3:uid="{00000000-0010-0000-0100-000002000000}" name="Tipo"/>
    <tableColumn id="3" xr3:uid="{00000000-0010-0000-0100-000003000000}" name="Modo recomendado"/>
    <tableColumn id="4" xr3:uid="{00000000-0010-0000-0100-000004000000}" name="Perfil"/>
    <tableColumn id="5" xr3:uid="{00000000-0010-0000-0100-000005000000}" name="Consumo esperado"/>
    <tableColumn id="6" xr3:uid="{00000000-0010-0000-0100-000006000000}" name="Técnicas objetivo"/>
    <tableColumn id="7" xr3:uid="{00000000-0010-0000-0100-000007000000}" name="Uso en el TFM"/>
    <tableColumn id="8" xr3:uid="{00000000-0010-0000-0100-000008000000}" name="Dónde se obtiene"/>
    <tableColumn id="9" xr3:uid="{00000000-0010-0000-0100-000009000000}" name="Prioridad"/>
    <tableColumn id="10" xr3:uid="{00000000-0010-0000-0100-00000A000000}" name="Decis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8F8EED-F522-43F3-A4D8-EE758ED5A38B}" name="MatrizResultados" displayName="MatrizResultados" ref="A1:L10">
  <tableColumns count="12">
    <tableColumn id="1" xr3:uid="{00000000-0010-0000-0300-000001000000}" name="TEC"/>
    <tableColumn id="2" xr3:uid="{00000000-0010-0000-0300-000002000000}" name="MITRE"/>
    <tableColumn id="3" xr3:uid="{00000000-0010-0000-0300-000003000000}" name="Técnica"/>
    <tableColumn id="4" xr3:uid="{00000000-0010-0000-0300-000004000000}" name="ProcessCreation"/>
    <tableColumn id="5" xr3:uid="{00000000-0010-0000-0300-000005000000}" name="ServiceCreation"/>
    <tableColumn id="6" xr3:uid="{00000000-0010-0000-0300-000006000000}" name="SysmonLogForward"/>
    <tableColumn id="7" xr3:uid="{00000000-0010-0000-0300-000007000000}" name="Hayabusa.Rules"/>
    <tableColumn id="8" xr3:uid="{00000000-0010-0000-0300-000008000000}" name="Hayabusa.Monitoring"/>
    <tableColumn id="9" xr3:uid="{00000000-0010-0000-0300-000009000000}" name="Persistence/Triage"/>
    <tableColumn id="10" xr3:uid="{00000000-0010-0000-0300-00000A000000}" name="Conclusión pública"/>
    <tableColumn id="11" xr3:uid="{00000000-0010-0000-0300-00000B000000}" name="Custom necesario"/>
    <tableColumn id="12" xr3:uid="{00000000-0010-0000-0300-00000C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attack.mitre.org/techniques/T1020/" TargetMode="External"/><Relationship Id="rId1" Type="http://schemas.openxmlformats.org/officeDocument/2006/relationships/hyperlink" Target="https://attack.mitre.org/techniques/T1485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EA3B-AF1E-471F-9939-5B0D607C5A75}">
  <dimension ref="A1:B16"/>
  <sheetViews>
    <sheetView workbookViewId="0">
      <selection activeCell="B25" sqref="B25"/>
    </sheetView>
  </sheetViews>
  <sheetFormatPr baseColWidth="10" defaultColWidth="9.140625" defaultRowHeight="15"/>
  <cols>
    <col min="1" max="1" width="24" style="70" customWidth="1"/>
    <col min="2" max="2" width="95" style="70" customWidth="1"/>
    <col min="3" max="16384" width="9.140625" style="70"/>
  </cols>
  <sheetData>
    <row r="1" spans="1:2" ht="15.75">
      <c r="A1" s="76" t="s">
        <v>901</v>
      </c>
      <c r="B1" s="75"/>
    </row>
    <row r="3" spans="1:2">
      <c r="A3" s="74" t="s">
        <v>900</v>
      </c>
      <c r="B3" s="70" t="s">
        <v>899</v>
      </c>
    </row>
    <row r="4" spans="1:2">
      <c r="A4" s="74" t="s">
        <v>898</v>
      </c>
      <c r="B4" s="70" t="s">
        <v>897</v>
      </c>
    </row>
    <row r="5" spans="1:2">
      <c r="A5" s="74" t="s">
        <v>896</v>
      </c>
      <c r="B5" s="70" t="s">
        <v>895</v>
      </c>
    </row>
    <row r="6" spans="1:2">
      <c r="A6" s="74" t="s">
        <v>894</v>
      </c>
      <c r="B6" s="70" t="s">
        <v>893</v>
      </c>
    </row>
    <row r="7" spans="1:2">
      <c r="A7" s="74" t="s">
        <v>892</v>
      </c>
      <c r="B7" s="70" t="s">
        <v>891</v>
      </c>
    </row>
    <row r="8" spans="1:2">
      <c r="A8" s="74" t="s">
        <v>890</v>
      </c>
      <c r="B8" s="70" t="s">
        <v>889</v>
      </c>
    </row>
    <row r="9" spans="1:2">
      <c r="A9" s="74"/>
    </row>
    <row r="10" spans="1:2">
      <c r="A10" s="74" t="s">
        <v>888</v>
      </c>
    </row>
    <row r="11" spans="1:2">
      <c r="A11" s="74" t="s">
        <v>441</v>
      </c>
      <c r="B11" s="70" t="s">
        <v>887</v>
      </c>
    </row>
    <row r="12" spans="1:2">
      <c r="A12" s="74" t="s">
        <v>445</v>
      </c>
      <c r="B12" s="70" t="s">
        <v>886</v>
      </c>
    </row>
    <row r="13" spans="1:2">
      <c r="A13" s="74" t="s">
        <v>449</v>
      </c>
      <c r="B13" s="70" t="s">
        <v>885</v>
      </c>
    </row>
    <row r="14" spans="1:2">
      <c r="A14" s="74" t="s">
        <v>453</v>
      </c>
      <c r="B14" s="70" t="s">
        <v>884</v>
      </c>
    </row>
    <row r="15" spans="1:2">
      <c r="A15" s="74" t="s">
        <v>883</v>
      </c>
      <c r="B15" s="70" t="s">
        <v>882</v>
      </c>
    </row>
    <row r="16" spans="1:2">
      <c r="A16" s="74" t="s">
        <v>881</v>
      </c>
      <c r="B16" s="70" t="s">
        <v>880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workbookViewId="0">
      <selection activeCell="O10" sqref="O10"/>
    </sheetView>
  </sheetViews>
  <sheetFormatPr baseColWidth="10" defaultColWidth="0" defaultRowHeight="15"/>
  <cols>
    <col min="1" max="1" width="20" style="6" customWidth="1"/>
    <col min="2" max="2" width="19.28515625" customWidth="1"/>
    <col min="3" max="3" width="11.42578125" customWidth="1"/>
    <col min="4" max="4" width="32.85546875" customWidth="1"/>
    <col min="5" max="5" width="12.85546875" customWidth="1"/>
    <col min="6" max="6" width="26.7109375" customWidth="1"/>
    <col min="7" max="7" width="15.5703125" customWidth="1"/>
    <col min="8" max="8" width="14.85546875" customWidth="1"/>
    <col min="9" max="9" width="23.28515625" customWidth="1"/>
    <col min="10" max="10" width="22.28515625" customWidth="1"/>
    <col min="11" max="11" width="33.7109375" customWidth="1"/>
    <col min="12" max="12" width="26.85546875" customWidth="1"/>
    <col min="13" max="13" width="18.5703125" customWidth="1"/>
    <col min="14" max="14" width="16.7109375" customWidth="1"/>
    <col min="15" max="15" width="80.140625" customWidth="1"/>
    <col min="16" max="25" width="9.140625" customWidth="1"/>
    <col min="26" max="26" width="0" hidden="1" customWidth="1"/>
    <col min="27" max="16384" width="9.140625" hidden="1"/>
  </cols>
  <sheetData>
    <row r="1" spans="1:15" s="8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>
      <c r="A2" s="3" t="str">
        <f t="array" ref="A2">"TEC-"&amp;TEXT(ROW()-ROW(tblTecnicas[#Headers]),"000")</f>
        <v>TEC-001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5" t="s">
        <v>28</v>
      </c>
    </row>
    <row r="3" spans="1:15">
      <c r="A3" s="6" t="str">
        <f t="array" ref="A3">"TEC-"&amp;TEXT(ROW()-ROW(tblTecnicas[#Headers]),"000")</f>
        <v>TEC-002</v>
      </c>
      <c r="B3" t="s">
        <v>15</v>
      </c>
      <c r="C3" t="s">
        <v>16</v>
      </c>
      <c r="D3" t="s">
        <v>17</v>
      </c>
      <c r="E3" t="s">
        <v>18</v>
      </c>
      <c r="F3" t="s">
        <v>29</v>
      </c>
      <c r="G3" t="s">
        <v>30</v>
      </c>
      <c r="H3" t="s">
        <v>31</v>
      </c>
      <c r="I3" t="s">
        <v>32</v>
      </c>
      <c r="J3" t="s">
        <v>23</v>
      </c>
      <c r="K3" t="s">
        <v>24</v>
      </c>
      <c r="L3" t="s">
        <v>33</v>
      </c>
      <c r="M3" t="s">
        <v>34</v>
      </c>
      <c r="N3" t="s">
        <v>35</v>
      </c>
      <c r="O3" s="5" t="s">
        <v>36</v>
      </c>
    </row>
    <row r="4" spans="1:15">
      <c r="A4" s="6" t="str">
        <f t="array" ref="A4">"TEC-"&amp;TEXT(ROW()-ROW(tblTecnicas[#Headers]),"000")</f>
        <v>TEC-003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23</v>
      </c>
      <c r="K4" t="s">
        <v>24</v>
      </c>
      <c r="L4" t="s">
        <v>45</v>
      </c>
      <c r="M4" t="s">
        <v>46</v>
      </c>
      <c r="N4" t="s">
        <v>47</v>
      </c>
      <c r="O4" s="5" t="s">
        <v>48</v>
      </c>
    </row>
    <row r="5" spans="1:15" ht="14.25" customHeight="1">
      <c r="A5" s="6" t="str">
        <f t="array" ref="A5">"TEC-"&amp;TEXT(ROW()-ROW(tblTecnicas[#Headers]),"000")</f>
        <v>TEC-004</v>
      </c>
      <c r="B5" t="s">
        <v>37</v>
      </c>
      <c r="C5" t="s">
        <v>38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23</v>
      </c>
      <c r="K5" t="s">
        <v>55</v>
      </c>
      <c r="L5" t="s">
        <v>56</v>
      </c>
      <c r="M5" t="s">
        <v>57</v>
      </c>
      <c r="N5" t="s">
        <v>58</v>
      </c>
      <c r="O5" s="5" t="s">
        <v>59</v>
      </c>
    </row>
    <row r="6" spans="1:15">
      <c r="A6" s="6" t="str">
        <f t="array" ref="A6">"TEC-"&amp;TEXT(ROW()-ROW(tblTecnicas[#Headers]),"000")</f>
        <v>TEC-005</v>
      </c>
      <c r="B6" t="s">
        <v>15</v>
      </c>
      <c r="C6" t="s">
        <v>16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23</v>
      </c>
      <c r="K6" t="s">
        <v>66</v>
      </c>
      <c r="L6" t="s">
        <v>67</v>
      </c>
      <c r="M6" t="s">
        <v>68</v>
      </c>
      <c r="N6" t="s">
        <v>69</v>
      </c>
      <c r="O6" s="5" t="s">
        <v>70</v>
      </c>
    </row>
    <row r="7" spans="1:15">
      <c r="A7" s="6" t="str">
        <f t="array" ref="A7">"TEC-"&amp;TEXT(ROW()-ROW(tblTecnicas[#Headers]),"000")</f>
        <v>TEC-006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23</v>
      </c>
      <c r="K7" t="s">
        <v>24</v>
      </c>
      <c r="L7" t="s">
        <v>79</v>
      </c>
      <c r="M7" t="s">
        <v>80</v>
      </c>
      <c r="N7" t="s">
        <v>81</v>
      </c>
      <c r="O7" s="5" t="s">
        <v>82</v>
      </c>
    </row>
    <row r="8" spans="1:15">
      <c r="A8" s="6" t="str">
        <f t="array" ref="A8">"TEC-"&amp;TEXT(ROW()-ROW(tblTecnicas[#Headers]),"000")</f>
        <v>TEC-007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87</v>
      </c>
      <c r="H8" t="s">
        <v>88</v>
      </c>
      <c r="I8" t="s">
        <v>89</v>
      </c>
      <c r="J8" t="s">
        <v>23</v>
      </c>
      <c r="K8" t="s">
        <v>90</v>
      </c>
      <c r="L8" t="s">
        <v>91</v>
      </c>
      <c r="M8" t="s">
        <v>92</v>
      </c>
      <c r="N8" t="s">
        <v>93</v>
      </c>
      <c r="O8" s="5" t="s">
        <v>94</v>
      </c>
    </row>
    <row r="9" spans="1:15">
      <c r="A9" s="6" t="s">
        <v>528</v>
      </c>
      <c r="B9" t="s">
        <v>83</v>
      </c>
      <c r="C9" t="s">
        <v>84</v>
      </c>
      <c r="D9" t="s">
        <v>529</v>
      </c>
      <c r="E9" t="s">
        <v>530</v>
      </c>
      <c r="F9" t="s">
        <v>87</v>
      </c>
      <c r="G9" t="s">
        <v>87</v>
      </c>
      <c r="H9" t="s">
        <v>531</v>
      </c>
      <c r="I9" t="s">
        <v>532</v>
      </c>
      <c r="J9" t="s">
        <v>23</v>
      </c>
      <c r="K9" t="s">
        <v>533</v>
      </c>
      <c r="L9" t="s">
        <v>534</v>
      </c>
      <c r="M9" t="s">
        <v>535</v>
      </c>
      <c r="N9" t="s">
        <v>536</v>
      </c>
      <c r="O9" s="5" t="s">
        <v>537</v>
      </c>
    </row>
    <row r="10" spans="1:15">
      <c r="A10" s="6" t="s">
        <v>538</v>
      </c>
      <c r="B10" t="s">
        <v>539</v>
      </c>
      <c r="C10" t="s">
        <v>540</v>
      </c>
      <c r="D10" t="s">
        <v>541</v>
      </c>
      <c r="E10" t="s">
        <v>542</v>
      </c>
      <c r="F10" t="s">
        <v>87</v>
      </c>
      <c r="G10" t="s">
        <v>87</v>
      </c>
      <c r="H10" t="s">
        <v>543</v>
      </c>
      <c r="I10" t="s">
        <v>544</v>
      </c>
      <c r="J10" t="s">
        <v>23</v>
      </c>
      <c r="K10" t="s">
        <v>545</v>
      </c>
      <c r="L10" t="s">
        <v>546</v>
      </c>
      <c r="M10" t="s">
        <v>547</v>
      </c>
      <c r="N10" t="s">
        <v>548</v>
      </c>
      <c r="O10" s="5" t="s">
        <v>549</v>
      </c>
    </row>
  </sheetData>
  <dataValidations count="2">
    <dataValidation type="list" allowBlank="1" showInputMessage="1" showErrorMessage="1" sqref="K12:K1048576 K1:K7" xr:uid="{00000000-0002-0000-0000-000000000000}">
      <formula1>"Process Create, Flite Create, Regisitry, Service, Task, WMI, LOGON, Network, Multiple"</formula1>
    </dataValidation>
    <dataValidation type="list" allowBlank="1" showInputMessage="1" showErrorMessage="1" sqref="J1:J1048576" xr:uid="{00000000-0002-0000-0000-000001000000}">
      <formula1>"Sí,Parcial,No,"</formula1>
    </dataValidation>
  </dataValidations>
  <hyperlinks>
    <hyperlink ref="O9" r:id="rId1" xr:uid="{1B8BD236-8006-4B82-8301-8027E171609F}"/>
    <hyperlink ref="O10" r:id="rId2" display="https://attack.mitre.org/techniques/T1020/" xr:uid="{F9C92C1E-4D15-40FC-BE55-15A8AEAA229B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B34" sqref="B34"/>
    </sheetView>
  </sheetViews>
  <sheetFormatPr baseColWidth="10" defaultColWidth="83.28515625" defaultRowHeight="12.75"/>
  <cols>
    <col min="1" max="1" width="24.140625" style="18" customWidth="1"/>
    <col min="2" max="2" width="37.5703125" style="22" customWidth="1"/>
    <col min="3" max="9" width="83.28515625" style="22"/>
    <col min="10" max="10" width="141" style="19" customWidth="1"/>
    <col min="11" max="16384" width="83.28515625" style="22"/>
  </cols>
  <sheetData>
    <row r="1" spans="1:10">
      <c r="A1" s="18" t="s">
        <v>95</v>
      </c>
      <c r="B1" s="22" t="s">
        <v>96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19" t="s">
        <v>97</v>
      </c>
    </row>
    <row r="2" spans="1:10">
      <c r="A2" s="18" t="str">
        <f t="array" ref="A2">"OB-"&amp;TEXT(ROW()-ROW(tblTecnicas[#Headers]),"000")</f>
        <v>OB-001</v>
      </c>
      <c r="B2" s="19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19" t="s">
        <v>103</v>
      </c>
      <c r="H2" s="19" t="s">
        <v>104</v>
      </c>
      <c r="I2" s="19" t="s">
        <v>105</v>
      </c>
      <c r="J2" s="19" t="s">
        <v>106</v>
      </c>
    </row>
    <row r="3" spans="1:10">
      <c r="A3" s="18" t="s">
        <v>107</v>
      </c>
      <c r="B3" s="19" t="s">
        <v>108</v>
      </c>
      <c r="C3" s="19" t="s">
        <v>109</v>
      </c>
      <c r="D3" s="19" t="s">
        <v>110</v>
      </c>
      <c r="E3" s="19" t="s">
        <v>101</v>
      </c>
      <c r="F3" s="19" t="s">
        <v>102</v>
      </c>
      <c r="G3" s="19" t="s">
        <v>111</v>
      </c>
      <c r="H3" s="19" t="s">
        <v>112</v>
      </c>
      <c r="I3" s="19" t="s">
        <v>113</v>
      </c>
      <c r="J3" s="19" t="s">
        <v>114</v>
      </c>
    </row>
    <row r="4" spans="1:10">
      <c r="A4" s="18" t="s">
        <v>115</v>
      </c>
      <c r="B4" s="19" t="s">
        <v>116</v>
      </c>
      <c r="C4" s="19" t="s">
        <v>117</v>
      </c>
      <c r="D4" s="19" t="s">
        <v>118</v>
      </c>
      <c r="E4" s="19" t="s">
        <v>119</v>
      </c>
      <c r="F4" s="19" t="s">
        <v>120</v>
      </c>
      <c r="G4" s="19" t="s">
        <v>121</v>
      </c>
      <c r="H4" s="19" t="s">
        <v>122</v>
      </c>
      <c r="I4" s="19" t="s">
        <v>123</v>
      </c>
      <c r="J4" s="19" t="s">
        <v>124</v>
      </c>
    </row>
    <row r="5" spans="1:10">
      <c r="A5" s="18" t="s">
        <v>125</v>
      </c>
      <c r="B5" s="19" t="s">
        <v>126</v>
      </c>
      <c r="C5" s="19" t="s">
        <v>127</v>
      </c>
      <c r="D5" s="19" t="s">
        <v>128</v>
      </c>
      <c r="E5" s="19" t="s">
        <v>119</v>
      </c>
      <c r="F5" s="19" t="s">
        <v>102</v>
      </c>
      <c r="G5" s="19" t="s">
        <v>129</v>
      </c>
      <c r="H5" s="19" t="s">
        <v>122</v>
      </c>
      <c r="I5" s="19" t="s">
        <v>130</v>
      </c>
      <c r="J5" s="19" t="s">
        <v>131</v>
      </c>
    </row>
    <row r="6" spans="1:10">
      <c r="A6" s="18" t="s">
        <v>132</v>
      </c>
      <c r="B6" s="19" t="s">
        <v>133</v>
      </c>
      <c r="C6" s="19" t="s">
        <v>134</v>
      </c>
      <c r="D6" s="19" t="s">
        <v>135</v>
      </c>
      <c r="E6" s="19" t="s">
        <v>136</v>
      </c>
      <c r="F6" s="19" t="s">
        <v>102</v>
      </c>
      <c r="G6" s="19" t="s">
        <v>137</v>
      </c>
      <c r="H6" s="19" t="s">
        <v>138</v>
      </c>
      <c r="I6" s="19" t="s">
        <v>139</v>
      </c>
      <c r="J6" s="19" t="s">
        <v>140</v>
      </c>
    </row>
    <row r="7" spans="1:10">
      <c r="A7" s="18" t="s">
        <v>141</v>
      </c>
      <c r="B7" s="19" t="s">
        <v>142</v>
      </c>
      <c r="C7" s="19" t="s">
        <v>143</v>
      </c>
      <c r="D7" s="19" t="s">
        <v>144</v>
      </c>
      <c r="E7" s="19" t="s">
        <v>136</v>
      </c>
      <c r="F7" s="19" t="s">
        <v>102</v>
      </c>
      <c r="G7" s="19" t="s">
        <v>145</v>
      </c>
      <c r="H7" s="19" t="s">
        <v>146</v>
      </c>
      <c r="I7" s="19" t="s">
        <v>147</v>
      </c>
      <c r="J7" s="19" t="s">
        <v>148</v>
      </c>
    </row>
    <row r="8" spans="1:10">
      <c r="A8" s="18" t="s">
        <v>149</v>
      </c>
      <c r="B8" s="19" t="s">
        <v>150</v>
      </c>
      <c r="C8" s="19" t="s">
        <v>151</v>
      </c>
      <c r="D8" s="19" t="s">
        <v>152</v>
      </c>
      <c r="E8" s="19" t="s">
        <v>153</v>
      </c>
      <c r="F8" s="19" t="s">
        <v>102</v>
      </c>
      <c r="G8" s="19" t="s">
        <v>154</v>
      </c>
      <c r="H8" s="19" t="s">
        <v>155</v>
      </c>
      <c r="I8" s="19" t="s">
        <v>156</v>
      </c>
      <c r="J8" s="19" t="s">
        <v>157</v>
      </c>
    </row>
    <row r="9" spans="1:10">
      <c r="A9" s="18" t="s">
        <v>158</v>
      </c>
      <c r="B9" s="19" t="s">
        <v>159</v>
      </c>
      <c r="C9" s="19" t="s">
        <v>160</v>
      </c>
      <c r="D9" s="19" t="s">
        <v>161</v>
      </c>
      <c r="E9" s="19" t="s">
        <v>153</v>
      </c>
      <c r="F9" s="19" t="s">
        <v>102</v>
      </c>
      <c r="G9" s="19" t="s">
        <v>162</v>
      </c>
      <c r="H9" s="19" t="s">
        <v>155</v>
      </c>
      <c r="I9" s="19" t="s">
        <v>163</v>
      </c>
      <c r="J9" s="19" t="s">
        <v>164</v>
      </c>
    </row>
    <row r="10" spans="1:10">
      <c r="A10" s="18" t="s">
        <v>165</v>
      </c>
      <c r="B10" s="19" t="s">
        <v>166</v>
      </c>
      <c r="C10" s="19" t="s">
        <v>167</v>
      </c>
      <c r="D10" s="19" t="s">
        <v>168</v>
      </c>
      <c r="E10" s="19" t="s">
        <v>169</v>
      </c>
      <c r="F10" s="19" t="s">
        <v>102</v>
      </c>
      <c r="G10" s="19" t="s">
        <v>170</v>
      </c>
      <c r="H10" s="19" t="s">
        <v>171</v>
      </c>
      <c r="I10" s="19" t="s">
        <v>172</v>
      </c>
      <c r="J10" s="19" t="s">
        <v>173</v>
      </c>
    </row>
    <row r="11" spans="1:10">
      <c r="A11" s="18" t="s">
        <v>174</v>
      </c>
      <c r="B11" s="19" t="s">
        <v>175</v>
      </c>
      <c r="C11" s="19" t="s">
        <v>176</v>
      </c>
      <c r="D11" s="19" t="s">
        <v>177</v>
      </c>
      <c r="E11" s="19" t="s">
        <v>169</v>
      </c>
      <c r="F11" s="19" t="s">
        <v>102</v>
      </c>
      <c r="G11" s="19" t="s">
        <v>178</v>
      </c>
      <c r="H11" s="19" t="s">
        <v>171</v>
      </c>
      <c r="I11" s="19" t="s">
        <v>179</v>
      </c>
      <c r="J11" s="19" t="s">
        <v>180</v>
      </c>
    </row>
    <row r="12" spans="1:10">
      <c r="A12" s="18" t="s">
        <v>181</v>
      </c>
      <c r="B12" s="19" t="s">
        <v>182</v>
      </c>
      <c r="C12" s="19" t="s">
        <v>183</v>
      </c>
      <c r="D12" s="19" t="s">
        <v>184</v>
      </c>
      <c r="E12" s="19" t="s">
        <v>185</v>
      </c>
      <c r="F12" s="19" t="s">
        <v>102</v>
      </c>
      <c r="G12" s="19" t="s">
        <v>186</v>
      </c>
      <c r="H12" s="19" t="s">
        <v>112</v>
      </c>
      <c r="I12" s="19" t="s">
        <v>187</v>
      </c>
      <c r="J12" s="19" t="s">
        <v>188</v>
      </c>
    </row>
    <row r="13" spans="1:10">
      <c r="A13" s="18" t="s">
        <v>189</v>
      </c>
      <c r="B13" s="19" t="s">
        <v>190</v>
      </c>
      <c r="C13" s="19" t="s">
        <v>191</v>
      </c>
      <c r="D13" s="19" t="s">
        <v>192</v>
      </c>
      <c r="E13" s="19" t="s">
        <v>193</v>
      </c>
      <c r="F13" s="19" t="s">
        <v>120</v>
      </c>
      <c r="G13" s="19" t="s">
        <v>194</v>
      </c>
      <c r="H13" s="19" t="s">
        <v>195</v>
      </c>
      <c r="I13" s="19" t="s">
        <v>196</v>
      </c>
      <c r="J13" s="19" t="s">
        <v>197</v>
      </c>
    </row>
    <row r="14" spans="1:10">
      <c r="A14" s="18" t="s">
        <v>198</v>
      </c>
      <c r="B14" s="19" t="s">
        <v>199</v>
      </c>
      <c r="C14" s="19" t="s">
        <v>200</v>
      </c>
      <c r="D14" s="19" t="s">
        <v>201</v>
      </c>
      <c r="E14" s="19" t="s">
        <v>202</v>
      </c>
      <c r="F14" s="19" t="s">
        <v>120</v>
      </c>
      <c r="G14" s="19" t="s">
        <v>203</v>
      </c>
      <c r="H14" s="19" t="s">
        <v>195</v>
      </c>
      <c r="I14" s="19" t="s">
        <v>204</v>
      </c>
      <c r="J14" s="19" t="s">
        <v>205</v>
      </c>
    </row>
    <row r="15" spans="1:10">
      <c r="A15" s="18" t="s">
        <v>206</v>
      </c>
      <c r="B15" s="19" t="s">
        <v>207</v>
      </c>
      <c r="C15" s="19" t="s">
        <v>208</v>
      </c>
      <c r="D15" s="19" t="s">
        <v>209</v>
      </c>
      <c r="E15" s="19" t="s">
        <v>210</v>
      </c>
      <c r="F15" s="19" t="s">
        <v>211</v>
      </c>
      <c r="G15" s="19" t="s">
        <v>212</v>
      </c>
      <c r="H15" s="19" t="s">
        <v>195</v>
      </c>
      <c r="I15" s="19" t="s">
        <v>213</v>
      </c>
      <c r="J15" s="19" t="s">
        <v>214</v>
      </c>
    </row>
    <row r="16" spans="1:10">
      <c r="A16" s="18" t="s">
        <v>215</v>
      </c>
      <c r="B16" s="19" t="s">
        <v>216</v>
      </c>
      <c r="C16" s="19" t="s">
        <v>217</v>
      </c>
      <c r="D16" s="19" t="s">
        <v>218</v>
      </c>
      <c r="E16" s="19" t="s">
        <v>219</v>
      </c>
      <c r="F16" s="19" t="s">
        <v>120</v>
      </c>
      <c r="G16" s="19" t="s">
        <v>220</v>
      </c>
      <c r="H16" s="19" t="s">
        <v>195</v>
      </c>
      <c r="I16" s="19" t="s">
        <v>221</v>
      </c>
      <c r="J16" s="19" t="s">
        <v>222</v>
      </c>
    </row>
    <row r="17" spans="5:5">
      <c r="E17" s="20"/>
    </row>
    <row r="18" spans="5:5">
      <c r="E18" s="20"/>
    </row>
    <row r="19" spans="5:5">
      <c r="E19" s="20"/>
    </row>
    <row r="20" spans="5:5">
      <c r="E20" s="20"/>
    </row>
    <row r="21" spans="5:5">
      <c r="E21" s="20"/>
    </row>
    <row r="22" spans="5:5">
      <c r="E22" s="2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topLeftCell="B1" workbookViewId="0">
      <selection activeCell="D2" sqref="D2:D25"/>
    </sheetView>
  </sheetViews>
  <sheetFormatPr baseColWidth="10" defaultColWidth="0" defaultRowHeight="15"/>
  <cols>
    <col min="1" max="1" width="0" style="3" hidden="1" customWidth="1"/>
    <col min="2" max="2" width="17.140625" style="3" customWidth="1"/>
    <col min="3" max="3" width="43.28515625" style="3" customWidth="1"/>
    <col min="4" max="4" width="23.7109375" style="3" customWidth="1"/>
    <col min="5" max="5" width="35.42578125" style="3" customWidth="1"/>
    <col min="6" max="6" width="23.85546875" style="3" customWidth="1"/>
    <col min="7" max="7" width="31.28515625" style="3" customWidth="1"/>
    <col min="8" max="8" width="23.140625" style="3" customWidth="1"/>
    <col min="9" max="9" width="21" style="3" customWidth="1"/>
    <col min="10" max="10" width="24.140625" style="3" customWidth="1"/>
    <col min="11" max="11" width="22.42578125" style="3" customWidth="1"/>
    <col min="12" max="12" width="28.28515625" style="3" customWidth="1"/>
    <col min="13" max="13" width="29.5703125" style="3" customWidth="1"/>
    <col min="14" max="16" width="31.28515625" style="3" customWidth="1"/>
    <col min="17" max="17" width="33.85546875" style="3" customWidth="1"/>
    <col min="18" max="18" width="31.28515625" style="3" customWidth="1"/>
    <col min="19" max="19" width="255.5703125" style="3" customWidth="1"/>
    <col min="20" max="20" width="25.5703125" style="3" customWidth="1"/>
    <col min="21" max="21" width="21.42578125" style="3" customWidth="1"/>
    <col min="22" max="22" width="18.28515625" style="3" customWidth="1"/>
    <col min="23" max="23" width="12.7109375" style="3" customWidth="1"/>
    <col min="24" max="25" width="11.42578125" style="3" customWidth="1"/>
    <col min="26" max="26" width="0" style="3" hidden="1" customWidth="1"/>
    <col min="27" max="16384" width="11.42578125" style="3" hidden="1"/>
  </cols>
  <sheetData>
    <row r="1" spans="1:19" s="2" customFormat="1" ht="20.100000000000001" customHeight="1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</row>
    <row r="2" spans="1:19" ht="20.100000000000001" customHeight="1">
      <c r="A2" s="3" t="str">
        <f t="shared" ref="A2:A33" si="0">"PR-"&amp;TEXT(ROW()-1,"000")</f>
        <v>PR-001</v>
      </c>
      <c r="B2" s="3" t="s">
        <v>242</v>
      </c>
      <c r="C2" s="4" t="s">
        <v>243</v>
      </c>
      <c r="D2" s="4" t="s">
        <v>244</v>
      </c>
      <c r="E2" s="3" t="s">
        <v>245</v>
      </c>
      <c r="F2" s="3" t="s">
        <v>246</v>
      </c>
      <c r="G2" s="21" t="s">
        <v>247</v>
      </c>
      <c r="H2" s="3" t="s">
        <v>248</v>
      </c>
      <c r="I2" s="3" t="s">
        <v>249</v>
      </c>
      <c r="J2" s="3" t="s">
        <v>250</v>
      </c>
      <c r="K2" s="3" t="s">
        <v>251</v>
      </c>
      <c r="L2" s="3" t="s">
        <v>252</v>
      </c>
      <c r="M2" s="3" t="s">
        <v>253</v>
      </c>
      <c r="N2" s="3" t="s">
        <v>254</v>
      </c>
      <c r="O2" s="3" t="s">
        <v>23</v>
      </c>
      <c r="P2" s="3" t="s">
        <v>255</v>
      </c>
      <c r="Q2" s="3" t="s">
        <v>256</v>
      </c>
      <c r="R2" s="3" t="s">
        <v>23</v>
      </c>
      <c r="S2" s="4" t="s">
        <v>257</v>
      </c>
    </row>
    <row r="3" spans="1:19" ht="20.100000000000001" customHeight="1">
      <c r="A3" s="3" t="str">
        <f t="shared" si="0"/>
        <v>PR-002</v>
      </c>
      <c r="B3" s="3" t="s">
        <v>258</v>
      </c>
      <c r="C3" s="4" t="s">
        <v>259</v>
      </c>
      <c r="D3" s="4" t="s">
        <v>260</v>
      </c>
      <c r="E3" s="3" t="s">
        <v>245</v>
      </c>
      <c r="F3" s="3" t="s">
        <v>246</v>
      </c>
      <c r="G3" s="21" t="s">
        <v>247</v>
      </c>
      <c r="H3" s="3" t="s">
        <v>248</v>
      </c>
      <c r="I3" s="3" t="s">
        <v>249</v>
      </c>
      <c r="J3" s="3" t="s">
        <v>250</v>
      </c>
      <c r="K3" s="3" t="s">
        <v>251</v>
      </c>
      <c r="L3" s="3" t="s">
        <v>252</v>
      </c>
      <c r="M3" s="3" t="s">
        <v>261</v>
      </c>
      <c r="N3" s="3" t="s">
        <v>254</v>
      </c>
      <c r="O3" s="3" t="s">
        <v>23</v>
      </c>
      <c r="P3" s="3" t="s">
        <v>262</v>
      </c>
      <c r="Q3" s="3" t="s">
        <v>263</v>
      </c>
      <c r="R3" s="3" t="s">
        <v>23</v>
      </c>
      <c r="S3" s="4" t="s">
        <v>264</v>
      </c>
    </row>
    <row r="4" spans="1:19" ht="20.100000000000001" customHeight="1">
      <c r="A4" s="3" t="str">
        <f t="shared" si="0"/>
        <v>PR-003</v>
      </c>
      <c r="B4" s="3" t="s">
        <v>265</v>
      </c>
      <c r="C4" s="4" t="s">
        <v>266</v>
      </c>
      <c r="D4" s="4" t="s">
        <v>267</v>
      </c>
      <c r="E4" s="3" t="s">
        <v>268</v>
      </c>
      <c r="F4" s="3" t="s">
        <v>246</v>
      </c>
      <c r="G4" s="21" t="s">
        <v>247</v>
      </c>
      <c r="H4" s="3" t="s">
        <v>248</v>
      </c>
      <c r="I4" s="3" t="s">
        <v>249</v>
      </c>
      <c r="J4" s="3" t="s">
        <v>250</v>
      </c>
      <c r="K4" s="3" t="s">
        <v>251</v>
      </c>
      <c r="L4" s="3" t="s">
        <v>252</v>
      </c>
      <c r="M4" s="3" t="s">
        <v>269</v>
      </c>
      <c r="N4" s="3" t="s">
        <v>254</v>
      </c>
      <c r="O4" s="3" t="s">
        <v>23</v>
      </c>
      <c r="P4" s="3" t="s">
        <v>270</v>
      </c>
      <c r="Q4" s="3" t="s">
        <v>263</v>
      </c>
      <c r="R4" s="3" t="s">
        <v>23</v>
      </c>
      <c r="S4" s="4" t="s">
        <v>271</v>
      </c>
    </row>
    <row r="5" spans="1:19" ht="20.100000000000001" customHeight="1">
      <c r="A5" s="3" t="str">
        <f t="shared" si="0"/>
        <v>PR-004</v>
      </c>
      <c r="B5" s="3" t="s">
        <v>272</v>
      </c>
      <c r="C5" s="4" t="s">
        <v>273</v>
      </c>
      <c r="D5" s="4" t="s">
        <v>274</v>
      </c>
      <c r="E5" s="3" t="s">
        <v>275</v>
      </c>
      <c r="F5" s="3" t="s">
        <v>246</v>
      </c>
      <c r="G5" s="21" t="s">
        <v>247</v>
      </c>
      <c r="H5" s="3" t="s">
        <v>248</v>
      </c>
      <c r="I5" s="3" t="s">
        <v>249</v>
      </c>
      <c r="J5" s="3" t="s">
        <v>250</v>
      </c>
      <c r="K5" s="3" t="s">
        <v>251</v>
      </c>
      <c r="L5" s="3" t="s">
        <v>252</v>
      </c>
      <c r="M5" s="3" t="s">
        <v>276</v>
      </c>
      <c r="N5" s="3" t="s">
        <v>254</v>
      </c>
      <c r="O5" s="3" t="s">
        <v>23</v>
      </c>
      <c r="P5" s="3" t="s">
        <v>277</v>
      </c>
      <c r="Q5" s="3" t="s">
        <v>278</v>
      </c>
      <c r="R5" s="3" t="s">
        <v>23</v>
      </c>
      <c r="S5" s="4" t="s">
        <v>279</v>
      </c>
    </row>
    <row r="6" spans="1:19" ht="20.100000000000001" customHeight="1">
      <c r="A6" s="3" t="str">
        <f t="shared" si="0"/>
        <v>PR-005</v>
      </c>
      <c r="B6" s="3" t="s">
        <v>280</v>
      </c>
      <c r="C6" s="4" t="s">
        <v>281</v>
      </c>
      <c r="D6" s="4" t="s">
        <v>282</v>
      </c>
      <c r="E6" s="3" t="s">
        <v>275</v>
      </c>
      <c r="F6" s="3" t="s">
        <v>246</v>
      </c>
      <c r="G6" s="21" t="s">
        <v>247</v>
      </c>
      <c r="H6" s="3" t="s">
        <v>248</v>
      </c>
      <c r="I6" s="3" t="s">
        <v>249</v>
      </c>
      <c r="J6" s="3" t="s">
        <v>250</v>
      </c>
      <c r="K6" s="3" t="s">
        <v>251</v>
      </c>
      <c r="L6" s="3" t="s">
        <v>252</v>
      </c>
      <c r="M6" s="3" t="s">
        <v>283</v>
      </c>
      <c r="N6" s="3" t="s">
        <v>254</v>
      </c>
      <c r="O6" s="3" t="s">
        <v>23</v>
      </c>
      <c r="P6" s="3" t="s">
        <v>284</v>
      </c>
      <c r="Q6" s="3" t="s">
        <v>285</v>
      </c>
      <c r="R6" s="3" t="s">
        <v>23</v>
      </c>
      <c r="S6" s="4" t="s">
        <v>286</v>
      </c>
    </row>
    <row r="7" spans="1:19" ht="20.100000000000001" customHeight="1">
      <c r="A7" s="3" t="str">
        <f t="shared" si="0"/>
        <v>PR-006</v>
      </c>
      <c r="B7" s="3" t="s">
        <v>287</v>
      </c>
      <c r="C7" s="4" t="s">
        <v>288</v>
      </c>
      <c r="D7" s="4" t="s">
        <v>282</v>
      </c>
      <c r="E7" s="3" t="s">
        <v>289</v>
      </c>
      <c r="F7" s="3" t="s">
        <v>246</v>
      </c>
      <c r="G7" s="21" t="s">
        <v>247</v>
      </c>
      <c r="H7" s="3" t="s">
        <v>248</v>
      </c>
      <c r="I7" s="3" t="s">
        <v>249</v>
      </c>
      <c r="J7" s="3" t="s">
        <v>250</v>
      </c>
      <c r="K7" s="3" t="s">
        <v>251</v>
      </c>
      <c r="L7" s="3" t="s">
        <v>252</v>
      </c>
      <c r="M7" s="3" t="s">
        <v>290</v>
      </c>
      <c r="N7" s="3" t="s">
        <v>254</v>
      </c>
      <c r="O7" s="3" t="s">
        <v>23</v>
      </c>
      <c r="P7" s="3" t="s">
        <v>291</v>
      </c>
      <c r="Q7" s="3" t="s">
        <v>292</v>
      </c>
      <c r="R7" s="3" t="s">
        <v>23</v>
      </c>
      <c r="S7" s="4" t="s">
        <v>293</v>
      </c>
    </row>
    <row r="8" spans="1:19" ht="20.100000000000001" customHeight="1">
      <c r="A8" s="3" t="str">
        <f t="shared" si="0"/>
        <v>PR-007</v>
      </c>
      <c r="B8" s="3" t="s">
        <v>294</v>
      </c>
      <c r="C8" s="4" t="s">
        <v>295</v>
      </c>
      <c r="D8" s="4" t="s">
        <v>296</v>
      </c>
      <c r="E8" s="3" t="s">
        <v>289</v>
      </c>
      <c r="F8" s="3" t="s">
        <v>246</v>
      </c>
      <c r="G8" s="21" t="s">
        <v>247</v>
      </c>
      <c r="H8" s="3" t="s">
        <v>248</v>
      </c>
      <c r="I8" s="3" t="s">
        <v>249</v>
      </c>
      <c r="J8" s="3" t="s">
        <v>250</v>
      </c>
      <c r="K8" s="3" t="s">
        <v>251</v>
      </c>
      <c r="L8" s="3" t="s">
        <v>252</v>
      </c>
      <c r="M8" s="3" t="s">
        <v>297</v>
      </c>
      <c r="N8" s="3" t="s">
        <v>254</v>
      </c>
      <c r="O8" s="3" t="s">
        <v>23</v>
      </c>
      <c r="P8" s="3" t="s">
        <v>298</v>
      </c>
      <c r="Q8" s="3" t="s">
        <v>299</v>
      </c>
      <c r="R8" s="3" t="s">
        <v>23</v>
      </c>
      <c r="S8" s="4" t="s">
        <v>300</v>
      </c>
    </row>
    <row r="9" spans="1:19" s="47" customFormat="1" ht="20.100000000000001" customHeight="1">
      <c r="A9" s="3" t="str">
        <f t="shared" si="0"/>
        <v>PR-008</v>
      </c>
      <c r="B9" s="3" t="s">
        <v>528</v>
      </c>
      <c r="C9" s="4" t="s">
        <v>550</v>
      </c>
      <c r="D9" s="4" t="s">
        <v>551</v>
      </c>
      <c r="E9" s="3" t="s">
        <v>552</v>
      </c>
      <c r="F9" s="3" t="s">
        <v>246</v>
      </c>
      <c r="G9" s="21" t="s">
        <v>247</v>
      </c>
      <c r="H9" s="3" t="s">
        <v>248</v>
      </c>
      <c r="I9" s="3" t="s">
        <v>249</v>
      </c>
      <c r="J9" s="3" t="s">
        <v>250</v>
      </c>
      <c r="K9" s="3" t="s">
        <v>251</v>
      </c>
      <c r="L9" s="3" t="s">
        <v>252</v>
      </c>
      <c r="M9" s="3" t="s">
        <v>553</v>
      </c>
      <c r="N9" s="3" t="s">
        <v>254</v>
      </c>
      <c r="O9" s="3" t="s">
        <v>23</v>
      </c>
      <c r="P9" s="3" t="s">
        <v>554</v>
      </c>
      <c r="Q9" s="3" t="s">
        <v>555</v>
      </c>
      <c r="R9" s="3" t="s">
        <v>23</v>
      </c>
      <c r="S9" s="4" t="s">
        <v>556</v>
      </c>
    </row>
    <row r="10" spans="1:19" s="47" customFormat="1" ht="20.100000000000001" customHeight="1">
      <c r="A10" s="3" t="str">
        <f t="shared" si="0"/>
        <v>PR-009</v>
      </c>
      <c r="B10" s="3" t="s">
        <v>538</v>
      </c>
      <c r="C10" s="4" t="s">
        <v>557</v>
      </c>
      <c r="D10" s="4" t="s">
        <v>558</v>
      </c>
      <c r="E10" s="3" t="s">
        <v>552</v>
      </c>
      <c r="F10" s="3" t="s">
        <v>246</v>
      </c>
      <c r="G10" s="21" t="s">
        <v>247</v>
      </c>
      <c r="H10" s="3" t="s">
        <v>248</v>
      </c>
      <c r="I10" s="3" t="s">
        <v>249</v>
      </c>
      <c r="J10" s="3" t="s">
        <v>250</v>
      </c>
      <c r="K10" s="3" t="s">
        <v>251</v>
      </c>
      <c r="L10" s="3" t="s">
        <v>252</v>
      </c>
      <c r="M10" s="3" t="s">
        <v>559</v>
      </c>
      <c r="N10" s="3" t="s">
        <v>254</v>
      </c>
      <c r="O10" s="3" t="s">
        <v>23</v>
      </c>
      <c r="P10" s="3" t="s">
        <v>560</v>
      </c>
      <c r="Q10" s="3" t="s">
        <v>561</v>
      </c>
      <c r="R10" s="3" t="s">
        <v>23</v>
      </c>
      <c r="S10" s="4" t="s">
        <v>562</v>
      </c>
    </row>
    <row r="11" spans="1:19" ht="20.100000000000001" customHeight="1">
      <c r="A11" s="3" t="str">
        <f t="shared" si="0"/>
        <v>PR-010</v>
      </c>
      <c r="B11" s="21" t="s">
        <v>301</v>
      </c>
      <c r="C11" s="33" t="s">
        <v>302</v>
      </c>
      <c r="D11" s="33" t="s">
        <v>303</v>
      </c>
      <c r="E11" s="21" t="s">
        <v>304</v>
      </c>
      <c r="F11" s="21" t="s">
        <v>246</v>
      </c>
      <c r="G11" s="21" t="s">
        <v>247</v>
      </c>
      <c r="H11" s="21" t="s">
        <v>248</v>
      </c>
      <c r="I11" s="21" t="s">
        <v>249</v>
      </c>
      <c r="J11" s="21" t="s">
        <v>305</v>
      </c>
      <c r="K11" s="21" t="s">
        <v>306</v>
      </c>
      <c r="L11" s="21" t="s">
        <v>307</v>
      </c>
      <c r="M11" s="21" t="s">
        <v>308</v>
      </c>
      <c r="N11" s="21" t="s">
        <v>309</v>
      </c>
      <c r="O11" s="21" t="s">
        <v>23</v>
      </c>
      <c r="P11" s="21" t="s">
        <v>310</v>
      </c>
      <c r="Q11" s="21" t="s">
        <v>292</v>
      </c>
      <c r="R11" s="21" t="s">
        <v>23</v>
      </c>
      <c r="S11" s="33" t="s">
        <v>311</v>
      </c>
    </row>
    <row r="12" spans="1:19" ht="20.100000000000001" customHeight="1">
      <c r="A12" s="3" t="str">
        <f t="shared" si="0"/>
        <v>PR-011</v>
      </c>
      <c r="B12" s="21" t="s">
        <v>107</v>
      </c>
      <c r="C12" s="33" t="s">
        <v>312</v>
      </c>
      <c r="D12" s="33" t="s">
        <v>303</v>
      </c>
      <c r="E12" s="21" t="s">
        <v>304</v>
      </c>
      <c r="F12" s="21" t="s">
        <v>246</v>
      </c>
      <c r="G12" s="21" t="s">
        <v>247</v>
      </c>
      <c r="H12" s="21" t="s">
        <v>248</v>
      </c>
      <c r="I12" s="21" t="s">
        <v>249</v>
      </c>
      <c r="J12" s="21" t="s">
        <v>305</v>
      </c>
      <c r="K12" s="21" t="s">
        <v>306</v>
      </c>
      <c r="L12" s="21" t="s">
        <v>307</v>
      </c>
      <c r="M12" s="21" t="s">
        <v>313</v>
      </c>
      <c r="N12" s="21" t="s">
        <v>309</v>
      </c>
      <c r="O12" s="21" t="s">
        <v>23</v>
      </c>
      <c r="P12" s="21" t="s">
        <v>314</v>
      </c>
      <c r="Q12" s="21" t="s">
        <v>292</v>
      </c>
      <c r="R12" s="21" t="s">
        <v>23</v>
      </c>
      <c r="S12" s="33" t="s">
        <v>315</v>
      </c>
    </row>
    <row r="13" spans="1:19" ht="20.100000000000001" customHeight="1">
      <c r="A13" s="3" t="str">
        <f t="shared" si="0"/>
        <v>PR-012</v>
      </c>
      <c r="B13" s="21" t="s">
        <v>115</v>
      </c>
      <c r="C13" s="33" t="s">
        <v>316</v>
      </c>
      <c r="D13" s="33" t="s">
        <v>303</v>
      </c>
      <c r="E13" s="21" t="s">
        <v>304</v>
      </c>
      <c r="F13" s="21" t="s">
        <v>246</v>
      </c>
      <c r="G13" s="21" t="s">
        <v>247</v>
      </c>
      <c r="H13" s="21" t="s">
        <v>248</v>
      </c>
      <c r="I13" s="21" t="s">
        <v>249</v>
      </c>
      <c r="J13" s="21" t="s">
        <v>305</v>
      </c>
      <c r="K13" s="21" t="s">
        <v>306</v>
      </c>
      <c r="L13" s="21" t="s">
        <v>307</v>
      </c>
      <c r="M13" s="21" t="s">
        <v>317</v>
      </c>
      <c r="N13" s="21" t="s">
        <v>309</v>
      </c>
      <c r="O13" s="21" t="s">
        <v>23</v>
      </c>
      <c r="P13" s="21" t="s">
        <v>318</v>
      </c>
      <c r="Q13" s="21" t="s">
        <v>319</v>
      </c>
      <c r="R13" s="21" t="s">
        <v>23</v>
      </c>
      <c r="S13" s="33" t="s">
        <v>320</v>
      </c>
    </row>
    <row r="14" spans="1:19" ht="20.100000000000001" customHeight="1">
      <c r="A14" s="3" t="str">
        <f t="shared" si="0"/>
        <v>PR-013</v>
      </c>
      <c r="B14" s="21" t="s">
        <v>125</v>
      </c>
      <c r="C14" s="33" t="s">
        <v>321</v>
      </c>
      <c r="D14" s="33" t="s">
        <v>303</v>
      </c>
      <c r="E14" s="21" t="s">
        <v>304</v>
      </c>
      <c r="F14" s="21" t="s">
        <v>246</v>
      </c>
      <c r="G14" s="21" t="s">
        <v>247</v>
      </c>
      <c r="H14" s="21" t="s">
        <v>248</v>
      </c>
      <c r="I14" s="21" t="s">
        <v>249</v>
      </c>
      <c r="J14" s="21" t="s">
        <v>305</v>
      </c>
      <c r="K14" s="21" t="s">
        <v>306</v>
      </c>
      <c r="L14" s="21" t="s">
        <v>307</v>
      </c>
      <c r="M14" s="21" t="s">
        <v>322</v>
      </c>
      <c r="N14" s="21" t="s">
        <v>309</v>
      </c>
      <c r="O14" s="21" t="s">
        <v>23</v>
      </c>
      <c r="P14" s="21" t="s">
        <v>323</v>
      </c>
      <c r="Q14" s="21" t="s">
        <v>292</v>
      </c>
      <c r="R14" s="21" t="s">
        <v>23</v>
      </c>
      <c r="S14" s="33" t="s">
        <v>324</v>
      </c>
    </row>
    <row r="15" spans="1:19" ht="20.100000000000001" customHeight="1">
      <c r="A15" s="3" t="str">
        <f t="shared" si="0"/>
        <v>PR-014</v>
      </c>
      <c r="B15" s="21" t="s">
        <v>132</v>
      </c>
      <c r="C15" s="33" t="s">
        <v>325</v>
      </c>
      <c r="D15" s="33" t="s">
        <v>303</v>
      </c>
      <c r="E15" s="21" t="s">
        <v>304</v>
      </c>
      <c r="F15" s="21" t="s">
        <v>246</v>
      </c>
      <c r="G15" s="21" t="s">
        <v>247</v>
      </c>
      <c r="H15" s="21" t="s">
        <v>248</v>
      </c>
      <c r="I15" s="21" t="s">
        <v>249</v>
      </c>
      <c r="J15" s="21" t="s">
        <v>305</v>
      </c>
      <c r="K15" s="21" t="s">
        <v>306</v>
      </c>
      <c r="L15" s="21" t="s">
        <v>307</v>
      </c>
      <c r="M15" s="21" t="s">
        <v>326</v>
      </c>
      <c r="N15" s="21" t="s">
        <v>309</v>
      </c>
      <c r="O15" s="21" t="s">
        <v>23</v>
      </c>
      <c r="P15" s="21" t="s">
        <v>327</v>
      </c>
      <c r="Q15" s="21" t="s">
        <v>292</v>
      </c>
      <c r="R15" s="21" t="s">
        <v>23</v>
      </c>
      <c r="S15" s="33" t="s">
        <v>328</v>
      </c>
    </row>
    <row r="16" spans="1:19" ht="20.100000000000001" customHeight="1">
      <c r="A16" s="3" t="str">
        <f t="shared" si="0"/>
        <v>PR-015</v>
      </c>
      <c r="B16" s="21" t="s">
        <v>141</v>
      </c>
      <c r="C16" s="33" t="s">
        <v>329</v>
      </c>
      <c r="D16" s="33" t="s">
        <v>303</v>
      </c>
      <c r="E16" s="21" t="s">
        <v>304</v>
      </c>
      <c r="F16" s="21" t="s">
        <v>246</v>
      </c>
      <c r="G16" s="21" t="s">
        <v>247</v>
      </c>
      <c r="H16" s="21" t="s">
        <v>248</v>
      </c>
      <c r="I16" s="21" t="s">
        <v>249</v>
      </c>
      <c r="J16" s="21" t="s">
        <v>250</v>
      </c>
      <c r="K16" s="21" t="s">
        <v>306</v>
      </c>
      <c r="L16" s="21" t="s">
        <v>330</v>
      </c>
      <c r="M16" s="21" t="s">
        <v>331</v>
      </c>
      <c r="N16" s="21" t="s">
        <v>254</v>
      </c>
      <c r="O16" s="21" t="s">
        <v>23</v>
      </c>
      <c r="P16" s="21" t="s">
        <v>332</v>
      </c>
      <c r="Q16" s="21" t="s">
        <v>292</v>
      </c>
      <c r="R16" s="21" t="s">
        <v>333</v>
      </c>
      <c r="S16" s="33" t="s">
        <v>334</v>
      </c>
    </row>
    <row r="17" spans="1:19" ht="20.100000000000001" customHeight="1">
      <c r="A17" s="3" t="str">
        <f t="shared" si="0"/>
        <v>PR-016</v>
      </c>
      <c r="B17" s="21" t="s">
        <v>149</v>
      </c>
      <c r="C17" s="33" t="s">
        <v>335</v>
      </c>
      <c r="D17" s="33" t="s">
        <v>303</v>
      </c>
      <c r="E17" s="21" t="s">
        <v>304</v>
      </c>
      <c r="F17" s="21" t="s">
        <v>246</v>
      </c>
      <c r="G17" s="21" t="s">
        <v>247</v>
      </c>
      <c r="H17" s="21" t="s">
        <v>248</v>
      </c>
      <c r="I17" s="21" t="s">
        <v>249</v>
      </c>
      <c r="J17" s="21" t="s">
        <v>305</v>
      </c>
      <c r="K17" s="21" t="s">
        <v>306</v>
      </c>
      <c r="L17" s="21" t="s">
        <v>307</v>
      </c>
      <c r="M17" s="21" t="s">
        <v>336</v>
      </c>
      <c r="N17" s="21" t="s">
        <v>309</v>
      </c>
      <c r="O17" s="21" t="s">
        <v>23</v>
      </c>
      <c r="P17" s="21" t="s">
        <v>337</v>
      </c>
      <c r="Q17" s="21" t="s">
        <v>292</v>
      </c>
      <c r="R17" s="21" t="s">
        <v>23</v>
      </c>
      <c r="S17" s="33" t="s">
        <v>338</v>
      </c>
    </row>
    <row r="18" spans="1:19" ht="20.100000000000001" customHeight="1">
      <c r="A18" s="3" t="str">
        <f t="shared" si="0"/>
        <v>PR-017</v>
      </c>
      <c r="B18" s="21" t="s">
        <v>158</v>
      </c>
      <c r="C18" s="33" t="s">
        <v>339</v>
      </c>
      <c r="D18" s="33" t="s">
        <v>303</v>
      </c>
      <c r="E18" s="21" t="s">
        <v>304</v>
      </c>
      <c r="F18" s="21" t="s">
        <v>246</v>
      </c>
      <c r="G18" s="21" t="s">
        <v>247</v>
      </c>
      <c r="H18" s="21" t="s">
        <v>248</v>
      </c>
      <c r="I18" s="21" t="s">
        <v>249</v>
      </c>
      <c r="J18" s="21" t="s">
        <v>305</v>
      </c>
      <c r="K18" s="21" t="s">
        <v>306</v>
      </c>
      <c r="L18" s="21" t="s">
        <v>307</v>
      </c>
      <c r="M18" s="21" t="s">
        <v>340</v>
      </c>
      <c r="N18" s="21" t="s">
        <v>309</v>
      </c>
      <c r="O18" s="21" t="s">
        <v>23</v>
      </c>
      <c r="P18" s="21" t="s">
        <v>341</v>
      </c>
      <c r="Q18" s="21" t="s">
        <v>292</v>
      </c>
      <c r="R18" s="21" t="s">
        <v>23</v>
      </c>
      <c r="S18" s="33" t="s">
        <v>342</v>
      </c>
    </row>
    <row r="19" spans="1:19" ht="20.100000000000001" customHeight="1">
      <c r="A19" s="3" t="str">
        <f t="shared" si="0"/>
        <v>PR-018</v>
      </c>
      <c r="B19" s="21" t="s">
        <v>165</v>
      </c>
      <c r="C19" s="33" t="s">
        <v>343</v>
      </c>
      <c r="D19" s="33" t="s">
        <v>303</v>
      </c>
      <c r="E19" s="21" t="s">
        <v>304</v>
      </c>
      <c r="F19" s="21" t="s">
        <v>246</v>
      </c>
      <c r="G19" s="21" t="s">
        <v>247</v>
      </c>
      <c r="H19" s="21" t="s">
        <v>248</v>
      </c>
      <c r="I19" s="21" t="s">
        <v>249</v>
      </c>
      <c r="J19" s="21" t="s">
        <v>305</v>
      </c>
      <c r="K19" s="21" t="s">
        <v>306</v>
      </c>
      <c r="L19" s="21" t="s">
        <v>307</v>
      </c>
      <c r="M19" s="21" t="s">
        <v>344</v>
      </c>
      <c r="N19" s="21" t="s">
        <v>309</v>
      </c>
      <c r="O19" s="21" t="s">
        <v>23</v>
      </c>
      <c r="P19" s="21" t="s">
        <v>345</v>
      </c>
      <c r="Q19" s="21" t="s">
        <v>292</v>
      </c>
      <c r="R19" s="21" t="s">
        <v>23</v>
      </c>
      <c r="S19" s="33" t="s">
        <v>346</v>
      </c>
    </row>
    <row r="20" spans="1:19" ht="20.100000000000001" customHeight="1">
      <c r="A20" s="3" t="str">
        <f t="shared" si="0"/>
        <v>PR-019</v>
      </c>
      <c r="B20" s="21" t="s">
        <v>174</v>
      </c>
      <c r="C20" s="33" t="s">
        <v>347</v>
      </c>
      <c r="D20" s="33" t="s">
        <v>303</v>
      </c>
      <c r="E20" s="21" t="s">
        <v>304</v>
      </c>
      <c r="F20" s="21" t="s">
        <v>246</v>
      </c>
      <c r="G20" s="21" t="s">
        <v>247</v>
      </c>
      <c r="H20" s="21" t="s">
        <v>248</v>
      </c>
      <c r="I20" s="21" t="s">
        <v>249</v>
      </c>
      <c r="J20" s="21" t="s">
        <v>305</v>
      </c>
      <c r="K20" s="21" t="s">
        <v>306</v>
      </c>
      <c r="L20" s="21" t="s">
        <v>307</v>
      </c>
      <c r="M20" s="21" t="s">
        <v>348</v>
      </c>
      <c r="N20" s="21" t="s">
        <v>309</v>
      </c>
      <c r="O20" s="21" t="s">
        <v>23</v>
      </c>
      <c r="P20" s="21" t="s">
        <v>349</v>
      </c>
      <c r="Q20" s="21" t="s">
        <v>292</v>
      </c>
      <c r="R20" s="21" t="s">
        <v>23</v>
      </c>
      <c r="S20" s="33" t="s">
        <v>350</v>
      </c>
    </row>
    <row r="21" spans="1:19" ht="20.100000000000001" customHeight="1">
      <c r="A21" s="3" t="str">
        <f t="shared" si="0"/>
        <v>PR-020</v>
      </c>
      <c r="B21" s="21" t="s">
        <v>181</v>
      </c>
      <c r="C21" s="33" t="s">
        <v>351</v>
      </c>
      <c r="D21" s="33" t="s">
        <v>303</v>
      </c>
      <c r="E21" s="21" t="s">
        <v>304</v>
      </c>
      <c r="F21" s="21" t="s">
        <v>246</v>
      </c>
      <c r="G21" s="21" t="s">
        <v>247</v>
      </c>
      <c r="H21" s="21" t="s">
        <v>248</v>
      </c>
      <c r="I21" s="21" t="s">
        <v>249</v>
      </c>
      <c r="J21" s="21" t="s">
        <v>305</v>
      </c>
      <c r="K21" s="21" t="s">
        <v>306</v>
      </c>
      <c r="L21" s="21" t="s">
        <v>307</v>
      </c>
      <c r="M21" s="21" t="s">
        <v>352</v>
      </c>
      <c r="N21" s="21" t="s">
        <v>309</v>
      </c>
      <c r="O21" s="21" t="s">
        <v>23</v>
      </c>
      <c r="P21" s="21" t="s">
        <v>353</v>
      </c>
      <c r="Q21" s="21" t="s">
        <v>292</v>
      </c>
      <c r="R21" s="21" t="s">
        <v>23</v>
      </c>
      <c r="S21" s="33" t="s">
        <v>354</v>
      </c>
    </row>
    <row r="22" spans="1:19" ht="20.100000000000001" customHeight="1">
      <c r="A22" s="3" t="str">
        <f t="shared" si="0"/>
        <v>PR-021</v>
      </c>
      <c r="B22" s="21" t="s">
        <v>189</v>
      </c>
      <c r="C22" s="33" t="s">
        <v>355</v>
      </c>
      <c r="D22" s="33" t="s">
        <v>303</v>
      </c>
      <c r="E22" s="21" t="s">
        <v>304</v>
      </c>
      <c r="F22" s="21" t="s">
        <v>246</v>
      </c>
      <c r="G22" s="21" t="s">
        <v>247</v>
      </c>
      <c r="H22" s="21" t="s">
        <v>248</v>
      </c>
      <c r="I22" s="21" t="s">
        <v>249</v>
      </c>
      <c r="J22" s="21" t="s">
        <v>305</v>
      </c>
      <c r="K22" s="21" t="s">
        <v>306</v>
      </c>
      <c r="L22" s="21" t="s">
        <v>307</v>
      </c>
      <c r="M22" s="21" t="s">
        <v>356</v>
      </c>
      <c r="N22" s="21" t="s">
        <v>309</v>
      </c>
      <c r="O22" s="21" t="s">
        <v>23</v>
      </c>
      <c r="P22" s="21" t="s">
        <v>357</v>
      </c>
      <c r="Q22" s="21" t="s">
        <v>319</v>
      </c>
      <c r="R22" s="21" t="s">
        <v>23</v>
      </c>
      <c r="S22" s="33" t="s">
        <v>358</v>
      </c>
    </row>
    <row r="23" spans="1:19" ht="20.100000000000001" customHeight="1">
      <c r="A23" s="3" t="str">
        <f t="shared" si="0"/>
        <v>PR-022</v>
      </c>
      <c r="B23" s="21" t="s">
        <v>198</v>
      </c>
      <c r="C23" s="33" t="s">
        <v>359</v>
      </c>
      <c r="D23" s="33" t="s">
        <v>303</v>
      </c>
      <c r="E23" s="21" t="s">
        <v>304</v>
      </c>
      <c r="F23" s="21" t="s">
        <v>246</v>
      </c>
      <c r="G23" s="21" t="s">
        <v>247</v>
      </c>
      <c r="H23" s="21" t="s">
        <v>248</v>
      </c>
      <c r="I23" s="21" t="s">
        <v>249</v>
      </c>
      <c r="J23" s="21" t="s">
        <v>305</v>
      </c>
      <c r="K23" s="21" t="s">
        <v>306</v>
      </c>
      <c r="L23" s="21" t="s">
        <v>307</v>
      </c>
      <c r="M23" s="21" t="s">
        <v>360</v>
      </c>
      <c r="N23" s="21" t="s">
        <v>309</v>
      </c>
      <c r="O23" s="21" t="s">
        <v>23</v>
      </c>
      <c r="P23" s="21" t="s">
        <v>361</v>
      </c>
      <c r="Q23" s="21" t="s">
        <v>319</v>
      </c>
      <c r="R23" s="21" t="s">
        <v>23</v>
      </c>
      <c r="S23" s="33" t="s">
        <v>362</v>
      </c>
    </row>
    <row r="24" spans="1:19" ht="20.100000000000001" customHeight="1">
      <c r="A24" s="3" t="str">
        <f t="shared" si="0"/>
        <v>PR-023</v>
      </c>
      <c r="B24" s="21" t="s">
        <v>206</v>
      </c>
      <c r="C24" s="33" t="s">
        <v>363</v>
      </c>
      <c r="D24" s="33" t="s">
        <v>303</v>
      </c>
      <c r="E24" s="21" t="s">
        <v>304</v>
      </c>
      <c r="F24" s="21" t="s">
        <v>246</v>
      </c>
      <c r="G24" s="21" t="s">
        <v>247</v>
      </c>
      <c r="H24" s="21" t="s">
        <v>248</v>
      </c>
      <c r="I24" s="21" t="s">
        <v>249</v>
      </c>
      <c r="J24" s="21" t="s">
        <v>305</v>
      </c>
      <c r="K24" s="21" t="s">
        <v>306</v>
      </c>
      <c r="L24" s="21" t="s">
        <v>307</v>
      </c>
      <c r="M24" s="21" t="s">
        <v>364</v>
      </c>
      <c r="N24" s="21" t="s">
        <v>309</v>
      </c>
      <c r="O24" s="21" t="s">
        <v>23</v>
      </c>
      <c r="P24" s="21" t="s">
        <v>365</v>
      </c>
      <c r="Q24" s="21" t="s">
        <v>366</v>
      </c>
      <c r="R24" s="21" t="s">
        <v>23</v>
      </c>
      <c r="S24" s="33" t="s">
        <v>367</v>
      </c>
    </row>
    <row r="25" spans="1:19" ht="20.100000000000001" customHeight="1">
      <c r="A25" s="3" t="str">
        <f t="shared" si="0"/>
        <v>PR-024</v>
      </c>
      <c r="B25" s="21" t="s">
        <v>215</v>
      </c>
      <c r="C25" s="33" t="s">
        <v>368</v>
      </c>
      <c r="D25" s="33" t="s">
        <v>303</v>
      </c>
      <c r="E25" s="21" t="s">
        <v>304</v>
      </c>
      <c r="F25" s="21" t="s">
        <v>246</v>
      </c>
      <c r="G25" s="21" t="s">
        <v>247</v>
      </c>
      <c r="H25" s="21" t="s">
        <v>248</v>
      </c>
      <c r="I25" s="21" t="s">
        <v>249</v>
      </c>
      <c r="J25" s="21" t="s">
        <v>305</v>
      </c>
      <c r="K25" s="21" t="s">
        <v>306</v>
      </c>
      <c r="L25" s="21" t="s">
        <v>307</v>
      </c>
      <c r="M25" s="21" t="s">
        <v>369</v>
      </c>
      <c r="N25" s="21" t="s">
        <v>309</v>
      </c>
      <c r="O25" s="21" t="s">
        <v>23</v>
      </c>
      <c r="P25" s="21" t="s">
        <v>370</v>
      </c>
      <c r="Q25" s="21" t="s">
        <v>319</v>
      </c>
      <c r="R25" s="21" t="s">
        <v>23</v>
      </c>
      <c r="S25" s="33" t="s">
        <v>371</v>
      </c>
    </row>
    <row r="26" spans="1:19" ht="20.100000000000001" customHeight="1">
      <c r="A26" s="3" t="str">
        <f t="shared" si="0"/>
        <v>PR-025</v>
      </c>
    </row>
    <row r="27" spans="1:19" ht="20.100000000000001" customHeight="1">
      <c r="A27" s="3" t="str">
        <f t="shared" si="0"/>
        <v>PR-026</v>
      </c>
    </row>
    <row r="28" spans="1:19" ht="20.100000000000001" customHeight="1">
      <c r="A28" s="3" t="str">
        <f t="shared" si="0"/>
        <v>PR-027</v>
      </c>
    </row>
    <row r="29" spans="1:19" ht="20.100000000000001" customHeight="1">
      <c r="A29" s="3" t="str">
        <f t="shared" si="0"/>
        <v>PR-028</v>
      </c>
    </row>
    <row r="30" spans="1:19" ht="20.100000000000001" customHeight="1">
      <c r="A30" s="3" t="str">
        <f t="shared" si="0"/>
        <v>PR-029</v>
      </c>
    </row>
    <row r="31" spans="1:19" ht="20.100000000000001" customHeight="1">
      <c r="A31" s="3" t="str">
        <f t="shared" si="0"/>
        <v>PR-030</v>
      </c>
    </row>
    <row r="32" spans="1:19" ht="20.100000000000001" customHeight="1">
      <c r="A32" s="3" t="str">
        <f t="shared" si="0"/>
        <v>PR-031</v>
      </c>
    </row>
    <row r="33" spans="1:1" ht="20.100000000000001" customHeight="1">
      <c r="A33" s="3" t="str">
        <f t="shared" si="0"/>
        <v>PR-032</v>
      </c>
    </row>
    <row r="34" spans="1:1" ht="20.100000000000001" customHeight="1">
      <c r="A34" s="3" t="str">
        <f t="shared" ref="A34:A65" si="1">"PR-"&amp;TEXT(ROW()-1,"000")</f>
        <v>PR-033</v>
      </c>
    </row>
    <row r="35" spans="1:1" ht="20.100000000000001" customHeight="1">
      <c r="A35" s="3" t="str">
        <f t="shared" si="1"/>
        <v>PR-034</v>
      </c>
    </row>
    <row r="36" spans="1:1" ht="20.100000000000001" customHeight="1">
      <c r="A36" s="3" t="str">
        <f t="shared" si="1"/>
        <v>PR-035</v>
      </c>
    </row>
    <row r="37" spans="1:1" ht="20.100000000000001" customHeight="1">
      <c r="A37" s="3" t="str">
        <f t="shared" si="1"/>
        <v>PR-036</v>
      </c>
    </row>
    <row r="38" spans="1:1" ht="20.100000000000001" customHeight="1">
      <c r="A38" s="3" t="str">
        <f t="shared" si="1"/>
        <v>PR-037</v>
      </c>
    </row>
    <row r="39" spans="1:1" ht="20.100000000000001" customHeight="1">
      <c r="A39" s="3" t="str">
        <f t="shared" si="1"/>
        <v>PR-038</v>
      </c>
    </row>
    <row r="40" spans="1:1" ht="20.100000000000001" customHeight="1">
      <c r="A40" s="3" t="str">
        <f t="shared" si="1"/>
        <v>PR-039</v>
      </c>
    </row>
    <row r="41" spans="1:1" ht="20.100000000000001" customHeight="1">
      <c r="A41" s="3" t="str">
        <f t="shared" si="1"/>
        <v>PR-040</v>
      </c>
    </row>
    <row r="42" spans="1:1" ht="20.100000000000001" customHeight="1">
      <c r="A42" s="3" t="str">
        <f t="shared" si="1"/>
        <v>PR-041</v>
      </c>
    </row>
    <row r="43" spans="1:1" ht="20.100000000000001" customHeight="1">
      <c r="A43" s="3" t="str">
        <f t="shared" si="1"/>
        <v>PR-042</v>
      </c>
    </row>
    <row r="44" spans="1:1" ht="20.100000000000001" customHeight="1">
      <c r="A44" s="3" t="str">
        <f t="shared" si="1"/>
        <v>PR-043</v>
      </c>
    </row>
    <row r="45" spans="1:1" ht="20.100000000000001" customHeight="1">
      <c r="A45" s="3" t="str">
        <f t="shared" si="1"/>
        <v>PR-044</v>
      </c>
    </row>
    <row r="46" spans="1:1" ht="20.100000000000001" customHeight="1">
      <c r="A46" s="3" t="str">
        <f t="shared" si="1"/>
        <v>PR-045</v>
      </c>
    </row>
    <row r="47" spans="1:1" ht="20.100000000000001" customHeight="1">
      <c r="A47" s="3" t="str">
        <f t="shared" si="1"/>
        <v>PR-046</v>
      </c>
    </row>
    <row r="48" spans="1:1" ht="20.100000000000001" customHeight="1">
      <c r="A48" s="3" t="str">
        <f t="shared" si="1"/>
        <v>PR-047</v>
      </c>
    </row>
    <row r="49" spans="1:1" ht="20.100000000000001" customHeight="1">
      <c r="A49" s="3" t="str">
        <f t="shared" si="1"/>
        <v>PR-048</v>
      </c>
    </row>
    <row r="50" spans="1:1" ht="20.100000000000001" customHeight="1">
      <c r="A50" s="3" t="str">
        <f t="shared" si="1"/>
        <v>PR-049</v>
      </c>
    </row>
    <row r="51" spans="1:1" ht="20.100000000000001" customHeight="1">
      <c r="A51" s="3" t="str">
        <f t="shared" si="1"/>
        <v>PR-050</v>
      </c>
    </row>
    <row r="52" spans="1:1" ht="20.100000000000001" customHeight="1">
      <c r="A52" s="3" t="str">
        <f t="shared" si="1"/>
        <v>PR-051</v>
      </c>
    </row>
    <row r="53" spans="1:1" ht="20.100000000000001" customHeight="1">
      <c r="A53" s="3" t="str">
        <f t="shared" si="1"/>
        <v>PR-052</v>
      </c>
    </row>
    <row r="54" spans="1:1" ht="20.100000000000001" customHeight="1">
      <c r="A54" s="3" t="str">
        <f t="shared" si="1"/>
        <v>PR-053</v>
      </c>
    </row>
    <row r="55" spans="1:1" ht="20.100000000000001" customHeight="1">
      <c r="A55" s="3" t="str">
        <f t="shared" si="1"/>
        <v>PR-054</v>
      </c>
    </row>
    <row r="56" spans="1:1" ht="20.100000000000001" customHeight="1">
      <c r="A56" s="3" t="str">
        <f t="shared" si="1"/>
        <v>PR-055</v>
      </c>
    </row>
    <row r="57" spans="1:1" ht="20.100000000000001" customHeight="1">
      <c r="A57" s="3" t="str">
        <f t="shared" si="1"/>
        <v>PR-056</v>
      </c>
    </row>
    <row r="58" spans="1:1" ht="20.100000000000001" customHeight="1">
      <c r="A58" s="3" t="str">
        <f t="shared" si="1"/>
        <v>PR-057</v>
      </c>
    </row>
    <row r="59" spans="1:1" ht="20.100000000000001" customHeight="1">
      <c r="A59" s="3" t="str">
        <f t="shared" si="1"/>
        <v>PR-058</v>
      </c>
    </row>
    <row r="60" spans="1:1" ht="20.100000000000001" customHeight="1">
      <c r="A60" s="3" t="str">
        <f t="shared" si="1"/>
        <v>PR-059</v>
      </c>
    </row>
    <row r="61" spans="1:1" ht="20.100000000000001" customHeight="1">
      <c r="A61" s="3" t="str">
        <f t="shared" si="1"/>
        <v>PR-060</v>
      </c>
    </row>
    <row r="62" spans="1:1" ht="20.100000000000001" customHeight="1">
      <c r="A62" s="3" t="str">
        <f t="shared" si="1"/>
        <v>PR-061</v>
      </c>
    </row>
    <row r="63" spans="1:1" ht="20.100000000000001" customHeight="1">
      <c r="A63" s="3" t="str">
        <f t="shared" si="1"/>
        <v>PR-062</v>
      </c>
    </row>
    <row r="64" spans="1:1" ht="20.100000000000001" customHeight="1">
      <c r="A64" s="3" t="str">
        <f t="shared" si="1"/>
        <v>PR-063</v>
      </c>
    </row>
    <row r="65" spans="1:1" ht="20.100000000000001" customHeight="1">
      <c r="A65" s="3" t="str">
        <f t="shared" si="1"/>
        <v>PR-064</v>
      </c>
    </row>
    <row r="66" spans="1:1" ht="20.100000000000001" customHeight="1">
      <c r="A66" s="3" t="str">
        <f t="shared" ref="A66:A100" si="2">"PR-"&amp;TEXT(ROW()-1,"000")</f>
        <v>PR-065</v>
      </c>
    </row>
    <row r="67" spans="1:1" ht="20.100000000000001" customHeight="1">
      <c r="A67" s="3" t="str">
        <f t="shared" si="2"/>
        <v>PR-066</v>
      </c>
    </row>
    <row r="68" spans="1:1" ht="20.100000000000001" customHeight="1">
      <c r="A68" s="3" t="str">
        <f t="shared" si="2"/>
        <v>PR-067</v>
      </c>
    </row>
    <row r="69" spans="1:1" ht="20.100000000000001" customHeight="1">
      <c r="A69" s="3" t="str">
        <f t="shared" si="2"/>
        <v>PR-068</v>
      </c>
    </row>
    <row r="70" spans="1:1" ht="20.100000000000001" customHeight="1">
      <c r="A70" s="3" t="str">
        <f t="shared" si="2"/>
        <v>PR-069</v>
      </c>
    </row>
    <row r="71" spans="1:1" ht="20.100000000000001" customHeight="1">
      <c r="A71" s="3" t="str">
        <f t="shared" si="2"/>
        <v>PR-070</v>
      </c>
    </row>
    <row r="72" spans="1:1" ht="20.100000000000001" customHeight="1">
      <c r="A72" s="3" t="str">
        <f t="shared" si="2"/>
        <v>PR-071</v>
      </c>
    </row>
    <row r="73" spans="1:1" ht="20.100000000000001" customHeight="1">
      <c r="A73" s="3" t="str">
        <f t="shared" si="2"/>
        <v>PR-072</v>
      </c>
    </row>
    <row r="74" spans="1:1" ht="20.100000000000001" customHeight="1">
      <c r="A74" s="3" t="str">
        <f t="shared" si="2"/>
        <v>PR-073</v>
      </c>
    </row>
    <row r="75" spans="1:1" ht="20.100000000000001" customHeight="1">
      <c r="A75" s="3" t="str">
        <f t="shared" si="2"/>
        <v>PR-074</v>
      </c>
    </row>
    <row r="76" spans="1:1" ht="20.100000000000001" customHeight="1">
      <c r="A76" s="3" t="str">
        <f t="shared" si="2"/>
        <v>PR-075</v>
      </c>
    </row>
    <row r="77" spans="1:1" ht="20.100000000000001" customHeight="1">
      <c r="A77" s="3" t="str">
        <f t="shared" si="2"/>
        <v>PR-076</v>
      </c>
    </row>
    <row r="78" spans="1:1" ht="20.100000000000001" customHeight="1">
      <c r="A78" s="3" t="str">
        <f t="shared" si="2"/>
        <v>PR-077</v>
      </c>
    </row>
    <row r="79" spans="1:1" ht="20.100000000000001" customHeight="1">
      <c r="A79" s="3" t="str">
        <f t="shared" si="2"/>
        <v>PR-078</v>
      </c>
    </row>
    <row r="80" spans="1:1" ht="20.100000000000001" customHeight="1">
      <c r="A80" s="3" t="str">
        <f t="shared" si="2"/>
        <v>PR-079</v>
      </c>
    </row>
    <row r="81" spans="1:1" ht="20.100000000000001" customHeight="1">
      <c r="A81" s="3" t="str">
        <f t="shared" si="2"/>
        <v>PR-080</v>
      </c>
    </row>
    <row r="82" spans="1:1" ht="20.100000000000001" customHeight="1">
      <c r="A82" s="3" t="str">
        <f t="shared" si="2"/>
        <v>PR-081</v>
      </c>
    </row>
    <row r="83" spans="1:1" ht="20.100000000000001" customHeight="1">
      <c r="A83" s="3" t="str">
        <f t="shared" si="2"/>
        <v>PR-082</v>
      </c>
    </row>
    <row r="84" spans="1:1" ht="20.100000000000001" customHeight="1">
      <c r="A84" s="3" t="str">
        <f t="shared" si="2"/>
        <v>PR-083</v>
      </c>
    </row>
    <row r="85" spans="1:1" ht="20.100000000000001" customHeight="1">
      <c r="A85" s="3" t="str">
        <f t="shared" si="2"/>
        <v>PR-084</v>
      </c>
    </row>
    <row r="86" spans="1:1" ht="20.100000000000001" customHeight="1">
      <c r="A86" s="3" t="str">
        <f t="shared" si="2"/>
        <v>PR-085</v>
      </c>
    </row>
    <row r="87" spans="1:1" ht="20.100000000000001" customHeight="1">
      <c r="A87" s="3" t="str">
        <f t="shared" si="2"/>
        <v>PR-086</v>
      </c>
    </row>
    <row r="88" spans="1:1" ht="20.100000000000001" customHeight="1">
      <c r="A88" s="3" t="str">
        <f t="shared" si="2"/>
        <v>PR-087</v>
      </c>
    </row>
    <row r="89" spans="1:1" ht="20.100000000000001" customHeight="1">
      <c r="A89" s="3" t="str">
        <f t="shared" si="2"/>
        <v>PR-088</v>
      </c>
    </row>
    <row r="90" spans="1:1" ht="20.100000000000001" customHeight="1">
      <c r="A90" s="3" t="str">
        <f t="shared" si="2"/>
        <v>PR-089</v>
      </c>
    </row>
    <row r="91" spans="1:1" ht="20.100000000000001" customHeight="1">
      <c r="A91" s="3" t="str">
        <f t="shared" si="2"/>
        <v>PR-090</v>
      </c>
    </row>
    <row r="92" spans="1:1" ht="20.100000000000001" customHeight="1">
      <c r="A92" s="3" t="str">
        <f t="shared" si="2"/>
        <v>PR-091</v>
      </c>
    </row>
    <row r="93" spans="1:1" ht="20.100000000000001" customHeight="1">
      <c r="A93" s="3" t="str">
        <f t="shared" si="2"/>
        <v>PR-092</v>
      </c>
    </row>
    <row r="94" spans="1:1" ht="20.100000000000001" customHeight="1">
      <c r="A94" s="3" t="str">
        <f t="shared" si="2"/>
        <v>PR-093</v>
      </c>
    </row>
    <row r="95" spans="1:1" ht="20.100000000000001" customHeight="1">
      <c r="A95" s="3" t="str">
        <f t="shared" si="2"/>
        <v>PR-094</v>
      </c>
    </row>
    <row r="96" spans="1:1" ht="20.100000000000001" customHeight="1">
      <c r="A96" s="3" t="str">
        <f t="shared" si="2"/>
        <v>PR-095</v>
      </c>
    </row>
    <row r="97" spans="1:1" ht="20.100000000000001" customHeight="1">
      <c r="A97" s="3" t="str">
        <f t="shared" si="2"/>
        <v>PR-096</v>
      </c>
    </row>
    <row r="98" spans="1:1" ht="20.100000000000001" customHeight="1">
      <c r="A98" s="3" t="str">
        <f t="shared" si="2"/>
        <v>PR-097</v>
      </c>
    </row>
    <row r="99" spans="1:1" ht="20.100000000000001" customHeight="1">
      <c r="A99" s="3" t="str">
        <f t="shared" si="2"/>
        <v>PR-098</v>
      </c>
    </row>
    <row r="100" spans="1:1" ht="20.100000000000001" customHeight="1">
      <c r="A100" s="3" t="str">
        <f t="shared" si="2"/>
        <v>PR-099</v>
      </c>
    </row>
  </sheetData>
  <dataValidations count="10">
    <dataValidation type="list" allowBlank="1" showInputMessage="1" showErrorMessage="1" sqref="G1" xr:uid="{00000000-0002-0000-0200-000000000000}">
      <formula1>"Windows.Event.Logs,Custom.VQL,Notebook,Hunt,Parser,Elastic.Sysmon,Multiple"</formula1>
    </dataValidation>
    <dataValidation type="list" allowBlank="1" showInputMessage="1" showErrorMessage="1" sqref="D1 F1" xr:uid="{00000000-0002-0000-0200-000008000000}">
      <formula1>"Atomic Red Team,Manual controlado,Script propio,Emulación benigna"</formula1>
    </dataValidation>
    <dataValidation type="list" allowBlank="1" showInputMessage="1" showErrorMessage="1" sqref="F1:F1048576" xr:uid="{00000000-0002-0000-0200-000001000000}">
      <formula1>"0.75.6"</formula1>
    </dataValidation>
    <dataValidation type="list" allowBlank="1" showInputMessage="1" showErrorMessage="1" sqref="I1:I1048576" xr:uid="{00000000-0002-0000-0200-000002000000}">
      <formula1>"Manual,Hunt,Mixta,Programada,Client Event"</formula1>
    </dataValidation>
    <dataValidation type="list" allowBlank="1" showInputMessage="1" showErrorMessage="1" sqref="J1:J1048576" xr:uid="{00000000-0002-0000-0200-000003000000}">
      <formula1>"Detectado,Parcial,No detectado"</formula1>
    </dataValidation>
    <dataValidation type="list" allowBlank="1" showInputMessage="1" showErrorMessage="1" sqref="K1:K1048576" xr:uid="{00000000-0002-0000-0200-000004000000}">
      <formula1>"Positivo,Negativo"</formula1>
    </dataValidation>
    <dataValidation type="list" allowBlank="1" showInputMessage="1" showErrorMessage="1" sqref="L1:L1048576" xr:uid="{00000000-0002-0000-0200-000005000000}">
      <formula1>"verdadero positivo,falso negativo,falso positivo,verdadero negativo"</formula1>
    </dataValidation>
    <dataValidation type="list" allowBlank="1" showInputMessage="1" showErrorMessage="1" sqref="O1:O1048576 R1:R1048576" xr:uid="{00000000-0002-0000-0200-000006000000}">
      <formula1>"Sí,Parcial,No"</formula1>
    </dataValidation>
    <dataValidation type="list" allowBlank="1" showInputMessage="1" showErrorMessage="1" sqref="Q1:Q1048576" xr:uid="{00000000-0002-0000-0200-000007000000}">
      <formula1>"Sysmon,Security Event Log,Registry,Filesystem,WMI,Task Scheduler,Services,Multiple"</formula1>
    </dataValidation>
    <dataValidation type="list" allowBlank="1" showInputMessage="1" showErrorMessage="1" sqref="H1:H1048576" xr:uid="{00000000-0002-0000-0200-000009000000}">
      <formula1>"Event artifact"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0"/>
  <sheetViews>
    <sheetView topLeftCell="A7" workbookViewId="0">
      <selection activeCell="A21" sqref="A21"/>
    </sheetView>
  </sheetViews>
  <sheetFormatPr baseColWidth="10" defaultRowHeight="15"/>
  <cols>
    <col min="1" max="2" width="12" style="3" customWidth="1"/>
    <col min="3" max="3" width="14.28515625" style="3" customWidth="1"/>
    <col min="4" max="4" width="22" style="3" customWidth="1"/>
    <col min="5" max="6" width="16" style="3" customWidth="1"/>
    <col min="7" max="7" width="13" style="3" customWidth="1"/>
    <col min="8" max="8" width="24" style="3" customWidth="1"/>
    <col min="9" max="9" width="14" style="3" customWidth="1"/>
    <col min="10" max="11" width="10" style="3" customWidth="1"/>
    <col min="12" max="17" width="10" customWidth="1"/>
    <col min="18" max="19" width="12" customWidth="1"/>
    <col min="20" max="20" width="28" customWidth="1"/>
    <col min="21" max="21" width="54" customWidth="1"/>
    <col min="22" max="16384" width="11.42578125" style="3"/>
  </cols>
  <sheetData>
    <row r="1" spans="1:21" ht="15" customHeight="1">
      <c r="A1" s="61" t="s">
        <v>434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1:21" ht="15" customHeight="1">
      <c r="A2" s="18"/>
      <c r="B2" s="18"/>
      <c r="C2" s="18"/>
      <c r="D2" s="18"/>
      <c r="E2" s="19"/>
      <c r="F2" s="19"/>
      <c r="G2" s="18"/>
      <c r="H2" s="18"/>
      <c r="I2" s="18"/>
      <c r="J2" s="18"/>
      <c r="K2" s="19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15" customHeight="1">
      <c r="A3" s="41" t="s">
        <v>435</v>
      </c>
      <c r="B3" s="35" t="s">
        <v>436</v>
      </c>
      <c r="C3" s="35" t="s">
        <v>437</v>
      </c>
      <c r="D3" s="18"/>
      <c r="E3" s="62" t="s">
        <v>438</v>
      </c>
      <c r="F3" s="62"/>
      <c r="G3" s="62"/>
      <c r="H3" s="62"/>
      <c r="I3" s="62"/>
      <c r="J3" s="62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</row>
    <row r="4" spans="1:21" ht="60" customHeight="1">
      <c r="A4" s="42" t="s">
        <v>439</v>
      </c>
      <c r="B4" s="48">
        <f>COUNTA($A$21:$A$44)</f>
        <v>24</v>
      </c>
      <c r="C4" s="36" t="s">
        <v>440</v>
      </c>
      <c r="D4" s="18"/>
      <c r="E4" s="24" t="s">
        <v>441</v>
      </c>
      <c r="F4" s="25" t="s">
        <v>442</v>
      </c>
      <c r="G4" s="26"/>
      <c r="H4" s="26"/>
      <c r="I4" s="26"/>
      <c r="J4" s="26"/>
      <c r="K4" s="25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ht="60" customHeight="1">
      <c r="A5" s="39" t="s">
        <v>443</v>
      </c>
      <c r="B5" s="49">
        <f>COUNTIF($C$21:$C$44,"TEC")</f>
        <v>9</v>
      </c>
      <c r="C5" s="37" t="s">
        <v>444</v>
      </c>
      <c r="D5" s="18"/>
      <c r="E5" s="24" t="s">
        <v>445</v>
      </c>
      <c r="F5" s="25" t="s">
        <v>446</v>
      </c>
      <c r="G5" s="26"/>
      <c r="H5" s="26"/>
      <c r="I5" s="26"/>
      <c r="J5" s="26"/>
      <c r="K5" s="25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ht="84" customHeight="1">
      <c r="A6" s="39" t="s">
        <v>447</v>
      </c>
      <c r="B6" s="49">
        <f>COUNTIF($C$21:$C$44,"OB")</f>
        <v>15</v>
      </c>
      <c r="C6" s="37" t="s">
        <v>448</v>
      </c>
      <c r="D6" s="18"/>
      <c r="E6" s="24" t="s">
        <v>449</v>
      </c>
      <c r="F6" s="25" t="s">
        <v>450</v>
      </c>
      <c r="G6" s="26"/>
      <c r="H6" s="26"/>
      <c r="I6" s="26"/>
      <c r="J6" s="26"/>
      <c r="K6" s="25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ht="84" customHeight="1">
      <c r="A7" s="39" t="s">
        <v>451</v>
      </c>
      <c r="B7" s="49">
        <f>SUM($M$21:$M$44)</f>
        <v>9</v>
      </c>
      <c r="C7" s="37" t="s">
        <v>452</v>
      </c>
      <c r="D7" s="18"/>
      <c r="E7" s="24" t="s">
        <v>453</v>
      </c>
      <c r="F7" s="25" t="s">
        <v>454</v>
      </c>
      <c r="G7" s="26"/>
      <c r="H7" s="26"/>
      <c r="I7" s="26"/>
      <c r="J7" s="26"/>
      <c r="K7" s="25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ht="45" customHeight="1">
      <c r="A8" s="39" t="s">
        <v>455</v>
      </c>
      <c r="B8" s="49">
        <f>SUM($N$21:$N$44)</f>
        <v>14</v>
      </c>
      <c r="C8" s="37" t="s">
        <v>456</v>
      </c>
      <c r="D8" s="18"/>
      <c r="E8" s="19"/>
      <c r="F8" s="19"/>
      <c r="G8" s="18"/>
      <c r="H8" s="18"/>
      <c r="I8" s="18"/>
      <c r="J8" s="18"/>
      <c r="K8" s="19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33.75" customHeight="1">
      <c r="A9" s="39" t="s">
        <v>457</v>
      </c>
      <c r="B9" s="49">
        <f>SUM($O$21:$O$44)</f>
        <v>1</v>
      </c>
      <c r="C9" s="37" t="s">
        <v>458</v>
      </c>
      <c r="D9" s="18"/>
      <c r="E9" s="62" t="s">
        <v>459</v>
      </c>
      <c r="F9" s="62"/>
      <c r="G9" s="63"/>
      <c r="H9" s="63"/>
      <c r="I9" s="62"/>
      <c r="J9" s="63"/>
      <c r="K9" s="62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 spans="1:21" ht="48" customHeight="1">
      <c r="A10" s="39" t="s">
        <v>460</v>
      </c>
      <c r="B10" s="49">
        <f>SUM($P$21:$P$44)</f>
        <v>0</v>
      </c>
      <c r="C10" s="37" t="s">
        <v>461</v>
      </c>
      <c r="D10" s="18"/>
      <c r="E10" s="28" t="s">
        <v>462</v>
      </c>
      <c r="F10" s="29" t="s">
        <v>463</v>
      </c>
      <c r="G10" s="30"/>
      <c r="H10" s="30"/>
      <c r="I10" s="31"/>
      <c r="J10" s="30"/>
      <c r="K10" s="29"/>
      <c r="L10" s="30"/>
      <c r="M10" s="30"/>
      <c r="N10" s="30"/>
      <c r="O10" s="30"/>
      <c r="P10" s="30"/>
      <c r="Q10" s="30"/>
      <c r="R10" s="30"/>
      <c r="S10" s="30"/>
      <c r="T10" s="30"/>
      <c r="U10" s="30"/>
    </row>
    <row r="11" spans="1:21" ht="48" customHeight="1">
      <c r="A11" s="39" t="s">
        <v>464</v>
      </c>
      <c r="B11" s="43">
        <f>IF(B5=0,0,B7/B5)</f>
        <v>1</v>
      </c>
      <c r="C11" s="37" t="s">
        <v>465</v>
      </c>
      <c r="D11" s="18"/>
      <c r="E11" s="28" t="s">
        <v>466</v>
      </c>
      <c r="F11" s="29" t="s">
        <v>467</v>
      </c>
      <c r="G11" s="30"/>
      <c r="H11" s="30"/>
      <c r="I11" s="31"/>
      <c r="J11" s="30"/>
      <c r="K11" s="29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1:21" ht="29.25" customHeight="1">
      <c r="A12" s="39" t="s">
        <v>468</v>
      </c>
      <c r="B12" s="43">
        <f>IF(B6=0,0,B9/B6)</f>
        <v>6.6666666666666666E-2</v>
      </c>
      <c r="C12" s="37" t="s">
        <v>469</v>
      </c>
      <c r="D12" s="22"/>
      <c r="E12" s="32" t="s">
        <v>470</v>
      </c>
      <c r="F12" s="30" t="s">
        <v>471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</row>
    <row r="13" spans="1:21" ht="48" customHeight="1">
      <c r="A13" s="39" t="s">
        <v>472</v>
      </c>
      <c r="B13" s="43">
        <f>IF(B4=0,0,(B7+B8)/B4)</f>
        <v>0.95833333333333337</v>
      </c>
      <c r="C13" s="37" t="s">
        <v>473</v>
      </c>
      <c r="D13" s="18"/>
      <c r="E13" s="28" t="s">
        <v>474</v>
      </c>
      <c r="F13" s="31" t="s">
        <v>475</v>
      </c>
      <c r="G13" s="30"/>
      <c r="H13" s="30"/>
      <c r="I13" s="31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 spans="1:21" ht="52.5" customHeight="1">
      <c r="A14" s="39" t="s">
        <v>476</v>
      </c>
      <c r="B14" s="49">
        <f>SUM($Q$21:$Q$44)</f>
        <v>1</v>
      </c>
      <c r="C14" s="37" t="s">
        <v>477</v>
      </c>
      <c r="D14" s="18"/>
      <c r="E14" s="28" t="s">
        <v>478</v>
      </c>
      <c r="F14" s="31" t="s">
        <v>479</v>
      </c>
      <c r="G14" s="30"/>
      <c r="H14" s="30"/>
      <c r="I14" s="31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</row>
    <row r="15" spans="1:21" ht="47.25" customHeight="1">
      <c r="A15" s="40" t="s">
        <v>480</v>
      </c>
      <c r="B15" s="44">
        <f>IF(B4=0,0,(B7+B8+B14)/B4)</f>
        <v>1</v>
      </c>
      <c r="C15" s="38" t="s">
        <v>481</v>
      </c>
      <c r="D15" s="18"/>
      <c r="E15" s="18"/>
      <c r="F15" s="18"/>
      <c r="G15" s="22"/>
      <c r="H15" s="22"/>
      <c r="I15" s="18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ht="15" customHeight="1">
      <c r="A16" s="22"/>
      <c r="B16" s="22"/>
      <c r="C16" s="18"/>
      <c r="D16" s="18"/>
      <c r="E16" s="18"/>
      <c r="F16" s="18"/>
      <c r="G16" s="22"/>
      <c r="H16" s="22"/>
      <c r="I16" s="18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15" customHeight="1">
      <c r="A17" s="22"/>
      <c r="B17" s="22"/>
      <c r="C17" s="18"/>
      <c r="D17" s="18"/>
      <c r="E17" s="18"/>
      <c r="F17" s="18"/>
      <c r="G17" s="22"/>
      <c r="H17" s="22"/>
      <c r="I17" s="18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22"/>
      <c r="B18" s="22"/>
      <c r="C18" s="18"/>
      <c r="D18" s="18"/>
      <c r="E18" s="18"/>
      <c r="F18" s="18"/>
      <c r="G18" s="22"/>
      <c r="H18" s="22"/>
      <c r="I18" s="18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1:21" ht="15" customHeight="1">
      <c r="A19" s="22"/>
      <c r="B19" s="22"/>
      <c r="C19" s="18"/>
      <c r="D19" s="18"/>
      <c r="E19" s="18"/>
      <c r="F19" s="18"/>
      <c r="G19" s="22"/>
      <c r="H19" s="22"/>
      <c r="I19" s="18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ht="24" customHeight="1">
      <c r="A20" s="34" t="s">
        <v>223</v>
      </c>
      <c r="B20" s="34" t="s">
        <v>224</v>
      </c>
      <c r="C20" s="34" t="s">
        <v>482</v>
      </c>
      <c r="D20" s="34" t="s">
        <v>483</v>
      </c>
      <c r="E20" s="34" t="s">
        <v>484</v>
      </c>
      <c r="F20" s="34" t="s">
        <v>232</v>
      </c>
      <c r="G20" s="34" t="s">
        <v>233</v>
      </c>
      <c r="H20" s="34" t="s">
        <v>234</v>
      </c>
      <c r="I20" s="34" t="s">
        <v>485</v>
      </c>
      <c r="J20" s="34" t="s">
        <v>486</v>
      </c>
      <c r="K20" s="34" t="s">
        <v>487</v>
      </c>
      <c r="L20" s="34" t="s">
        <v>488</v>
      </c>
      <c r="M20" s="34" t="s">
        <v>489</v>
      </c>
      <c r="N20" s="34" t="s">
        <v>490</v>
      </c>
      <c r="O20" s="34" t="s">
        <v>491</v>
      </c>
      <c r="P20" s="34" t="s">
        <v>492</v>
      </c>
      <c r="Q20" s="34" t="s">
        <v>493</v>
      </c>
      <c r="R20" s="34" t="s">
        <v>237</v>
      </c>
      <c r="S20" s="34" t="s">
        <v>240</v>
      </c>
      <c r="T20" s="34" t="s">
        <v>494</v>
      </c>
      <c r="U20" s="34" t="s">
        <v>495</v>
      </c>
    </row>
    <row r="21" spans="1:21" s="52" customFormat="1" ht="24" customHeight="1">
      <c r="A21" s="50" t="s">
        <v>567</v>
      </c>
      <c r="B21" s="50" t="s">
        <v>242</v>
      </c>
      <c r="C21" s="50" t="str">
        <f t="shared" ref="C21:C44" si="0">IF(LEFT(B21,3)="TEC","TEC",IF(LEFT(B21,2)="OB","OB",""))</f>
        <v>TEC</v>
      </c>
      <c r="D21" s="50" t="s">
        <v>15</v>
      </c>
      <c r="E21" s="50" t="s">
        <v>20</v>
      </c>
      <c r="F21" s="50" t="s">
        <v>250</v>
      </c>
      <c r="G21" s="50" t="s">
        <v>251</v>
      </c>
      <c r="H21" s="50" t="s">
        <v>252</v>
      </c>
      <c r="I21" s="50" t="str">
        <f t="shared" ref="I21:I44" si="1">IF(AND(G21="Positivo",F21="Detectado"),"VP",IF(AND(G21="Positivo",F21&lt;&gt;"Detectado"),"FN",IF(AND(G21="Negativo",F21="Detectado"),"FP",IF(AND(G21="Negativo",F21&lt;&gt;"Detectado"),"VN","NE"))))</f>
        <v>VP</v>
      </c>
      <c r="J21" s="51">
        <f t="shared" ref="J21:J44" si="2">IF(F21="Detectado",1,0)</f>
        <v>1</v>
      </c>
      <c r="K21" s="51">
        <f t="shared" ref="K21:K44" si="3">IF(G21="Positivo",1,0)</f>
        <v>1</v>
      </c>
      <c r="L21" s="51">
        <f t="shared" ref="L21:L44" si="4">IF(OR(I21="VP",I21="VN"),1,0)</f>
        <v>1</v>
      </c>
      <c r="M21" s="51">
        <f t="shared" ref="M21:M44" si="5">IF(I21="VP",1,0)</f>
        <v>1</v>
      </c>
      <c r="N21" s="51">
        <f t="shared" ref="N21:N44" si="6">IF(I21="VN",1,0)</f>
        <v>0</v>
      </c>
      <c r="O21" s="51">
        <f t="shared" ref="O21:O44" si="7">IF(I21="FP",1,0)</f>
        <v>0</v>
      </c>
      <c r="P21" s="51">
        <f t="shared" ref="P21:P44" si="8">IF(I21="FN",1,0)</f>
        <v>0</v>
      </c>
      <c r="Q21" s="51">
        <f t="shared" ref="Q21:Q44" si="9">IF(ISNUMBER(SEARCH("dual",LOWER(H21&amp;" "&amp;U21))),1,0)</f>
        <v>0</v>
      </c>
      <c r="R21" s="50" t="s">
        <v>23</v>
      </c>
      <c r="S21" s="50" t="s">
        <v>23</v>
      </c>
      <c r="T21" s="50" t="s">
        <v>255</v>
      </c>
      <c r="U21" s="50" t="s">
        <v>591</v>
      </c>
    </row>
    <row r="22" spans="1:21" s="52" customFormat="1" ht="24" customHeight="1">
      <c r="A22" s="50" t="s">
        <v>568</v>
      </c>
      <c r="B22" s="50" t="s">
        <v>258</v>
      </c>
      <c r="C22" s="50" t="str">
        <f t="shared" si="0"/>
        <v>TEC</v>
      </c>
      <c r="D22" s="50" t="s">
        <v>15</v>
      </c>
      <c r="E22" s="50" t="s">
        <v>30</v>
      </c>
      <c r="F22" s="50" t="s">
        <v>250</v>
      </c>
      <c r="G22" s="50" t="s">
        <v>251</v>
      </c>
      <c r="H22" s="50" t="s">
        <v>252</v>
      </c>
      <c r="I22" s="50" t="str">
        <f t="shared" si="1"/>
        <v>VP</v>
      </c>
      <c r="J22" s="51">
        <f t="shared" si="2"/>
        <v>1</v>
      </c>
      <c r="K22" s="51">
        <f t="shared" si="3"/>
        <v>1</v>
      </c>
      <c r="L22" s="51">
        <f t="shared" si="4"/>
        <v>1</v>
      </c>
      <c r="M22" s="51">
        <f t="shared" si="5"/>
        <v>1</v>
      </c>
      <c r="N22" s="51">
        <f t="shared" si="6"/>
        <v>0</v>
      </c>
      <c r="O22" s="51">
        <f t="shared" si="7"/>
        <v>0</v>
      </c>
      <c r="P22" s="51">
        <f t="shared" si="8"/>
        <v>0</v>
      </c>
      <c r="Q22" s="51">
        <f t="shared" si="9"/>
        <v>0</v>
      </c>
      <c r="R22" s="50" t="s">
        <v>23</v>
      </c>
      <c r="S22" s="50" t="s">
        <v>23</v>
      </c>
      <c r="T22" s="50" t="s">
        <v>262</v>
      </c>
      <c r="U22" s="50" t="s">
        <v>592</v>
      </c>
    </row>
    <row r="23" spans="1:21" s="52" customFormat="1" ht="24" customHeight="1">
      <c r="A23" s="50" t="s">
        <v>569</v>
      </c>
      <c r="B23" s="50" t="s">
        <v>265</v>
      </c>
      <c r="C23" s="50" t="str">
        <f t="shared" si="0"/>
        <v>TEC</v>
      </c>
      <c r="D23" s="50" t="s">
        <v>37</v>
      </c>
      <c r="E23" s="50" t="s">
        <v>42</v>
      </c>
      <c r="F23" s="50" t="s">
        <v>250</v>
      </c>
      <c r="G23" s="50" t="s">
        <v>251</v>
      </c>
      <c r="H23" s="50" t="s">
        <v>252</v>
      </c>
      <c r="I23" s="50" t="str">
        <f t="shared" si="1"/>
        <v>VP</v>
      </c>
      <c r="J23" s="51">
        <f t="shared" si="2"/>
        <v>1</v>
      </c>
      <c r="K23" s="51">
        <f t="shared" si="3"/>
        <v>1</v>
      </c>
      <c r="L23" s="51">
        <f t="shared" si="4"/>
        <v>1</v>
      </c>
      <c r="M23" s="51">
        <f t="shared" si="5"/>
        <v>1</v>
      </c>
      <c r="N23" s="51">
        <f t="shared" si="6"/>
        <v>0</v>
      </c>
      <c r="O23" s="51">
        <f t="shared" si="7"/>
        <v>0</v>
      </c>
      <c r="P23" s="51">
        <f t="shared" si="8"/>
        <v>0</v>
      </c>
      <c r="Q23" s="51">
        <f t="shared" si="9"/>
        <v>0</v>
      </c>
      <c r="R23" s="50" t="s">
        <v>23</v>
      </c>
      <c r="S23" s="50" t="s">
        <v>23</v>
      </c>
      <c r="T23" s="50" t="s">
        <v>270</v>
      </c>
      <c r="U23" s="50" t="s">
        <v>271</v>
      </c>
    </row>
    <row r="24" spans="1:21" s="52" customFormat="1" ht="24" customHeight="1">
      <c r="A24" s="50" t="s">
        <v>570</v>
      </c>
      <c r="B24" s="50" t="s">
        <v>272</v>
      </c>
      <c r="C24" s="50" t="str">
        <f t="shared" si="0"/>
        <v>TEC</v>
      </c>
      <c r="D24" s="50" t="s">
        <v>37</v>
      </c>
      <c r="E24" s="50" t="s">
        <v>52</v>
      </c>
      <c r="F24" s="50" t="s">
        <v>250</v>
      </c>
      <c r="G24" s="50" t="s">
        <v>251</v>
      </c>
      <c r="H24" s="50" t="s">
        <v>252</v>
      </c>
      <c r="I24" s="50" t="str">
        <f t="shared" si="1"/>
        <v>VP</v>
      </c>
      <c r="J24" s="51">
        <f t="shared" si="2"/>
        <v>1</v>
      </c>
      <c r="K24" s="51">
        <f t="shared" si="3"/>
        <v>1</v>
      </c>
      <c r="L24" s="51">
        <f t="shared" si="4"/>
        <v>1</v>
      </c>
      <c r="M24" s="51">
        <f t="shared" si="5"/>
        <v>1</v>
      </c>
      <c r="N24" s="51">
        <f t="shared" si="6"/>
        <v>0</v>
      </c>
      <c r="O24" s="51">
        <f t="shared" si="7"/>
        <v>0</v>
      </c>
      <c r="P24" s="51">
        <f t="shared" si="8"/>
        <v>0</v>
      </c>
      <c r="Q24" s="51">
        <f t="shared" si="9"/>
        <v>0</v>
      </c>
      <c r="R24" s="50" t="s">
        <v>23</v>
      </c>
      <c r="S24" s="50" t="s">
        <v>23</v>
      </c>
      <c r="T24" s="50" t="s">
        <v>277</v>
      </c>
      <c r="U24" s="50" t="s">
        <v>279</v>
      </c>
    </row>
    <row r="25" spans="1:21" s="52" customFormat="1" ht="24" customHeight="1">
      <c r="A25" s="50" t="s">
        <v>571</v>
      </c>
      <c r="B25" s="50" t="s">
        <v>280</v>
      </c>
      <c r="C25" s="50" t="str">
        <f t="shared" si="0"/>
        <v>TEC</v>
      </c>
      <c r="D25" s="50" t="s">
        <v>15</v>
      </c>
      <c r="E25" s="50" t="s">
        <v>63</v>
      </c>
      <c r="F25" s="50" t="s">
        <v>250</v>
      </c>
      <c r="G25" s="50" t="s">
        <v>251</v>
      </c>
      <c r="H25" s="50" t="s">
        <v>252</v>
      </c>
      <c r="I25" s="50" t="str">
        <f t="shared" si="1"/>
        <v>VP</v>
      </c>
      <c r="J25" s="51">
        <f t="shared" si="2"/>
        <v>1</v>
      </c>
      <c r="K25" s="51">
        <f t="shared" si="3"/>
        <v>1</v>
      </c>
      <c r="L25" s="51">
        <f t="shared" si="4"/>
        <v>1</v>
      </c>
      <c r="M25" s="51">
        <f t="shared" si="5"/>
        <v>1</v>
      </c>
      <c r="N25" s="51">
        <f t="shared" si="6"/>
        <v>0</v>
      </c>
      <c r="O25" s="51">
        <f t="shared" si="7"/>
        <v>0</v>
      </c>
      <c r="P25" s="51">
        <f t="shared" si="8"/>
        <v>0</v>
      </c>
      <c r="Q25" s="51">
        <f t="shared" si="9"/>
        <v>0</v>
      </c>
      <c r="R25" s="50" t="s">
        <v>23</v>
      </c>
      <c r="S25" s="50" t="s">
        <v>23</v>
      </c>
      <c r="T25" s="50" t="s">
        <v>284</v>
      </c>
      <c r="U25" s="50" t="s">
        <v>286</v>
      </c>
    </row>
    <row r="26" spans="1:21" s="52" customFormat="1" ht="24" customHeight="1">
      <c r="A26" s="50" t="s">
        <v>572</v>
      </c>
      <c r="B26" s="50" t="s">
        <v>287</v>
      </c>
      <c r="C26" s="50" t="str">
        <f t="shared" si="0"/>
        <v>TEC</v>
      </c>
      <c r="D26" s="50" t="s">
        <v>71</v>
      </c>
      <c r="E26" s="50" t="s">
        <v>76</v>
      </c>
      <c r="F26" s="50" t="s">
        <v>250</v>
      </c>
      <c r="G26" s="50" t="s">
        <v>251</v>
      </c>
      <c r="H26" s="50" t="s">
        <v>252</v>
      </c>
      <c r="I26" s="50" t="str">
        <f t="shared" si="1"/>
        <v>VP</v>
      </c>
      <c r="J26" s="51">
        <f t="shared" si="2"/>
        <v>1</v>
      </c>
      <c r="K26" s="51">
        <f t="shared" si="3"/>
        <v>1</v>
      </c>
      <c r="L26" s="51">
        <f t="shared" si="4"/>
        <v>1</v>
      </c>
      <c r="M26" s="51">
        <f t="shared" si="5"/>
        <v>1</v>
      </c>
      <c r="N26" s="51">
        <f t="shared" si="6"/>
        <v>0</v>
      </c>
      <c r="O26" s="51">
        <f t="shared" si="7"/>
        <v>0</v>
      </c>
      <c r="P26" s="51">
        <f t="shared" si="8"/>
        <v>0</v>
      </c>
      <c r="Q26" s="51">
        <f t="shared" si="9"/>
        <v>0</v>
      </c>
      <c r="R26" s="50" t="s">
        <v>23</v>
      </c>
      <c r="S26" s="50" t="s">
        <v>23</v>
      </c>
      <c r="T26" s="50" t="s">
        <v>291</v>
      </c>
      <c r="U26" s="50" t="s">
        <v>293</v>
      </c>
    </row>
    <row r="27" spans="1:21" s="52" customFormat="1" ht="24" customHeight="1">
      <c r="A27" s="50" t="s">
        <v>573</v>
      </c>
      <c r="B27" s="50" t="s">
        <v>294</v>
      </c>
      <c r="C27" s="50" t="str">
        <f t="shared" si="0"/>
        <v>TEC</v>
      </c>
      <c r="D27" s="50" t="s">
        <v>83</v>
      </c>
      <c r="E27" s="50" t="s">
        <v>86</v>
      </c>
      <c r="F27" s="50" t="s">
        <v>250</v>
      </c>
      <c r="G27" s="50" t="s">
        <v>251</v>
      </c>
      <c r="H27" s="50" t="s">
        <v>252</v>
      </c>
      <c r="I27" s="50" t="str">
        <f t="shared" si="1"/>
        <v>VP</v>
      </c>
      <c r="J27" s="51">
        <f t="shared" si="2"/>
        <v>1</v>
      </c>
      <c r="K27" s="51">
        <f t="shared" si="3"/>
        <v>1</v>
      </c>
      <c r="L27" s="51">
        <f t="shared" si="4"/>
        <v>1</v>
      </c>
      <c r="M27" s="51">
        <f t="shared" si="5"/>
        <v>1</v>
      </c>
      <c r="N27" s="51">
        <f t="shared" si="6"/>
        <v>0</v>
      </c>
      <c r="O27" s="51">
        <f t="shared" si="7"/>
        <v>0</v>
      </c>
      <c r="P27" s="51">
        <f t="shared" si="8"/>
        <v>0</v>
      </c>
      <c r="Q27" s="51">
        <f t="shared" si="9"/>
        <v>0</v>
      </c>
      <c r="R27" s="50" t="s">
        <v>23</v>
      </c>
      <c r="S27" s="50" t="s">
        <v>23</v>
      </c>
      <c r="T27" s="50" t="s">
        <v>298</v>
      </c>
      <c r="U27" s="50" t="s">
        <v>300</v>
      </c>
    </row>
    <row r="28" spans="1:21" s="52" customFormat="1" ht="24" customHeight="1">
      <c r="A28" s="50" t="s">
        <v>574</v>
      </c>
      <c r="B28" s="50" t="s">
        <v>528</v>
      </c>
      <c r="C28" s="50" t="str">
        <f t="shared" si="0"/>
        <v>TEC</v>
      </c>
      <c r="D28" s="50" t="s">
        <v>83</v>
      </c>
      <c r="E28" s="50" t="s">
        <v>530</v>
      </c>
      <c r="F28" s="50" t="s">
        <v>250</v>
      </c>
      <c r="G28" s="50" t="s">
        <v>251</v>
      </c>
      <c r="H28" s="50" t="s">
        <v>252</v>
      </c>
      <c r="I28" s="50" t="str">
        <f t="shared" si="1"/>
        <v>VP</v>
      </c>
      <c r="J28" s="51">
        <f t="shared" si="2"/>
        <v>1</v>
      </c>
      <c r="K28" s="51">
        <f t="shared" si="3"/>
        <v>1</v>
      </c>
      <c r="L28" s="51">
        <f t="shared" si="4"/>
        <v>1</v>
      </c>
      <c r="M28" s="51">
        <f t="shared" si="5"/>
        <v>1</v>
      </c>
      <c r="N28" s="51">
        <f t="shared" si="6"/>
        <v>0</v>
      </c>
      <c r="O28" s="51">
        <f t="shared" si="7"/>
        <v>0</v>
      </c>
      <c r="P28" s="51">
        <f t="shared" si="8"/>
        <v>0</v>
      </c>
      <c r="Q28" s="51">
        <f t="shared" si="9"/>
        <v>0</v>
      </c>
      <c r="R28" s="50" t="s">
        <v>23</v>
      </c>
      <c r="S28" s="50" t="s">
        <v>23</v>
      </c>
      <c r="T28" s="50" t="s">
        <v>554</v>
      </c>
      <c r="U28" s="50" t="s">
        <v>556</v>
      </c>
    </row>
    <row r="29" spans="1:21" s="52" customFormat="1" ht="24" customHeight="1">
      <c r="A29" s="50" t="s">
        <v>575</v>
      </c>
      <c r="B29" s="50" t="s">
        <v>538</v>
      </c>
      <c r="C29" s="50" t="str">
        <f t="shared" si="0"/>
        <v>TEC</v>
      </c>
      <c r="D29" s="50" t="s">
        <v>539</v>
      </c>
      <c r="E29" s="50" t="s">
        <v>542</v>
      </c>
      <c r="F29" s="50" t="s">
        <v>250</v>
      </c>
      <c r="G29" s="50" t="s">
        <v>251</v>
      </c>
      <c r="H29" s="50" t="s">
        <v>252</v>
      </c>
      <c r="I29" s="50" t="str">
        <f t="shared" si="1"/>
        <v>VP</v>
      </c>
      <c r="J29" s="51">
        <f t="shared" si="2"/>
        <v>1</v>
      </c>
      <c r="K29" s="51">
        <f t="shared" si="3"/>
        <v>1</v>
      </c>
      <c r="L29" s="51">
        <f t="shared" si="4"/>
        <v>1</v>
      </c>
      <c r="M29" s="51">
        <f t="shared" si="5"/>
        <v>1</v>
      </c>
      <c r="N29" s="51">
        <f t="shared" si="6"/>
        <v>0</v>
      </c>
      <c r="O29" s="51">
        <f t="shared" si="7"/>
        <v>0</v>
      </c>
      <c r="P29" s="51">
        <f t="shared" si="8"/>
        <v>0</v>
      </c>
      <c r="Q29" s="51">
        <f t="shared" si="9"/>
        <v>0</v>
      </c>
      <c r="R29" s="50" t="s">
        <v>23</v>
      </c>
      <c r="S29" s="50" t="s">
        <v>23</v>
      </c>
      <c r="T29" s="50" t="s">
        <v>560</v>
      </c>
      <c r="U29" s="50" t="s">
        <v>562</v>
      </c>
    </row>
    <row r="30" spans="1:21" s="52" customFormat="1" ht="24" customHeight="1">
      <c r="A30" s="50" t="s">
        <v>576</v>
      </c>
      <c r="B30" s="50" t="s">
        <v>301</v>
      </c>
      <c r="C30" s="50" t="str">
        <f t="shared" si="0"/>
        <v>OB</v>
      </c>
      <c r="D30" s="50" t="s">
        <v>98</v>
      </c>
      <c r="E30" s="50" t="s">
        <v>98</v>
      </c>
      <c r="F30" s="50" t="s">
        <v>305</v>
      </c>
      <c r="G30" s="50" t="s">
        <v>306</v>
      </c>
      <c r="H30" s="50" t="s">
        <v>307</v>
      </c>
      <c r="I30" s="50" t="str">
        <f t="shared" si="1"/>
        <v>VN</v>
      </c>
      <c r="J30" s="51">
        <f t="shared" si="2"/>
        <v>0</v>
      </c>
      <c r="K30" s="51">
        <f t="shared" si="3"/>
        <v>0</v>
      </c>
      <c r="L30" s="51">
        <f t="shared" si="4"/>
        <v>1</v>
      </c>
      <c r="M30" s="51">
        <f t="shared" si="5"/>
        <v>0</v>
      </c>
      <c r="N30" s="51">
        <f t="shared" si="6"/>
        <v>1</v>
      </c>
      <c r="O30" s="51">
        <f t="shared" si="7"/>
        <v>0</v>
      </c>
      <c r="P30" s="51">
        <f t="shared" si="8"/>
        <v>0</v>
      </c>
      <c r="Q30" s="51">
        <f t="shared" si="9"/>
        <v>0</v>
      </c>
      <c r="R30" s="50" t="s">
        <v>23</v>
      </c>
      <c r="S30" s="50" t="s">
        <v>23</v>
      </c>
      <c r="T30" s="50" t="s">
        <v>310</v>
      </c>
      <c r="U30" s="50" t="s">
        <v>311</v>
      </c>
    </row>
    <row r="31" spans="1:21" s="52" customFormat="1" ht="24" customHeight="1">
      <c r="A31" s="50" t="s">
        <v>577</v>
      </c>
      <c r="B31" s="50" t="s">
        <v>107</v>
      </c>
      <c r="C31" s="50" t="str">
        <f t="shared" si="0"/>
        <v>OB</v>
      </c>
      <c r="D31" s="50" t="s">
        <v>108</v>
      </c>
      <c r="E31" s="50" t="s">
        <v>108</v>
      </c>
      <c r="F31" s="50" t="s">
        <v>305</v>
      </c>
      <c r="G31" s="50" t="s">
        <v>306</v>
      </c>
      <c r="H31" s="50" t="s">
        <v>307</v>
      </c>
      <c r="I31" s="50" t="str">
        <f t="shared" si="1"/>
        <v>VN</v>
      </c>
      <c r="J31" s="51">
        <f t="shared" si="2"/>
        <v>0</v>
      </c>
      <c r="K31" s="51">
        <f t="shared" si="3"/>
        <v>0</v>
      </c>
      <c r="L31" s="51">
        <f t="shared" si="4"/>
        <v>1</v>
      </c>
      <c r="M31" s="51">
        <f t="shared" si="5"/>
        <v>0</v>
      </c>
      <c r="N31" s="51">
        <f t="shared" si="6"/>
        <v>1</v>
      </c>
      <c r="O31" s="51">
        <f t="shared" si="7"/>
        <v>0</v>
      </c>
      <c r="P31" s="51">
        <f t="shared" si="8"/>
        <v>0</v>
      </c>
      <c r="Q31" s="51">
        <f t="shared" si="9"/>
        <v>0</v>
      </c>
      <c r="R31" s="50" t="s">
        <v>23</v>
      </c>
      <c r="S31" s="50" t="s">
        <v>23</v>
      </c>
      <c r="T31" s="50" t="s">
        <v>314</v>
      </c>
      <c r="U31" s="50" t="s">
        <v>315</v>
      </c>
    </row>
    <row r="32" spans="1:21" s="52" customFormat="1" ht="24" customHeight="1">
      <c r="A32" s="50" t="s">
        <v>578</v>
      </c>
      <c r="B32" s="50" t="s">
        <v>115</v>
      </c>
      <c r="C32" s="50" t="str">
        <f t="shared" si="0"/>
        <v>OB</v>
      </c>
      <c r="D32" s="50" t="s">
        <v>116</v>
      </c>
      <c r="E32" s="50" t="s">
        <v>116</v>
      </c>
      <c r="F32" s="50" t="s">
        <v>305</v>
      </c>
      <c r="G32" s="50" t="s">
        <v>306</v>
      </c>
      <c r="H32" s="50" t="s">
        <v>307</v>
      </c>
      <c r="I32" s="50" t="str">
        <f t="shared" si="1"/>
        <v>VN</v>
      </c>
      <c r="J32" s="51">
        <f t="shared" si="2"/>
        <v>0</v>
      </c>
      <c r="K32" s="51">
        <f t="shared" si="3"/>
        <v>0</v>
      </c>
      <c r="L32" s="51">
        <f t="shared" si="4"/>
        <v>1</v>
      </c>
      <c r="M32" s="51">
        <f t="shared" si="5"/>
        <v>0</v>
      </c>
      <c r="N32" s="51">
        <f t="shared" si="6"/>
        <v>1</v>
      </c>
      <c r="O32" s="51">
        <f t="shared" si="7"/>
        <v>0</v>
      </c>
      <c r="P32" s="51">
        <f t="shared" si="8"/>
        <v>0</v>
      </c>
      <c r="Q32" s="51">
        <f t="shared" si="9"/>
        <v>0</v>
      </c>
      <c r="R32" s="50" t="s">
        <v>23</v>
      </c>
      <c r="S32" s="50" t="s">
        <v>23</v>
      </c>
      <c r="T32" s="50" t="s">
        <v>318</v>
      </c>
      <c r="U32" s="50" t="s">
        <v>320</v>
      </c>
    </row>
    <row r="33" spans="1:21" s="52" customFormat="1" ht="24" customHeight="1">
      <c r="A33" s="50" t="s">
        <v>579</v>
      </c>
      <c r="B33" s="50" t="s">
        <v>125</v>
      </c>
      <c r="C33" s="50" t="str">
        <f t="shared" si="0"/>
        <v>OB</v>
      </c>
      <c r="D33" s="50" t="s">
        <v>126</v>
      </c>
      <c r="E33" s="50" t="s">
        <v>126</v>
      </c>
      <c r="F33" s="50" t="s">
        <v>305</v>
      </c>
      <c r="G33" s="50" t="s">
        <v>306</v>
      </c>
      <c r="H33" s="50" t="s">
        <v>307</v>
      </c>
      <c r="I33" s="50" t="str">
        <f t="shared" si="1"/>
        <v>VN</v>
      </c>
      <c r="J33" s="51">
        <f t="shared" si="2"/>
        <v>0</v>
      </c>
      <c r="K33" s="51">
        <f t="shared" si="3"/>
        <v>0</v>
      </c>
      <c r="L33" s="51">
        <f t="shared" si="4"/>
        <v>1</v>
      </c>
      <c r="M33" s="51">
        <f t="shared" si="5"/>
        <v>0</v>
      </c>
      <c r="N33" s="51">
        <f t="shared" si="6"/>
        <v>1</v>
      </c>
      <c r="O33" s="51">
        <f t="shared" si="7"/>
        <v>0</v>
      </c>
      <c r="P33" s="51">
        <f t="shared" si="8"/>
        <v>0</v>
      </c>
      <c r="Q33" s="51">
        <f t="shared" si="9"/>
        <v>0</v>
      </c>
      <c r="R33" s="50" t="s">
        <v>23</v>
      </c>
      <c r="S33" s="50" t="s">
        <v>23</v>
      </c>
      <c r="T33" s="50" t="s">
        <v>323</v>
      </c>
      <c r="U33" s="50" t="s">
        <v>324</v>
      </c>
    </row>
    <row r="34" spans="1:21" s="52" customFormat="1" ht="24" customHeight="1">
      <c r="A34" s="50" t="s">
        <v>580</v>
      </c>
      <c r="B34" s="50" t="s">
        <v>132</v>
      </c>
      <c r="C34" s="50" t="str">
        <f t="shared" si="0"/>
        <v>OB</v>
      </c>
      <c r="D34" s="50" t="s">
        <v>133</v>
      </c>
      <c r="E34" s="50" t="s">
        <v>133</v>
      </c>
      <c r="F34" s="50" t="s">
        <v>305</v>
      </c>
      <c r="G34" s="50" t="s">
        <v>306</v>
      </c>
      <c r="H34" s="50" t="s">
        <v>307</v>
      </c>
      <c r="I34" s="50" t="str">
        <f t="shared" si="1"/>
        <v>VN</v>
      </c>
      <c r="J34" s="51">
        <f t="shared" si="2"/>
        <v>0</v>
      </c>
      <c r="K34" s="51">
        <f t="shared" si="3"/>
        <v>0</v>
      </c>
      <c r="L34" s="51">
        <f t="shared" si="4"/>
        <v>1</v>
      </c>
      <c r="M34" s="51">
        <f t="shared" si="5"/>
        <v>0</v>
      </c>
      <c r="N34" s="51">
        <f t="shared" si="6"/>
        <v>1</v>
      </c>
      <c r="O34" s="51">
        <f t="shared" si="7"/>
        <v>0</v>
      </c>
      <c r="P34" s="51">
        <f t="shared" si="8"/>
        <v>0</v>
      </c>
      <c r="Q34" s="51">
        <f t="shared" si="9"/>
        <v>0</v>
      </c>
      <c r="R34" s="50" t="s">
        <v>23</v>
      </c>
      <c r="S34" s="50" t="s">
        <v>23</v>
      </c>
      <c r="T34" s="50" t="s">
        <v>327</v>
      </c>
      <c r="U34" s="50" t="s">
        <v>328</v>
      </c>
    </row>
    <row r="35" spans="1:21" s="52" customFormat="1" ht="24" customHeight="1">
      <c r="A35" s="50" t="s">
        <v>581</v>
      </c>
      <c r="B35" s="50" t="s">
        <v>141</v>
      </c>
      <c r="C35" s="50" t="str">
        <f t="shared" si="0"/>
        <v>OB</v>
      </c>
      <c r="D35" s="50" t="s">
        <v>142</v>
      </c>
      <c r="E35" s="50" t="s">
        <v>142</v>
      </c>
      <c r="F35" s="50" t="s">
        <v>250</v>
      </c>
      <c r="G35" s="50" t="s">
        <v>306</v>
      </c>
      <c r="H35" s="50" t="s">
        <v>330</v>
      </c>
      <c r="I35" s="50" t="str">
        <f t="shared" si="1"/>
        <v>FP</v>
      </c>
      <c r="J35" s="51">
        <f t="shared" si="2"/>
        <v>1</v>
      </c>
      <c r="K35" s="51">
        <f t="shared" si="3"/>
        <v>0</v>
      </c>
      <c r="L35" s="51">
        <f t="shared" si="4"/>
        <v>0</v>
      </c>
      <c r="M35" s="51">
        <f t="shared" si="5"/>
        <v>0</v>
      </c>
      <c r="N35" s="51">
        <f t="shared" si="6"/>
        <v>0</v>
      </c>
      <c r="O35" s="51">
        <f t="shared" si="7"/>
        <v>1</v>
      </c>
      <c r="P35" s="51">
        <f t="shared" si="8"/>
        <v>0</v>
      </c>
      <c r="Q35" s="51">
        <f t="shared" si="9"/>
        <v>1</v>
      </c>
      <c r="R35" s="50" t="s">
        <v>23</v>
      </c>
      <c r="S35" s="50" t="s">
        <v>333</v>
      </c>
      <c r="T35" s="50" t="s">
        <v>332</v>
      </c>
      <c r="U35" s="50" t="s">
        <v>334</v>
      </c>
    </row>
    <row r="36" spans="1:21" s="52" customFormat="1" ht="24" customHeight="1">
      <c r="A36" s="50" t="s">
        <v>582</v>
      </c>
      <c r="B36" s="50" t="s">
        <v>149</v>
      </c>
      <c r="C36" s="50" t="str">
        <f t="shared" si="0"/>
        <v>OB</v>
      </c>
      <c r="D36" s="50" t="s">
        <v>150</v>
      </c>
      <c r="E36" s="50" t="s">
        <v>150</v>
      </c>
      <c r="F36" s="50" t="s">
        <v>305</v>
      </c>
      <c r="G36" s="50" t="s">
        <v>306</v>
      </c>
      <c r="H36" s="50" t="s">
        <v>307</v>
      </c>
      <c r="I36" s="50" t="str">
        <f t="shared" si="1"/>
        <v>VN</v>
      </c>
      <c r="J36" s="51">
        <f t="shared" si="2"/>
        <v>0</v>
      </c>
      <c r="K36" s="51">
        <f t="shared" si="3"/>
        <v>0</v>
      </c>
      <c r="L36" s="51">
        <f t="shared" si="4"/>
        <v>1</v>
      </c>
      <c r="M36" s="51">
        <f t="shared" si="5"/>
        <v>0</v>
      </c>
      <c r="N36" s="51">
        <f t="shared" si="6"/>
        <v>1</v>
      </c>
      <c r="O36" s="51">
        <f t="shared" si="7"/>
        <v>0</v>
      </c>
      <c r="P36" s="51">
        <f t="shared" si="8"/>
        <v>0</v>
      </c>
      <c r="Q36" s="51">
        <f t="shared" si="9"/>
        <v>0</v>
      </c>
      <c r="R36" s="50" t="s">
        <v>23</v>
      </c>
      <c r="S36" s="50" t="s">
        <v>23</v>
      </c>
      <c r="T36" s="50" t="s">
        <v>337</v>
      </c>
      <c r="U36" s="50" t="s">
        <v>338</v>
      </c>
    </row>
    <row r="37" spans="1:21" s="52" customFormat="1" ht="24" customHeight="1">
      <c r="A37" s="50" t="s">
        <v>583</v>
      </c>
      <c r="B37" s="50" t="s">
        <v>158</v>
      </c>
      <c r="C37" s="50" t="str">
        <f t="shared" si="0"/>
        <v>OB</v>
      </c>
      <c r="D37" s="50" t="s">
        <v>159</v>
      </c>
      <c r="E37" s="50" t="s">
        <v>159</v>
      </c>
      <c r="F37" s="50" t="s">
        <v>305</v>
      </c>
      <c r="G37" s="50" t="s">
        <v>306</v>
      </c>
      <c r="H37" s="50" t="s">
        <v>307</v>
      </c>
      <c r="I37" s="50" t="str">
        <f t="shared" si="1"/>
        <v>VN</v>
      </c>
      <c r="J37" s="51">
        <f t="shared" si="2"/>
        <v>0</v>
      </c>
      <c r="K37" s="51">
        <f t="shared" si="3"/>
        <v>0</v>
      </c>
      <c r="L37" s="51">
        <f t="shared" si="4"/>
        <v>1</v>
      </c>
      <c r="M37" s="51">
        <f t="shared" si="5"/>
        <v>0</v>
      </c>
      <c r="N37" s="51">
        <f t="shared" si="6"/>
        <v>1</v>
      </c>
      <c r="O37" s="51">
        <f t="shared" si="7"/>
        <v>0</v>
      </c>
      <c r="P37" s="51">
        <f t="shared" si="8"/>
        <v>0</v>
      </c>
      <c r="Q37" s="51">
        <f t="shared" si="9"/>
        <v>0</v>
      </c>
      <c r="R37" s="50" t="s">
        <v>23</v>
      </c>
      <c r="S37" s="50" t="s">
        <v>23</v>
      </c>
      <c r="T37" s="50" t="s">
        <v>341</v>
      </c>
      <c r="U37" s="50" t="s">
        <v>342</v>
      </c>
    </row>
    <row r="38" spans="1:21" s="52" customFormat="1" ht="24" customHeight="1">
      <c r="A38" s="50" t="s">
        <v>584</v>
      </c>
      <c r="B38" s="50" t="s">
        <v>165</v>
      </c>
      <c r="C38" s="50" t="str">
        <f t="shared" si="0"/>
        <v>OB</v>
      </c>
      <c r="D38" s="50" t="s">
        <v>166</v>
      </c>
      <c r="E38" s="50" t="s">
        <v>166</v>
      </c>
      <c r="F38" s="50" t="s">
        <v>305</v>
      </c>
      <c r="G38" s="50" t="s">
        <v>306</v>
      </c>
      <c r="H38" s="50" t="s">
        <v>307</v>
      </c>
      <c r="I38" s="50" t="str">
        <f t="shared" si="1"/>
        <v>VN</v>
      </c>
      <c r="J38" s="51">
        <f t="shared" si="2"/>
        <v>0</v>
      </c>
      <c r="K38" s="51">
        <f t="shared" si="3"/>
        <v>0</v>
      </c>
      <c r="L38" s="51">
        <f t="shared" si="4"/>
        <v>1</v>
      </c>
      <c r="M38" s="51">
        <f t="shared" si="5"/>
        <v>0</v>
      </c>
      <c r="N38" s="51">
        <f t="shared" si="6"/>
        <v>1</v>
      </c>
      <c r="O38" s="51">
        <f t="shared" si="7"/>
        <v>0</v>
      </c>
      <c r="P38" s="51">
        <f t="shared" si="8"/>
        <v>0</v>
      </c>
      <c r="Q38" s="51">
        <f t="shared" si="9"/>
        <v>0</v>
      </c>
      <c r="R38" s="50" t="s">
        <v>23</v>
      </c>
      <c r="S38" s="50" t="s">
        <v>23</v>
      </c>
      <c r="T38" s="50" t="s">
        <v>345</v>
      </c>
      <c r="U38" s="50" t="s">
        <v>346</v>
      </c>
    </row>
    <row r="39" spans="1:21" s="52" customFormat="1" ht="24" customHeight="1">
      <c r="A39" s="50" t="s">
        <v>585</v>
      </c>
      <c r="B39" s="50" t="s">
        <v>174</v>
      </c>
      <c r="C39" s="50" t="str">
        <f t="shared" si="0"/>
        <v>OB</v>
      </c>
      <c r="D39" s="50" t="s">
        <v>175</v>
      </c>
      <c r="E39" s="50" t="s">
        <v>175</v>
      </c>
      <c r="F39" s="50" t="s">
        <v>305</v>
      </c>
      <c r="G39" s="50" t="s">
        <v>306</v>
      </c>
      <c r="H39" s="50" t="s">
        <v>307</v>
      </c>
      <c r="I39" s="50" t="str">
        <f t="shared" si="1"/>
        <v>VN</v>
      </c>
      <c r="J39" s="51">
        <f t="shared" si="2"/>
        <v>0</v>
      </c>
      <c r="K39" s="51">
        <f t="shared" si="3"/>
        <v>0</v>
      </c>
      <c r="L39" s="51">
        <f t="shared" si="4"/>
        <v>1</v>
      </c>
      <c r="M39" s="51">
        <f t="shared" si="5"/>
        <v>0</v>
      </c>
      <c r="N39" s="51">
        <f t="shared" si="6"/>
        <v>1</v>
      </c>
      <c r="O39" s="51">
        <f t="shared" si="7"/>
        <v>0</v>
      </c>
      <c r="P39" s="51">
        <f t="shared" si="8"/>
        <v>0</v>
      </c>
      <c r="Q39" s="51">
        <f t="shared" si="9"/>
        <v>0</v>
      </c>
      <c r="R39" s="50" t="s">
        <v>23</v>
      </c>
      <c r="S39" s="50" t="s">
        <v>23</v>
      </c>
      <c r="T39" s="50" t="s">
        <v>349</v>
      </c>
      <c r="U39" s="50" t="s">
        <v>350</v>
      </c>
    </row>
    <row r="40" spans="1:21" s="52" customFormat="1" ht="24" customHeight="1">
      <c r="A40" s="50" t="s">
        <v>586</v>
      </c>
      <c r="B40" s="50" t="s">
        <v>181</v>
      </c>
      <c r="C40" s="50" t="str">
        <f t="shared" si="0"/>
        <v>OB</v>
      </c>
      <c r="D40" s="50" t="s">
        <v>182</v>
      </c>
      <c r="E40" s="50" t="s">
        <v>182</v>
      </c>
      <c r="F40" s="50" t="s">
        <v>305</v>
      </c>
      <c r="G40" s="50" t="s">
        <v>306</v>
      </c>
      <c r="H40" s="50" t="s">
        <v>307</v>
      </c>
      <c r="I40" s="50" t="str">
        <f t="shared" si="1"/>
        <v>VN</v>
      </c>
      <c r="J40" s="51">
        <f t="shared" si="2"/>
        <v>0</v>
      </c>
      <c r="K40" s="51">
        <f t="shared" si="3"/>
        <v>0</v>
      </c>
      <c r="L40" s="51">
        <f t="shared" si="4"/>
        <v>1</v>
      </c>
      <c r="M40" s="51">
        <f t="shared" si="5"/>
        <v>0</v>
      </c>
      <c r="N40" s="51">
        <f t="shared" si="6"/>
        <v>1</v>
      </c>
      <c r="O40" s="51">
        <f t="shared" si="7"/>
        <v>0</v>
      </c>
      <c r="P40" s="51">
        <f t="shared" si="8"/>
        <v>0</v>
      </c>
      <c r="Q40" s="51">
        <f t="shared" si="9"/>
        <v>0</v>
      </c>
      <c r="R40" s="50" t="s">
        <v>23</v>
      </c>
      <c r="S40" s="50" t="s">
        <v>23</v>
      </c>
      <c r="T40" s="50" t="s">
        <v>353</v>
      </c>
      <c r="U40" s="50" t="s">
        <v>354</v>
      </c>
    </row>
    <row r="41" spans="1:21" s="52" customFormat="1" ht="24" customHeight="1">
      <c r="A41" s="50" t="s">
        <v>587</v>
      </c>
      <c r="B41" s="50" t="s">
        <v>189</v>
      </c>
      <c r="C41" s="50" t="str">
        <f t="shared" si="0"/>
        <v>OB</v>
      </c>
      <c r="D41" s="50" t="s">
        <v>190</v>
      </c>
      <c r="E41" s="50" t="s">
        <v>190</v>
      </c>
      <c r="F41" s="50" t="s">
        <v>305</v>
      </c>
      <c r="G41" s="50" t="s">
        <v>306</v>
      </c>
      <c r="H41" s="50" t="s">
        <v>307</v>
      </c>
      <c r="I41" s="50" t="str">
        <f t="shared" si="1"/>
        <v>VN</v>
      </c>
      <c r="J41" s="51">
        <f t="shared" si="2"/>
        <v>0</v>
      </c>
      <c r="K41" s="51">
        <f t="shared" si="3"/>
        <v>0</v>
      </c>
      <c r="L41" s="51">
        <f t="shared" si="4"/>
        <v>1</v>
      </c>
      <c r="M41" s="51">
        <f t="shared" si="5"/>
        <v>0</v>
      </c>
      <c r="N41" s="51">
        <f t="shared" si="6"/>
        <v>1</v>
      </c>
      <c r="O41" s="51">
        <f t="shared" si="7"/>
        <v>0</v>
      </c>
      <c r="P41" s="51">
        <f t="shared" si="8"/>
        <v>0</v>
      </c>
      <c r="Q41" s="51">
        <f t="shared" si="9"/>
        <v>0</v>
      </c>
      <c r="R41" s="50" t="s">
        <v>23</v>
      </c>
      <c r="S41" s="50" t="s">
        <v>23</v>
      </c>
      <c r="T41" s="50" t="s">
        <v>357</v>
      </c>
      <c r="U41" s="50" t="s">
        <v>358</v>
      </c>
    </row>
    <row r="42" spans="1:21" s="52" customFormat="1" ht="24" customHeight="1">
      <c r="A42" s="50" t="s">
        <v>588</v>
      </c>
      <c r="B42" s="50" t="s">
        <v>198</v>
      </c>
      <c r="C42" s="50" t="str">
        <f t="shared" si="0"/>
        <v>OB</v>
      </c>
      <c r="D42" s="50" t="s">
        <v>199</v>
      </c>
      <c r="E42" s="50" t="s">
        <v>199</v>
      </c>
      <c r="F42" s="50" t="s">
        <v>305</v>
      </c>
      <c r="G42" s="50" t="s">
        <v>306</v>
      </c>
      <c r="H42" s="50" t="s">
        <v>307</v>
      </c>
      <c r="I42" s="50" t="str">
        <f t="shared" si="1"/>
        <v>VN</v>
      </c>
      <c r="J42" s="51">
        <f t="shared" si="2"/>
        <v>0</v>
      </c>
      <c r="K42" s="51">
        <f t="shared" si="3"/>
        <v>0</v>
      </c>
      <c r="L42" s="51">
        <f t="shared" si="4"/>
        <v>1</v>
      </c>
      <c r="M42" s="51">
        <f t="shared" si="5"/>
        <v>0</v>
      </c>
      <c r="N42" s="51">
        <f t="shared" si="6"/>
        <v>1</v>
      </c>
      <c r="O42" s="51">
        <f t="shared" si="7"/>
        <v>0</v>
      </c>
      <c r="P42" s="51">
        <f t="shared" si="8"/>
        <v>0</v>
      </c>
      <c r="Q42" s="51">
        <f t="shared" si="9"/>
        <v>0</v>
      </c>
      <c r="R42" s="50" t="s">
        <v>23</v>
      </c>
      <c r="S42" s="50" t="s">
        <v>23</v>
      </c>
      <c r="T42" s="50" t="s">
        <v>361</v>
      </c>
      <c r="U42" s="50" t="s">
        <v>362</v>
      </c>
    </row>
    <row r="43" spans="1:21" s="52" customFormat="1" ht="24" customHeight="1">
      <c r="A43" s="50" t="s">
        <v>589</v>
      </c>
      <c r="B43" s="50" t="s">
        <v>206</v>
      </c>
      <c r="C43" s="50" t="str">
        <f t="shared" si="0"/>
        <v>OB</v>
      </c>
      <c r="D43" s="50" t="s">
        <v>207</v>
      </c>
      <c r="E43" s="50" t="s">
        <v>207</v>
      </c>
      <c r="F43" s="50" t="s">
        <v>305</v>
      </c>
      <c r="G43" s="50" t="s">
        <v>306</v>
      </c>
      <c r="H43" s="50" t="s">
        <v>307</v>
      </c>
      <c r="I43" s="50" t="str">
        <f t="shared" si="1"/>
        <v>VN</v>
      </c>
      <c r="J43" s="51">
        <f t="shared" si="2"/>
        <v>0</v>
      </c>
      <c r="K43" s="51">
        <f t="shared" si="3"/>
        <v>0</v>
      </c>
      <c r="L43" s="51">
        <f t="shared" si="4"/>
        <v>1</v>
      </c>
      <c r="M43" s="51">
        <f t="shared" si="5"/>
        <v>0</v>
      </c>
      <c r="N43" s="51">
        <f t="shared" si="6"/>
        <v>1</v>
      </c>
      <c r="O43" s="51">
        <f t="shared" si="7"/>
        <v>0</v>
      </c>
      <c r="P43" s="51">
        <f t="shared" si="8"/>
        <v>0</v>
      </c>
      <c r="Q43" s="51">
        <f t="shared" si="9"/>
        <v>0</v>
      </c>
      <c r="R43" s="50" t="s">
        <v>23</v>
      </c>
      <c r="S43" s="50" t="s">
        <v>23</v>
      </c>
      <c r="T43" s="50" t="s">
        <v>365</v>
      </c>
      <c r="U43" s="50" t="s">
        <v>367</v>
      </c>
    </row>
    <row r="44" spans="1:21" s="52" customFormat="1" ht="24" customHeight="1">
      <c r="A44" s="50" t="s">
        <v>590</v>
      </c>
      <c r="B44" s="50" t="s">
        <v>215</v>
      </c>
      <c r="C44" s="50" t="str">
        <f t="shared" si="0"/>
        <v>OB</v>
      </c>
      <c r="D44" s="50" t="s">
        <v>216</v>
      </c>
      <c r="E44" s="50" t="s">
        <v>216</v>
      </c>
      <c r="F44" s="50" t="s">
        <v>305</v>
      </c>
      <c r="G44" s="50" t="s">
        <v>306</v>
      </c>
      <c r="H44" s="50" t="s">
        <v>307</v>
      </c>
      <c r="I44" s="50" t="str">
        <f t="shared" si="1"/>
        <v>VN</v>
      </c>
      <c r="J44" s="51">
        <f t="shared" si="2"/>
        <v>0</v>
      </c>
      <c r="K44" s="51">
        <f t="shared" si="3"/>
        <v>0</v>
      </c>
      <c r="L44" s="51">
        <f t="shared" si="4"/>
        <v>1</v>
      </c>
      <c r="M44" s="51">
        <f t="shared" si="5"/>
        <v>0</v>
      </c>
      <c r="N44" s="51">
        <f t="shared" si="6"/>
        <v>1</v>
      </c>
      <c r="O44" s="51">
        <f t="shared" si="7"/>
        <v>0</v>
      </c>
      <c r="P44" s="51">
        <f t="shared" si="8"/>
        <v>0</v>
      </c>
      <c r="Q44" s="51">
        <f t="shared" si="9"/>
        <v>0</v>
      </c>
      <c r="R44" s="50" t="s">
        <v>23</v>
      </c>
      <c r="S44" s="50" t="s">
        <v>23</v>
      </c>
      <c r="T44" s="50" t="s">
        <v>370</v>
      </c>
      <c r="U44" s="50" t="s">
        <v>371</v>
      </c>
    </row>
    <row r="45" spans="1:21" ht="15" customHeight="1"/>
    <row r="46" spans="1:21" ht="15" customHeight="1"/>
    <row r="47" spans="1:21" ht="15" customHeight="1"/>
    <row r="48" spans="1:2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3">
    <mergeCell ref="A1:U1"/>
    <mergeCell ref="E3:U3"/>
    <mergeCell ref="E9:U9"/>
  </mergeCells>
  <conditionalFormatting sqref="I21:I44">
    <cfRule type="expression" dxfId="102" priority="1">
      <formula>I21="VP"</formula>
    </cfRule>
    <cfRule type="expression" dxfId="101" priority="2">
      <formula>I21="VN"</formula>
    </cfRule>
    <cfRule type="expression" dxfId="100" priority="3">
      <formula>I21="FP"</formula>
    </cfRule>
    <cfRule type="expression" dxfId="99" priority="4">
      <formula>I21="FN"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FFFB-1909-4DA4-9917-0EECB5D3DA3D}">
  <dimension ref="A1:H40"/>
  <sheetViews>
    <sheetView zoomScale="70" zoomScaleNormal="70" workbookViewId="0">
      <selection activeCell="C29" sqref="C21:C29"/>
    </sheetView>
  </sheetViews>
  <sheetFormatPr baseColWidth="10" defaultColWidth="9.140625" defaultRowHeight="15"/>
  <cols>
    <col min="1" max="8" width="18" style="53" customWidth="1"/>
    <col min="9" max="16384" width="9.140625" style="53"/>
  </cols>
  <sheetData>
    <row r="1" spans="1:8" ht="15" customHeight="1">
      <c r="A1" s="59" t="s">
        <v>511</v>
      </c>
      <c r="B1" s="60"/>
      <c r="C1" s="60"/>
      <c r="D1" s="60"/>
      <c r="E1" s="60"/>
      <c r="F1" s="60"/>
      <c r="G1" s="60"/>
      <c r="H1" s="60"/>
    </row>
    <row r="2" spans="1:8" ht="15" customHeight="1">
      <c r="A2" s="54"/>
      <c r="B2" s="54"/>
      <c r="C2" s="54"/>
      <c r="D2" s="54"/>
      <c r="E2" s="54"/>
      <c r="F2" s="54"/>
      <c r="G2" s="54"/>
      <c r="H2" s="54"/>
    </row>
    <row r="3" spans="1:8" ht="15" customHeight="1">
      <c r="A3" s="57" t="s">
        <v>482</v>
      </c>
      <c r="B3" s="57" t="s">
        <v>512</v>
      </c>
      <c r="C3" s="57" t="s">
        <v>513</v>
      </c>
      <c r="D3" s="57" t="s">
        <v>514</v>
      </c>
      <c r="E3" s="57" t="s">
        <v>462</v>
      </c>
      <c r="F3" s="57" t="s">
        <v>470</v>
      </c>
      <c r="G3" s="57" t="s">
        <v>474</v>
      </c>
      <c r="H3" s="57" t="s">
        <v>466</v>
      </c>
    </row>
    <row r="4" spans="1:8" ht="15" customHeight="1">
      <c r="A4" s="56" t="s">
        <v>515</v>
      </c>
      <c r="B4" s="56">
        <v>9</v>
      </c>
      <c r="C4" s="56">
        <v>9</v>
      </c>
      <c r="D4" s="56">
        <v>9</v>
      </c>
      <c r="E4" s="56">
        <v>9</v>
      </c>
      <c r="F4" s="56">
        <v>0</v>
      </c>
      <c r="G4" s="56">
        <v>0</v>
      </c>
      <c r="H4" s="56">
        <v>0</v>
      </c>
    </row>
    <row r="5" spans="1:8" ht="15" customHeight="1">
      <c r="A5" s="56" t="s">
        <v>516</v>
      </c>
      <c r="B5" s="56">
        <v>15</v>
      </c>
      <c r="C5" s="56">
        <v>1</v>
      </c>
      <c r="D5" s="56">
        <v>14</v>
      </c>
      <c r="E5" s="56">
        <v>0</v>
      </c>
      <c r="F5" s="56">
        <v>14</v>
      </c>
      <c r="G5" s="56">
        <v>1</v>
      </c>
      <c r="H5" s="56">
        <v>0</v>
      </c>
    </row>
    <row r="6" spans="1:8" ht="15" customHeight="1">
      <c r="A6" s="54"/>
      <c r="B6" s="54"/>
      <c r="C6" s="54"/>
      <c r="D6" s="54"/>
      <c r="E6" s="54"/>
      <c r="F6" s="54"/>
      <c r="G6" s="54"/>
      <c r="H6" s="54"/>
    </row>
    <row r="7" spans="1:8" ht="15" customHeight="1">
      <c r="A7" s="54"/>
      <c r="B7" s="54"/>
      <c r="C7" s="54"/>
      <c r="D7" s="54"/>
      <c r="E7" s="54"/>
      <c r="F7" s="54"/>
      <c r="G7" s="54"/>
      <c r="H7" s="54"/>
    </row>
    <row r="8" spans="1:8" ht="15" customHeight="1">
      <c r="A8" s="57" t="s">
        <v>517</v>
      </c>
      <c r="B8" s="57" t="s">
        <v>518</v>
      </c>
      <c r="C8" s="54"/>
      <c r="D8" s="57" t="s">
        <v>519</v>
      </c>
      <c r="E8" s="57" t="s">
        <v>436</v>
      </c>
      <c r="F8" s="54"/>
      <c r="G8" s="57" t="s">
        <v>520</v>
      </c>
      <c r="H8" s="57" t="s">
        <v>518</v>
      </c>
    </row>
    <row r="9" spans="1:8" ht="15" customHeight="1">
      <c r="A9" s="56" t="s">
        <v>462</v>
      </c>
      <c r="B9" s="56">
        <v>9</v>
      </c>
      <c r="C9" s="54"/>
      <c r="D9" s="56" t="s">
        <v>521</v>
      </c>
      <c r="E9" s="58">
        <v>1</v>
      </c>
      <c r="F9" s="54"/>
      <c r="G9" s="56" t="s">
        <v>15</v>
      </c>
      <c r="H9" s="56">
        <v>3</v>
      </c>
    </row>
    <row r="10" spans="1:8" ht="15" customHeight="1">
      <c r="A10" s="56" t="s">
        <v>470</v>
      </c>
      <c r="B10" s="56">
        <v>14</v>
      </c>
      <c r="C10" s="54"/>
      <c r="D10" s="56" t="s">
        <v>522</v>
      </c>
      <c r="E10" s="58">
        <v>6.6666666666666666E-2</v>
      </c>
      <c r="F10" s="54"/>
      <c r="G10" s="56" t="s">
        <v>37</v>
      </c>
      <c r="H10" s="56">
        <v>2</v>
      </c>
    </row>
    <row r="11" spans="1:8" ht="15" customHeight="1">
      <c r="A11" s="56" t="s">
        <v>474</v>
      </c>
      <c r="B11" s="56">
        <v>1</v>
      </c>
      <c r="C11" s="54"/>
      <c r="D11" s="56" t="s">
        <v>472</v>
      </c>
      <c r="E11" s="58">
        <v>0.95833333333333337</v>
      </c>
      <c r="F11" s="54"/>
      <c r="G11" s="56" t="s">
        <v>71</v>
      </c>
      <c r="H11" s="56">
        <v>1</v>
      </c>
    </row>
    <row r="12" spans="1:8" ht="24" customHeight="1">
      <c r="A12" s="56" t="s">
        <v>466</v>
      </c>
      <c r="B12" s="56">
        <v>0</v>
      </c>
      <c r="C12" s="54"/>
      <c r="D12" s="56" t="s">
        <v>523</v>
      </c>
      <c r="E12" s="58">
        <v>1</v>
      </c>
      <c r="F12" s="54"/>
      <c r="G12" s="56" t="s">
        <v>83</v>
      </c>
      <c r="H12" s="56">
        <v>2</v>
      </c>
    </row>
    <row r="13" spans="1:8" ht="24" customHeight="1">
      <c r="A13" s="56"/>
      <c r="B13" s="56"/>
      <c r="C13" s="54"/>
      <c r="D13" s="56"/>
      <c r="E13" s="58"/>
      <c r="F13" s="54"/>
      <c r="G13" s="56" t="s">
        <v>539</v>
      </c>
      <c r="H13" s="56">
        <v>1</v>
      </c>
    </row>
    <row r="14" spans="1:8" ht="15" customHeight="1">
      <c r="A14" s="54"/>
      <c r="B14" s="54"/>
      <c r="C14" s="54"/>
      <c r="D14" s="54"/>
      <c r="E14" s="54"/>
      <c r="F14" s="54"/>
      <c r="G14" s="54"/>
      <c r="H14" s="54"/>
    </row>
    <row r="15" spans="1:8" ht="15" customHeight="1">
      <c r="A15" s="54"/>
      <c r="B15" s="54"/>
      <c r="C15" s="54"/>
      <c r="D15" s="54"/>
      <c r="E15" s="54"/>
      <c r="F15" s="54"/>
      <c r="G15" s="54"/>
      <c r="H15" s="54"/>
    </row>
    <row r="16" spans="1:8" ht="15" customHeight="1">
      <c r="A16" s="57" t="s">
        <v>524</v>
      </c>
      <c r="B16" s="57" t="s">
        <v>482</v>
      </c>
      <c r="C16" s="57" t="s">
        <v>250</v>
      </c>
      <c r="D16" s="57" t="s">
        <v>525</v>
      </c>
      <c r="E16" s="57" t="s">
        <v>474</v>
      </c>
      <c r="F16" s="57" t="s">
        <v>466</v>
      </c>
      <c r="G16" s="57" t="s">
        <v>526</v>
      </c>
      <c r="H16" s="54"/>
    </row>
    <row r="17" spans="1:8" ht="15" customHeight="1">
      <c r="A17" s="56" t="s">
        <v>242</v>
      </c>
      <c r="B17" s="56" t="s">
        <v>515</v>
      </c>
      <c r="C17" s="56">
        <v>1</v>
      </c>
      <c r="D17" s="56">
        <v>1</v>
      </c>
      <c r="E17" s="56">
        <v>0</v>
      </c>
      <c r="F17" s="56">
        <v>0</v>
      </c>
      <c r="G17" s="56">
        <v>0</v>
      </c>
      <c r="H17" s="54"/>
    </row>
    <row r="18" spans="1:8" ht="15" customHeight="1">
      <c r="A18" s="56" t="s">
        <v>258</v>
      </c>
      <c r="B18" s="56" t="s">
        <v>515</v>
      </c>
      <c r="C18" s="56">
        <v>1</v>
      </c>
      <c r="D18" s="56">
        <v>1</v>
      </c>
      <c r="E18" s="56">
        <v>0</v>
      </c>
      <c r="F18" s="56">
        <v>0</v>
      </c>
      <c r="G18" s="56">
        <v>0</v>
      </c>
      <c r="H18" s="54"/>
    </row>
    <row r="19" spans="1:8" ht="15" customHeight="1">
      <c r="A19" s="56" t="s">
        <v>265</v>
      </c>
      <c r="B19" s="56" t="s">
        <v>515</v>
      </c>
      <c r="C19" s="56">
        <v>1</v>
      </c>
      <c r="D19" s="56">
        <v>1</v>
      </c>
      <c r="E19" s="56">
        <v>0</v>
      </c>
      <c r="F19" s="56">
        <v>0</v>
      </c>
      <c r="G19" s="56">
        <v>0</v>
      </c>
      <c r="H19" s="54"/>
    </row>
    <row r="20" spans="1:8" ht="15" customHeight="1">
      <c r="A20" s="56" t="s">
        <v>272</v>
      </c>
      <c r="B20" s="56" t="s">
        <v>515</v>
      </c>
      <c r="C20" s="56">
        <v>1</v>
      </c>
      <c r="D20" s="56">
        <v>1</v>
      </c>
      <c r="E20" s="56">
        <v>0</v>
      </c>
      <c r="F20" s="56">
        <v>0</v>
      </c>
      <c r="G20" s="56">
        <v>0</v>
      </c>
      <c r="H20" s="54"/>
    </row>
    <row r="21" spans="1:8" ht="15" customHeight="1">
      <c r="A21" s="56" t="s">
        <v>280</v>
      </c>
      <c r="B21" s="56" t="s">
        <v>515</v>
      </c>
      <c r="C21" s="56">
        <v>1</v>
      </c>
      <c r="D21" s="56">
        <v>1</v>
      </c>
      <c r="E21" s="56">
        <v>0</v>
      </c>
      <c r="F21" s="56">
        <v>0</v>
      </c>
      <c r="G21" s="56">
        <v>0</v>
      </c>
      <c r="H21" s="54"/>
    </row>
    <row r="22" spans="1:8" ht="15" customHeight="1">
      <c r="A22" s="56" t="s">
        <v>287</v>
      </c>
      <c r="B22" s="56" t="s">
        <v>515</v>
      </c>
      <c r="C22" s="56">
        <v>1</v>
      </c>
      <c r="D22" s="56">
        <v>1</v>
      </c>
      <c r="E22" s="56">
        <v>0</v>
      </c>
      <c r="F22" s="56">
        <v>0</v>
      </c>
      <c r="G22" s="56">
        <v>0</v>
      </c>
      <c r="H22" s="54"/>
    </row>
    <row r="23" spans="1:8" ht="15" customHeight="1">
      <c r="A23" s="56" t="s">
        <v>294</v>
      </c>
      <c r="B23" s="56" t="s">
        <v>515</v>
      </c>
      <c r="C23" s="56">
        <v>1</v>
      </c>
      <c r="D23" s="56">
        <v>1</v>
      </c>
      <c r="E23" s="56">
        <v>0</v>
      </c>
      <c r="F23" s="56">
        <v>0</v>
      </c>
      <c r="G23" s="56">
        <v>0</v>
      </c>
      <c r="H23" s="54"/>
    </row>
    <row r="24" spans="1:8" ht="15" customHeight="1">
      <c r="A24" s="56" t="s">
        <v>528</v>
      </c>
      <c r="B24" s="56" t="s">
        <v>515</v>
      </c>
      <c r="C24" s="56">
        <v>1</v>
      </c>
      <c r="D24" s="56">
        <v>1</v>
      </c>
      <c r="E24" s="56">
        <v>0</v>
      </c>
      <c r="F24" s="56">
        <v>0</v>
      </c>
      <c r="G24" s="56">
        <v>0</v>
      </c>
      <c r="H24" s="54"/>
    </row>
    <row r="25" spans="1:8" ht="15" customHeight="1">
      <c r="A25" s="56" t="s">
        <v>538</v>
      </c>
      <c r="B25" s="56" t="s">
        <v>515</v>
      </c>
      <c r="C25" s="56">
        <v>1</v>
      </c>
      <c r="D25" s="56">
        <v>1</v>
      </c>
      <c r="E25" s="56">
        <v>0</v>
      </c>
      <c r="F25" s="56">
        <v>0</v>
      </c>
      <c r="G25" s="56">
        <v>0</v>
      </c>
      <c r="H25" s="54"/>
    </row>
    <row r="26" spans="1:8" ht="15" customHeight="1">
      <c r="A26" s="56" t="s">
        <v>301</v>
      </c>
      <c r="B26" s="56" t="s">
        <v>516</v>
      </c>
      <c r="C26" s="56">
        <v>0</v>
      </c>
      <c r="D26" s="56">
        <v>1</v>
      </c>
      <c r="E26" s="56">
        <v>0</v>
      </c>
      <c r="F26" s="56">
        <v>0</v>
      </c>
      <c r="G26" s="56">
        <v>0</v>
      </c>
      <c r="H26" s="54"/>
    </row>
    <row r="27" spans="1:8" ht="15" customHeight="1">
      <c r="A27" s="56" t="s">
        <v>107</v>
      </c>
      <c r="B27" s="56" t="s">
        <v>516</v>
      </c>
      <c r="C27" s="56">
        <v>0</v>
      </c>
      <c r="D27" s="56">
        <v>1</v>
      </c>
      <c r="E27" s="56">
        <v>0</v>
      </c>
      <c r="F27" s="56">
        <v>0</v>
      </c>
      <c r="G27" s="56">
        <v>0</v>
      </c>
      <c r="H27" s="54"/>
    </row>
    <row r="28" spans="1:8" ht="15" customHeight="1">
      <c r="A28" s="56" t="s">
        <v>115</v>
      </c>
      <c r="B28" s="56" t="s">
        <v>516</v>
      </c>
      <c r="C28" s="56">
        <v>0</v>
      </c>
      <c r="D28" s="56">
        <v>1</v>
      </c>
      <c r="E28" s="56">
        <v>0</v>
      </c>
      <c r="F28" s="56">
        <v>0</v>
      </c>
      <c r="G28" s="56">
        <v>0</v>
      </c>
      <c r="H28" s="54"/>
    </row>
    <row r="29" spans="1:8" ht="15" customHeight="1">
      <c r="A29" s="56" t="s">
        <v>125</v>
      </c>
      <c r="B29" s="56" t="s">
        <v>516</v>
      </c>
      <c r="C29" s="56">
        <v>0</v>
      </c>
      <c r="D29" s="56">
        <v>1</v>
      </c>
      <c r="E29" s="56">
        <v>0</v>
      </c>
      <c r="F29" s="56">
        <v>0</v>
      </c>
      <c r="G29" s="56">
        <v>0</v>
      </c>
      <c r="H29" s="54"/>
    </row>
    <row r="30" spans="1:8" ht="15" customHeight="1">
      <c r="A30" s="56" t="s">
        <v>132</v>
      </c>
      <c r="B30" s="56" t="s">
        <v>516</v>
      </c>
      <c r="C30" s="56">
        <v>0</v>
      </c>
      <c r="D30" s="56">
        <v>1</v>
      </c>
      <c r="E30" s="56">
        <v>0</v>
      </c>
      <c r="F30" s="56">
        <v>0</v>
      </c>
      <c r="G30" s="56">
        <v>0</v>
      </c>
      <c r="H30" s="54"/>
    </row>
    <row r="31" spans="1:8" ht="15" customHeight="1">
      <c r="A31" s="56" t="s">
        <v>141</v>
      </c>
      <c r="B31" s="56" t="s">
        <v>516</v>
      </c>
      <c r="C31" s="56">
        <v>1</v>
      </c>
      <c r="D31" s="56">
        <v>0</v>
      </c>
      <c r="E31" s="56">
        <v>1</v>
      </c>
      <c r="F31" s="56">
        <v>0</v>
      </c>
      <c r="G31" s="56">
        <v>1</v>
      </c>
      <c r="H31" s="54"/>
    </row>
    <row r="32" spans="1:8" ht="15" customHeight="1">
      <c r="A32" s="56" t="s">
        <v>149</v>
      </c>
      <c r="B32" s="56" t="s">
        <v>516</v>
      </c>
      <c r="C32" s="56">
        <v>0</v>
      </c>
      <c r="D32" s="56">
        <v>1</v>
      </c>
      <c r="E32" s="56">
        <v>0</v>
      </c>
      <c r="F32" s="56">
        <v>0</v>
      </c>
      <c r="G32" s="56">
        <v>0</v>
      </c>
      <c r="H32" s="54"/>
    </row>
    <row r="33" spans="1:8" ht="15" customHeight="1">
      <c r="A33" s="56" t="s">
        <v>158</v>
      </c>
      <c r="B33" s="56" t="s">
        <v>516</v>
      </c>
      <c r="C33" s="56">
        <v>0</v>
      </c>
      <c r="D33" s="56">
        <v>1</v>
      </c>
      <c r="E33" s="56">
        <v>0</v>
      </c>
      <c r="F33" s="56">
        <v>0</v>
      </c>
      <c r="G33" s="56">
        <v>0</v>
      </c>
      <c r="H33" s="54"/>
    </row>
    <row r="34" spans="1:8" ht="15" customHeight="1">
      <c r="A34" s="56" t="s">
        <v>165</v>
      </c>
      <c r="B34" s="56" t="s">
        <v>516</v>
      </c>
      <c r="C34" s="56">
        <v>0</v>
      </c>
      <c r="D34" s="56">
        <v>1</v>
      </c>
      <c r="E34" s="56">
        <v>0</v>
      </c>
      <c r="F34" s="56">
        <v>0</v>
      </c>
      <c r="G34" s="56">
        <v>0</v>
      </c>
      <c r="H34" s="54"/>
    </row>
    <row r="35" spans="1:8" ht="15" customHeight="1">
      <c r="A35" s="56" t="s">
        <v>174</v>
      </c>
      <c r="B35" s="56" t="s">
        <v>516</v>
      </c>
      <c r="C35" s="56">
        <v>0</v>
      </c>
      <c r="D35" s="56">
        <v>1</v>
      </c>
      <c r="E35" s="56">
        <v>0</v>
      </c>
      <c r="F35" s="56">
        <v>0</v>
      </c>
      <c r="G35" s="56">
        <v>0</v>
      </c>
      <c r="H35" s="54"/>
    </row>
    <row r="36" spans="1:8" ht="15" customHeight="1">
      <c r="A36" s="56" t="s">
        <v>181</v>
      </c>
      <c r="B36" s="56" t="s">
        <v>516</v>
      </c>
      <c r="C36" s="56">
        <v>0</v>
      </c>
      <c r="D36" s="56">
        <v>1</v>
      </c>
      <c r="E36" s="56">
        <v>0</v>
      </c>
      <c r="F36" s="56">
        <v>0</v>
      </c>
      <c r="G36" s="56">
        <v>0</v>
      </c>
      <c r="H36" s="54"/>
    </row>
    <row r="37" spans="1:8" ht="15" customHeight="1">
      <c r="A37" s="56" t="s">
        <v>189</v>
      </c>
      <c r="B37" s="56" t="s">
        <v>516</v>
      </c>
      <c r="C37" s="56">
        <v>0</v>
      </c>
      <c r="D37" s="56">
        <v>1</v>
      </c>
      <c r="E37" s="56">
        <v>0</v>
      </c>
      <c r="F37" s="56">
        <v>0</v>
      </c>
      <c r="G37" s="56">
        <v>0</v>
      </c>
      <c r="H37" s="54"/>
    </row>
    <row r="38" spans="1:8" ht="15" customHeight="1">
      <c r="A38" s="56" t="s">
        <v>198</v>
      </c>
      <c r="B38" s="56" t="s">
        <v>516</v>
      </c>
      <c r="C38" s="56">
        <v>0</v>
      </c>
      <c r="D38" s="56">
        <v>1</v>
      </c>
      <c r="E38" s="56">
        <v>0</v>
      </c>
      <c r="F38" s="56">
        <v>0</v>
      </c>
      <c r="G38" s="56">
        <v>0</v>
      </c>
      <c r="H38" s="54"/>
    </row>
    <row r="39" spans="1:8" ht="15" customHeight="1">
      <c r="A39" s="56" t="s">
        <v>206</v>
      </c>
      <c r="B39" s="56" t="s">
        <v>516</v>
      </c>
      <c r="C39" s="56">
        <v>0</v>
      </c>
      <c r="D39" s="56">
        <v>1</v>
      </c>
      <c r="E39" s="56">
        <v>0</v>
      </c>
      <c r="F39" s="56">
        <v>0</v>
      </c>
      <c r="G39" s="56">
        <v>0</v>
      </c>
      <c r="H39" s="54"/>
    </row>
    <row r="40" spans="1:8" ht="15" customHeight="1">
      <c r="A40" s="56" t="s">
        <v>215</v>
      </c>
      <c r="B40" s="56" t="s">
        <v>516</v>
      </c>
      <c r="C40" s="56">
        <v>0</v>
      </c>
      <c r="D40" s="56">
        <v>1</v>
      </c>
      <c r="E40" s="56">
        <v>0</v>
      </c>
      <c r="F40" s="56">
        <v>0</v>
      </c>
      <c r="G40" s="56">
        <v>0</v>
      </c>
      <c r="H40" s="54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4C6B-0F13-4A40-BE5C-FB50E5F28BD3}">
  <dimension ref="A1:X200"/>
  <sheetViews>
    <sheetView tabSelected="1" workbookViewId="0">
      <selection activeCell="B8" sqref="B8"/>
    </sheetView>
  </sheetViews>
  <sheetFormatPr baseColWidth="10" defaultRowHeight="15"/>
  <cols>
    <col min="1" max="1" width="12" style="81" customWidth="1"/>
    <col min="2" max="2" width="24" style="81" customWidth="1"/>
    <col min="3" max="3" width="14" style="81" customWidth="1"/>
    <col min="4" max="4" width="34" style="81" customWidth="1"/>
    <col min="5" max="5" width="16" style="81" customWidth="1"/>
    <col min="6" max="6" width="20" style="81" customWidth="1"/>
    <col min="7" max="7" width="16" style="81" customWidth="1"/>
    <col min="8" max="8" width="18" style="81" customWidth="1"/>
    <col min="9" max="9" width="22" style="81" customWidth="1"/>
    <col min="10" max="10" width="36" style="81" customWidth="1"/>
    <col min="11" max="11" width="34" style="81" customWidth="1"/>
    <col min="12" max="12" width="38" style="81" customWidth="1"/>
    <col min="13" max="16" width="16" style="81" customWidth="1"/>
    <col min="17" max="17" width="14" style="81" customWidth="1"/>
    <col min="18" max="18" width="18" style="81" customWidth="1"/>
    <col min="19" max="19" width="16" style="81" customWidth="1"/>
    <col min="20" max="20" width="30" style="81" customWidth="1"/>
    <col min="21" max="21" width="18" style="81" customWidth="1"/>
    <col min="22" max="23" width="16" style="81" customWidth="1"/>
    <col min="24" max="24" width="38" style="81" customWidth="1"/>
    <col min="25" max="16384" width="11.42578125" style="81"/>
  </cols>
  <sheetData>
    <row r="1" spans="1:24" ht="33.950000000000003" customHeight="1">
      <c r="A1" s="80" t="s">
        <v>223</v>
      </c>
      <c r="B1" s="80" t="s">
        <v>812</v>
      </c>
      <c r="C1" s="80" t="s">
        <v>811</v>
      </c>
      <c r="D1" s="80" t="s">
        <v>810</v>
      </c>
      <c r="E1" s="80" t="s">
        <v>565</v>
      </c>
      <c r="F1" s="80" t="s">
        <v>509</v>
      </c>
      <c r="G1" s="80" t="s">
        <v>515</v>
      </c>
      <c r="H1" s="80" t="s">
        <v>566</v>
      </c>
      <c r="I1" s="80" t="s">
        <v>809</v>
      </c>
      <c r="J1" s="80" t="s">
        <v>808</v>
      </c>
      <c r="K1" s="80" t="s">
        <v>807</v>
      </c>
      <c r="L1" s="80" t="s">
        <v>806</v>
      </c>
      <c r="M1" s="80" t="s">
        <v>805</v>
      </c>
      <c r="N1" s="80" t="s">
        <v>804</v>
      </c>
      <c r="O1" s="80" t="s">
        <v>803</v>
      </c>
      <c r="P1" s="80" t="s">
        <v>802</v>
      </c>
      <c r="Q1" s="80" t="s">
        <v>801</v>
      </c>
      <c r="R1" s="80" t="s">
        <v>800</v>
      </c>
      <c r="S1" s="80" t="s">
        <v>799</v>
      </c>
      <c r="T1" s="80" t="s">
        <v>798</v>
      </c>
      <c r="U1" s="80" t="s">
        <v>797</v>
      </c>
      <c r="V1" s="80" t="s">
        <v>796</v>
      </c>
      <c r="W1" s="80" t="s">
        <v>795</v>
      </c>
      <c r="X1" s="80" t="s">
        <v>241</v>
      </c>
    </row>
    <row r="2" spans="1:24" ht="25.5">
      <c r="A2" s="82" t="s">
        <v>794</v>
      </c>
      <c r="B2" s="82" t="s">
        <v>736</v>
      </c>
      <c r="C2" s="82" t="s">
        <v>747</v>
      </c>
      <c r="D2" s="82" t="s">
        <v>767</v>
      </c>
      <c r="E2" s="82" t="s">
        <v>664</v>
      </c>
      <c r="F2" s="82" t="s">
        <v>766</v>
      </c>
      <c r="G2" s="82" t="s">
        <v>242</v>
      </c>
      <c r="H2" s="82" t="s">
        <v>20</v>
      </c>
      <c r="I2" s="82" t="s">
        <v>15</v>
      </c>
      <c r="J2" s="82" t="s">
        <v>793</v>
      </c>
      <c r="K2" s="82" t="s">
        <v>758</v>
      </c>
      <c r="L2" s="82" t="s">
        <v>792</v>
      </c>
      <c r="M2" s="82" t="s">
        <v>594</v>
      </c>
      <c r="N2" s="82" t="s">
        <v>594</v>
      </c>
      <c r="O2" s="82" t="s">
        <v>594</v>
      </c>
      <c r="P2" s="82" t="s">
        <v>594</v>
      </c>
      <c r="Q2" s="82" t="s">
        <v>594</v>
      </c>
      <c r="R2" s="82" t="s">
        <v>594</v>
      </c>
      <c r="S2" s="82"/>
      <c r="T2" s="82"/>
      <c r="U2" s="82"/>
      <c r="V2" s="82" t="s">
        <v>594</v>
      </c>
      <c r="W2" s="82" t="s">
        <v>594</v>
      </c>
      <c r="X2" s="82"/>
    </row>
    <row r="3" spans="1:24" ht="25.5">
      <c r="A3" s="82" t="s">
        <v>791</v>
      </c>
      <c r="B3" s="82" t="s">
        <v>736</v>
      </c>
      <c r="C3" s="82" t="s">
        <v>747</v>
      </c>
      <c r="D3" s="82" t="s">
        <v>767</v>
      </c>
      <c r="E3" s="82" t="s">
        <v>664</v>
      </c>
      <c r="F3" s="82" t="s">
        <v>766</v>
      </c>
      <c r="G3" s="82" t="s">
        <v>258</v>
      </c>
      <c r="H3" s="82" t="s">
        <v>30</v>
      </c>
      <c r="I3" s="82" t="s">
        <v>15</v>
      </c>
      <c r="J3" s="82" t="s">
        <v>790</v>
      </c>
      <c r="K3" s="82" t="s">
        <v>758</v>
      </c>
      <c r="L3" s="82" t="s">
        <v>789</v>
      </c>
      <c r="M3" s="82" t="s">
        <v>594</v>
      </c>
      <c r="N3" s="82" t="s">
        <v>594</v>
      </c>
      <c r="O3" s="82" t="s">
        <v>594</v>
      </c>
      <c r="P3" s="82" t="s">
        <v>594</v>
      </c>
      <c r="Q3" s="82" t="s">
        <v>594</v>
      </c>
      <c r="R3" s="82" t="s">
        <v>594</v>
      </c>
      <c r="S3" s="82"/>
      <c r="T3" s="82"/>
      <c r="U3" s="82"/>
      <c r="V3" s="82" t="s">
        <v>594</v>
      </c>
      <c r="W3" s="82" t="s">
        <v>594</v>
      </c>
      <c r="X3" s="82"/>
    </row>
    <row r="4" spans="1:24">
      <c r="A4" s="82" t="s">
        <v>788</v>
      </c>
      <c r="B4" s="82" t="s">
        <v>736</v>
      </c>
      <c r="C4" s="82" t="s">
        <v>747</v>
      </c>
      <c r="D4" s="82" t="s">
        <v>767</v>
      </c>
      <c r="E4" s="82" t="s">
        <v>664</v>
      </c>
      <c r="F4" s="82" t="s">
        <v>766</v>
      </c>
      <c r="G4" s="82" t="s">
        <v>265</v>
      </c>
      <c r="H4" s="82" t="s">
        <v>42</v>
      </c>
      <c r="I4" s="82" t="s">
        <v>640</v>
      </c>
      <c r="J4" s="82" t="s">
        <v>787</v>
      </c>
      <c r="K4" s="82" t="s">
        <v>758</v>
      </c>
      <c r="L4" s="82" t="s">
        <v>786</v>
      </c>
      <c r="M4" s="82" t="s">
        <v>594</v>
      </c>
      <c r="N4" s="82" t="s">
        <v>594</v>
      </c>
      <c r="O4" s="82" t="s">
        <v>594</v>
      </c>
      <c r="P4" s="82" t="s">
        <v>594</v>
      </c>
      <c r="Q4" s="82" t="s">
        <v>594</v>
      </c>
      <c r="R4" s="82" t="s">
        <v>594</v>
      </c>
      <c r="S4" s="82"/>
      <c r="T4" s="82"/>
      <c r="U4" s="82"/>
      <c r="V4" s="82" t="s">
        <v>594</v>
      </c>
      <c r="W4" s="82" t="s">
        <v>594</v>
      </c>
      <c r="X4" s="82"/>
    </row>
    <row r="5" spans="1:24" ht="25.5">
      <c r="A5" s="82" t="s">
        <v>785</v>
      </c>
      <c r="B5" s="82" t="s">
        <v>736</v>
      </c>
      <c r="C5" s="82" t="s">
        <v>747</v>
      </c>
      <c r="D5" s="82" t="s">
        <v>767</v>
      </c>
      <c r="E5" s="82" t="s">
        <v>664</v>
      </c>
      <c r="F5" s="82" t="s">
        <v>766</v>
      </c>
      <c r="G5" s="82" t="s">
        <v>272</v>
      </c>
      <c r="H5" s="82" t="s">
        <v>52</v>
      </c>
      <c r="I5" s="82" t="s">
        <v>37</v>
      </c>
      <c r="J5" s="82" t="s">
        <v>784</v>
      </c>
      <c r="K5" s="82" t="s">
        <v>758</v>
      </c>
      <c r="L5" s="82" t="s">
        <v>783</v>
      </c>
      <c r="M5" s="82" t="s">
        <v>594</v>
      </c>
      <c r="N5" s="82" t="s">
        <v>594</v>
      </c>
      <c r="O5" s="82" t="s">
        <v>594</v>
      </c>
      <c r="P5" s="82" t="s">
        <v>594</v>
      </c>
      <c r="Q5" s="82" t="s">
        <v>594</v>
      </c>
      <c r="R5" s="82" t="s">
        <v>594</v>
      </c>
      <c r="S5" s="82"/>
      <c r="T5" s="82"/>
      <c r="U5" s="82"/>
      <c r="V5" s="82" t="s">
        <v>594</v>
      </c>
      <c r="W5" s="82" t="s">
        <v>594</v>
      </c>
      <c r="X5" s="82"/>
    </row>
    <row r="6" spans="1:24">
      <c r="A6" s="82" t="s">
        <v>782</v>
      </c>
      <c r="B6" s="82" t="s">
        <v>736</v>
      </c>
      <c r="C6" s="82" t="s">
        <v>747</v>
      </c>
      <c r="D6" s="82" t="s">
        <v>767</v>
      </c>
      <c r="E6" s="82" t="s">
        <v>664</v>
      </c>
      <c r="F6" s="82" t="s">
        <v>766</v>
      </c>
      <c r="G6" s="82" t="s">
        <v>280</v>
      </c>
      <c r="H6" s="82" t="s">
        <v>63</v>
      </c>
      <c r="I6" s="82" t="s">
        <v>15</v>
      </c>
      <c r="J6" s="82" t="s">
        <v>781</v>
      </c>
      <c r="K6" s="82" t="s">
        <v>758</v>
      </c>
      <c r="L6" s="82" t="s">
        <v>780</v>
      </c>
      <c r="M6" s="82" t="s">
        <v>594</v>
      </c>
      <c r="N6" s="82" t="s">
        <v>594</v>
      </c>
      <c r="O6" s="82" t="s">
        <v>594</v>
      </c>
      <c r="P6" s="82" t="s">
        <v>594</v>
      </c>
      <c r="Q6" s="82" t="s">
        <v>594</v>
      </c>
      <c r="R6" s="82" t="s">
        <v>594</v>
      </c>
      <c r="S6" s="82"/>
      <c r="T6" s="82"/>
      <c r="U6" s="82"/>
      <c r="V6" s="82" t="s">
        <v>594</v>
      </c>
      <c r="W6" s="82" t="s">
        <v>594</v>
      </c>
      <c r="X6" s="82"/>
    </row>
    <row r="7" spans="1:24" ht="25.5">
      <c r="A7" s="82" t="s">
        <v>779</v>
      </c>
      <c r="B7" s="82" t="s">
        <v>736</v>
      </c>
      <c r="C7" s="82" t="s">
        <v>747</v>
      </c>
      <c r="D7" s="82" t="s">
        <v>767</v>
      </c>
      <c r="E7" s="82" t="s">
        <v>664</v>
      </c>
      <c r="F7" s="82" t="s">
        <v>766</v>
      </c>
      <c r="G7" s="82" t="s">
        <v>287</v>
      </c>
      <c r="H7" s="82" t="s">
        <v>76</v>
      </c>
      <c r="I7" s="82" t="s">
        <v>71</v>
      </c>
      <c r="J7" s="82" t="s">
        <v>778</v>
      </c>
      <c r="K7" s="82" t="s">
        <v>758</v>
      </c>
      <c r="L7" s="82" t="s">
        <v>777</v>
      </c>
      <c r="M7" s="82" t="s">
        <v>594</v>
      </c>
      <c r="N7" s="82" t="s">
        <v>594</v>
      </c>
      <c r="O7" s="82" t="s">
        <v>594</v>
      </c>
      <c r="P7" s="82" t="s">
        <v>594</v>
      </c>
      <c r="Q7" s="82" t="s">
        <v>594</v>
      </c>
      <c r="R7" s="82" t="s">
        <v>594</v>
      </c>
      <c r="S7" s="82"/>
      <c r="T7" s="82"/>
      <c r="U7" s="82"/>
      <c r="V7" s="82" t="s">
        <v>594</v>
      </c>
      <c r="W7" s="82" t="s">
        <v>594</v>
      </c>
      <c r="X7" s="82"/>
    </row>
    <row r="8" spans="1:24" ht="25.5">
      <c r="A8" s="82" t="s">
        <v>776</v>
      </c>
      <c r="B8" s="82" t="s">
        <v>736</v>
      </c>
      <c r="C8" s="82" t="s">
        <v>747</v>
      </c>
      <c r="D8" s="82" t="s">
        <v>767</v>
      </c>
      <c r="E8" s="82" t="s">
        <v>664</v>
      </c>
      <c r="F8" s="82" t="s">
        <v>766</v>
      </c>
      <c r="G8" s="82" t="s">
        <v>294</v>
      </c>
      <c r="H8" s="82" t="s">
        <v>86</v>
      </c>
      <c r="I8" s="82" t="s">
        <v>83</v>
      </c>
      <c r="J8" s="82" t="s">
        <v>775</v>
      </c>
      <c r="K8" s="82" t="s">
        <v>758</v>
      </c>
      <c r="L8" s="82" t="s">
        <v>774</v>
      </c>
      <c r="M8" s="82" t="s">
        <v>594</v>
      </c>
      <c r="N8" s="82" t="s">
        <v>594</v>
      </c>
      <c r="O8" s="82" t="s">
        <v>594</v>
      </c>
      <c r="P8" s="82" t="s">
        <v>594</v>
      </c>
      <c r="Q8" s="82" t="s">
        <v>594</v>
      </c>
      <c r="R8" s="82" t="s">
        <v>594</v>
      </c>
      <c r="S8" s="82"/>
      <c r="T8" s="82"/>
      <c r="U8" s="82"/>
      <c r="V8" s="82" t="s">
        <v>594</v>
      </c>
      <c r="W8" s="82" t="s">
        <v>23</v>
      </c>
      <c r="X8" s="82" t="s">
        <v>773</v>
      </c>
    </row>
    <row r="9" spans="1:24" ht="25.5">
      <c r="A9" s="82" t="s">
        <v>772</v>
      </c>
      <c r="B9" s="82" t="s">
        <v>736</v>
      </c>
      <c r="C9" s="82" t="s">
        <v>747</v>
      </c>
      <c r="D9" s="82" t="s">
        <v>767</v>
      </c>
      <c r="E9" s="82" t="s">
        <v>664</v>
      </c>
      <c r="F9" s="82" t="s">
        <v>766</v>
      </c>
      <c r="G9" s="82" t="s">
        <v>528</v>
      </c>
      <c r="H9" s="82" t="s">
        <v>530</v>
      </c>
      <c r="I9" s="82" t="s">
        <v>83</v>
      </c>
      <c r="J9" s="82" t="s">
        <v>771</v>
      </c>
      <c r="K9" s="82" t="s">
        <v>758</v>
      </c>
      <c r="L9" s="82" t="s">
        <v>770</v>
      </c>
      <c r="M9" s="82" t="s">
        <v>594</v>
      </c>
      <c r="N9" s="82" t="s">
        <v>594</v>
      </c>
      <c r="O9" s="82" t="s">
        <v>594</v>
      </c>
      <c r="P9" s="82" t="s">
        <v>594</v>
      </c>
      <c r="Q9" s="82" t="s">
        <v>594</v>
      </c>
      <c r="R9" s="82" t="s">
        <v>594</v>
      </c>
      <c r="S9" s="82"/>
      <c r="T9" s="82"/>
      <c r="U9" s="82"/>
      <c r="V9" s="82" t="s">
        <v>594</v>
      </c>
      <c r="W9" s="82" t="s">
        <v>23</v>
      </c>
      <c r="X9" s="82" t="s">
        <v>769</v>
      </c>
    </row>
    <row r="10" spans="1:24" ht="25.5">
      <c r="A10" s="82" t="s">
        <v>768</v>
      </c>
      <c r="B10" s="82" t="s">
        <v>736</v>
      </c>
      <c r="C10" s="82" t="s">
        <v>747</v>
      </c>
      <c r="D10" s="82" t="s">
        <v>767</v>
      </c>
      <c r="E10" s="82" t="s">
        <v>664</v>
      </c>
      <c r="F10" s="82" t="s">
        <v>766</v>
      </c>
      <c r="G10" s="82" t="s">
        <v>538</v>
      </c>
      <c r="H10" s="82" t="s">
        <v>662</v>
      </c>
      <c r="I10" s="82" t="s">
        <v>661</v>
      </c>
      <c r="J10" s="82" t="s">
        <v>765</v>
      </c>
      <c r="K10" s="82" t="s">
        <v>758</v>
      </c>
      <c r="L10" s="82" t="s">
        <v>764</v>
      </c>
      <c r="M10" s="82" t="s">
        <v>594</v>
      </c>
      <c r="N10" s="82" t="s">
        <v>594</v>
      </c>
      <c r="O10" s="82" t="s">
        <v>594</v>
      </c>
      <c r="P10" s="82" t="s">
        <v>594</v>
      </c>
      <c r="Q10" s="82" t="s">
        <v>594</v>
      </c>
      <c r="R10" s="82" t="s">
        <v>594</v>
      </c>
      <c r="S10" s="82"/>
      <c r="T10" s="82"/>
      <c r="U10" s="82"/>
      <c r="V10" s="82" t="s">
        <v>594</v>
      </c>
      <c r="W10" s="82" t="s">
        <v>23</v>
      </c>
      <c r="X10" s="82" t="s">
        <v>763</v>
      </c>
    </row>
    <row r="11" spans="1:24" ht="25.5">
      <c r="A11" s="82" t="s">
        <v>762</v>
      </c>
      <c r="B11" s="82" t="s">
        <v>736</v>
      </c>
      <c r="C11" s="82" t="s">
        <v>747</v>
      </c>
      <c r="D11" s="82" t="s">
        <v>761</v>
      </c>
      <c r="E11" s="82" t="s">
        <v>664</v>
      </c>
      <c r="F11" s="82" t="s">
        <v>760</v>
      </c>
      <c r="G11" s="82" t="s">
        <v>280</v>
      </c>
      <c r="H11" s="82" t="s">
        <v>63</v>
      </c>
      <c r="I11" s="82" t="s">
        <v>15</v>
      </c>
      <c r="J11" s="82" t="s">
        <v>759</v>
      </c>
      <c r="K11" s="82" t="s">
        <v>758</v>
      </c>
      <c r="L11" s="82" t="s">
        <v>757</v>
      </c>
      <c r="M11" s="82" t="s">
        <v>594</v>
      </c>
      <c r="N11" s="82" t="s">
        <v>594</v>
      </c>
      <c r="O11" s="82" t="s">
        <v>594</v>
      </c>
      <c r="P11" s="82" t="s">
        <v>594</v>
      </c>
      <c r="Q11" s="82" t="s">
        <v>594</v>
      </c>
      <c r="R11" s="82" t="s">
        <v>594</v>
      </c>
      <c r="S11" s="82"/>
      <c r="T11" s="82"/>
      <c r="U11" s="82"/>
      <c r="V11" s="82" t="s">
        <v>594</v>
      </c>
      <c r="W11" s="82" t="s">
        <v>333</v>
      </c>
      <c r="X11" s="82" t="s">
        <v>756</v>
      </c>
    </row>
    <row r="12" spans="1:24" ht="38.25">
      <c r="A12" s="82" t="s">
        <v>755</v>
      </c>
      <c r="B12" s="82" t="s">
        <v>736</v>
      </c>
      <c r="C12" s="82" t="s">
        <v>747</v>
      </c>
      <c r="D12" s="82" t="s">
        <v>734</v>
      </c>
      <c r="E12" s="82" t="s">
        <v>664</v>
      </c>
      <c r="F12" s="82" t="s">
        <v>733</v>
      </c>
      <c r="G12" s="82" t="s">
        <v>754</v>
      </c>
      <c r="H12" s="82" t="s">
        <v>599</v>
      </c>
      <c r="I12" s="82" t="s">
        <v>753</v>
      </c>
      <c r="J12" s="82" t="s">
        <v>752</v>
      </c>
      <c r="K12" s="82" t="s">
        <v>751</v>
      </c>
      <c r="L12" s="82" t="s">
        <v>750</v>
      </c>
      <c r="M12" s="82" t="s">
        <v>594</v>
      </c>
      <c r="N12" s="82" t="s">
        <v>594</v>
      </c>
      <c r="O12" s="82" t="s">
        <v>594</v>
      </c>
      <c r="P12" s="82" t="s">
        <v>594</v>
      </c>
      <c r="Q12" s="82" t="s">
        <v>594</v>
      </c>
      <c r="R12" s="82" t="s">
        <v>594</v>
      </c>
      <c r="S12" s="82"/>
      <c r="T12" s="82"/>
      <c r="U12" s="82"/>
      <c r="V12" s="82" t="s">
        <v>594</v>
      </c>
      <c r="W12" s="82" t="s">
        <v>333</v>
      </c>
      <c r="X12" s="82" t="s">
        <v>749</v>
      </c>
    </row>
    <row r="13" spans="1:24" ht="25.5">
      <c r="A13" s="82" t="s">
        <v>748</v>
      </c>
      <c r="B13" s="82" t="s">
        <v>736</v>
      </c>
      <c r="C13" s="82" t="s">
        <v>747</v>
      </c>
      <c r="D13" s="82" t="s">
        <v>734</v>
      </c>
      <c r="E13" s="82" t="s">
        <v>664</v>
      </c>
      <c r="F13" s="82" t="s">
        <v>733</v>
      </c>
      <c r="G13" s="82" t="s">
        <v>272</v>
      </c>
      <c r="H13" s="82" t="s">
        <v>52</v>
      </c>
      <c r="I13" s="82" t="s">
        <v>37</v>
      </c>
      <c r="J13" s="82" t="s">
        <v>746</v>
      </c>
      <c r="K13" s="82" t="s">
        <v>745</v>
      </c>
      <c r="L13" s="82" t="s">
        <v>744</v>
      </c>
      <c r="M13" s="82" t="s">
        <v>594</v>
      </c>
      <c r="N13" s="82" t="s">
        <v>594</v>
      </c>
      <c r="O13" s="82" t="s">
        <v>594</v>
      </c>
      <c r="P13" s="82" t="s">
        <v>594</v>
      </c>
      <c r="Q13" s="82" t="s">
        <v>594</v>
      </c>
      <c r="R13" s="82" t="s">
        <v>594</v>
      </c>
      <c r="S13" s="82"/>
      <c r="T13" s="82"/>
      <c r="U13" s="82"/>
      <c r="V13" s="82" t="s">
        <v>594</v>
      </c>
      <c r="W13" s="82" t="s">
        <v>333</v>
      </c>
      <c r="X13" s="82" t="s">
        <v>743</v>
      </c>
    </row>
    <row r="14" spans="1:24" ht="25.5">
      <c r="A14" s="82" t="s">
        <v>742</v>
      </c>
      <c r="B14" s="82" t="s">
        <v>736</v>
      </c>
      <c r="C14" s="82" t="s">
        <v>735</v>
      </c>
      <c r="D14" s="82" t="s">
        <v>734</v>
      </c>
      <c r="E14" s="82" t="s">
        <v>664</v>
      </c>
      <c r="F14" s="82" t="s">
        <v>733</v>
      </c>
      <c r="G14" s="82" t="s">
        <v>528</v>
      </c>
      <c r="H14" s="82" t="s">
        <v>530</v>
      </c>
      <c r="I14" s="82" t="s">
        <v>83</v>
      </c>
      <c r="J14" s="82" t="s">
        <v>741</v>
      </c>
      <c r="K14" s="82" t="s">
        <v>740</v>
      </c>
      <c r="L14" s="82" t="s">
        <v>739</v>
      </c>
      <c r="M14" s="82" t="s">
        <v>594</v>
      </c>
      <c r="N14" s="82" t="s">
        <v>594</v>
      </c>
      <c r="O14" s="82" t="s">
        <v>594</v>
      </c>
      <c r="P14" s="82" t="s">
        <v>594</v>
      </c>
      <c r="Q14" s="82" t="s">
        <v>594</v>
      </c>
      <c r="R14" s="82" t="s">
        <v>594</v>
      </c>
      <c r="S14" s="82"/>
      <c r="T14" s="82"/>
      <c r="U14" s="82"/>
      <c r="V14" s="82" t="s">
        <v>594</v>
      </c>
      <c r="W14" s="82" t="s">
        <v>23</v>
      </c>
      <c r="X14" s="82" t="s">
        <v>738</v>
      </c>
    </row>
    <row r="15" spans="1:24" ht="38.25">
      <c r="A15" s="82" t="s">
        <v>737</v>
      </c>
      <c r="B15" s="82" t="s">
        <v>736</v>
      </c>
      <c r="C15" s="82" t="s">
        <v>735</v>
      </c>
      <c r="D15" s="82" t="s">
        <v>734</v>
      </c>
      <c r="E15" s="82" t="s">
        <v>664</v>
      </c>
      <c r="F15" s="82" t="s">
        <v>733</v>
      </c>
      <c r="G15" s="82" t="s">
        <v>538</v>
      </c>
      <c r="H15" s="82" t="s">
        <v>732</v>
      </c>
      <c r="I15" s="82" t="s">
        <v>731</v>
      </c>
      <c r="J15" s="82" t="s">
        <v>730</v>
      </c>
      <c r="K15" s="82" t="s">
        <v>729</v>
      </c>
      <c r="L15" s="82" t="s">
        <v>728</v>
      </c>
      <c r="M15" s="82" t="s">
        <v>594</v>
      </c>
      <c r="N15" s="82" t="s">
        <v>594</v>
      </c>
      <c r="O15" s="82" t="s">
        <v>594</v>
      </c>
      <c r="P15" s="82" t="s">
        <v>594</v>
      </c>
      <c r="Q15" s="82" t="s">
        <v>594</v>
      </c>
      <c r="R15" s="82" t="s">
        <v>594</v>
      </c>
      <c r="S15" s="82"/>
      <c r="T15" s="82"/>
      <c r="U15" s="82"/>
      <c r="V15" s="82" t="s">
        <v>594</v>
      </c>
      <c r="W15" s="82" t="s">
        <v>23</v>
      </c>
      <c r="X15" s="82" t="s">
        <v>727</v>
      </c>
    </row>
    <row r="16" spans="1:24" ht="25.5">
      <c r="A16" s="82" t="s">
        <v>726</v>
      </c>
      <c r="B16" s="82" t="s">
        <v>698</v>
      </c>
      <c r="C16" s="82" t="s">
        <v>666</v>
      </c>
      <c r="D16" s="82" t="s">
        <v>697</v>
      </c>
      <c r="E16" s="82" t="s">
        <v>602</v>
      </c>
      <c r="F16" s="82" t="s">
        <v>663</v>
      </c>
      <c r="G16" s="82" t="s">
        <v>242</v>
      </c>
      <c r="H16" s="82" t="s">
        <v>20</v>
      </c>
      <c r="I16" s="82" t="s">
        <v>15</v>
      </c>
      <c r="J16" s="82" t="s">
        <v>725</v>
      </c>
      <c r="K16" s="82" t="s">
        <v>724</v>
      </c>
      <c r="L16" s="82" t="s">
        <v>723</v>
      </c>
      <c r="M16" s="82" t="s">
        <v>594</v>
      </c>
      <c r="N16" s="82" t="s">
        <v>594</v>
      </c>
      <c r="O16" s="82" t="s">
        <v>594</v>
      </c>
      <c r="P16" s="82" t="s">
        <v>594</v>
      </c>
      <c r="Q16" s="82" t="s">
        <v>594</v>
      </c>
      <c r="R16" s="82" t="s">
        <v>594</v>
      </c>
      <c r="S16" s="82"/>
      <c r="T16" s="82"/>
      <c r="U16" s="82"/>
      <c r="V16" s="82" t="s">
        <v>594</v>
      </c>
      <c r="W16" s="82" t="s">
        <v>594</v>
      </c>
      <c r="X16" s="82"/>
    </row>
    <row r="17" spans="1:24" ht="25.5">
      <c r="A17" s="82" t="s">
        <v>722</v>
      </c>
      <c r="B17" s="82" t="s">
        <v>698</v>
      </c>
      <c r="C17" s="82" t="s">
        <v>666</v>
      </c>
      <c r="D17" s="82" t="s">
        <v>697</v>
      </c>
      <c r="E17" s="82" t="s">
        <v>602</v>
      </c>
      <c r="F17" s="82" t="s">
        <v>663</v>
      </c>
      <c r="G17" s="82" t="s">
        <v>258</v>
      </c>
      <c r="H17" s="82" t="s">
        <v>30</v>
      </c>
      <c r="I17" s="82" t="s">
        <v>15</v>
      </c>
      <c r="J17" s="82" t="s">
        <v>721</v>
      </c>
      <c r="K17" s="82" t="s">
        <v>695</v>
      </c>
      <c r="L17" s="82" t="s">
        <v>720</v>
      </c>
      <c r="M17" s="82" t="s">
        <v>594</v>
      </c>
      <c r="N17" s="82" t="s">
        <v>594</v>
      </c>
      <c r="O17" s="82" t="s">
        <v>594</v>
      </c>
      <c r="P17" s="82" t="s">
        <v>594</v>
      </c>
      <c r="Q17" s="82" t="s">
        <v>594</v>
      </c>
      <c r="R17" s="82" t="s">
        <v>594</v>
      </c>
      <c r="S17" s="82"/>
      <c r="T17" s="82"/>
      <c r="U17" s="82"/>
      <c r="V17" s="82" t="s">
        <v>594</v>
      </c>
      <c r="W17" s="82" t="s">
        <v>594</v>
      </c>
      <c r="X17" s="82"/>
    </row>
    <row r="18" spans="1:24" ht="25.5">
      <c r="A18" s="82" t="s">
        <v>719</v>
      </c>
      <c r="B18" s="82" t="s">
        <v>698</v>
      </c>
      <c r="C18" s="82" t="s">
        <v>666</v>
      </c>
      <c r="D18" s="82" t="s">
        <v>697</v>
      </c>
      <c r="E18" s="82" t="s">
        <v>602</v>
      </c>
      <c r="F18" s="82" t="s">
        <v>663</v>
      </c>
      <c r="G18" s="82" t="s">
        <v>265</v>
      </c>
      <c r="H18" s="82" t="s">
        <v>42</v>
      </c>
      <c r="I18" s="82" t="s">
        <v>640</v>
      </c>
      <c r="J18" s="82" t="s">
        <v>718</v>
      </c>
      <c r="K18" s="82" t="s">
        <v>695</v>
      </c>
      <c r="L18" s="82" t="s">
        <v>717</v>
      </c>
      <c r="M18" s="82" t="s">
        <v>594</v>
      </c>
      <c r="N18" s="82" t="s">
        <v>594</v>
      </c>
      <c r="O18" s="82" t="s">
        <v>594</v>
      </c>
      <c r="P18" s="82" t="s">
        <v>594</v>
      </c>
      <c r="Q18" s="82" t="s">
        <v>594</v>
      </c>
      <c r="R18" s="82" t="s">
        <v>594</v>
      </c>
      <c r="S18" s="82"/>
      <c r="T18" s="82"/>
      <c r="U18" s="82"/>
      <c r="V18" s="82" t="s">
        <v>594</v>
      </c>
      <c r="W18" s="82" t="s">
        <v>594</v>
      </c>
      <c r="X18" s="82"/>
    </row>
    <row r="19" spans="1:24" ht="25.5">
      <c r="A19" s="82" t="s">
        <v>716</v>
      </c>
      <c r="B19" s="82" t="s">
        <v>698</v>
      </c>
      <c r="C19" s="82" t="s">
        <v>666</v>
      </c>
      <c r="D19" s="82" t="s">
        <v>697</v>
      </c>
      <c r="E19" s="82" t="s">
        <v>602</v>
      </c>
      <c r="F19" s="82" t="s">
        <v>663</v>
      </c>
      <c r="G19" s="82" t="s">
        <v>272</v>
      </c>
      <c r="H19" s="82" t="s">
        <v>52</v>
      </c>
      <c r="I19" s="82" t="s">
        <v>37</v>
      </c>
      <c r="J19" s="82" t="s">
        <v>715</v>
      </c>
      <c r="K19" s="82" t="s">
        <v>695</v>
      </c>
      <c r="L19" s="82" t="s">
        <v>714</v>
      </c>
      <c r="M19" s="82" t="s">
        <v>594</v>
      </c>
      <c r="N19" s="82" t="s">
        <v>594</v>
      </c>
      <c r="O19" s="82" t="s">
        <v>594</v>
      </c>
      <c r="P19" s="82" t="s">
        <v>594</v>
      </c>
      <c r="Q19" s="82" t="s">
        <v>594</v>
      </c>
      <c r="R19" s="82" t="s">
        <v>594</v>
      </c>
      <c r="S19" s="82"/>
      <c r="T19" s="82"/>
      <c r="U19" s="82"/>
      <c r="V19" s="82" t="s">
        <v>594</v>
      </c>
      <c r="W19" s="82" t="s">
        <v>594</v>
      </c>
      <c r="X19" s="82"/>
    </row>
    <row r="20" spans="1:24" ht="25.5">
      <c r="A20" s="82" t="s">
        <v>713</v>
      </c>
      <c r="B20" s="82" t="s">
        <v>698</v>
      </c>
      <c r="C20" s="82" t="s">
        <v>666</v>
      </c>
      <c r="D20" s="82" t="s">
        <v>697</v>
      </c>
      <c r="E20" s="82" t="s">
        <v>602</v>
      </c>
      <c r="F20" s="82" t="s">
        <v>663</v>
      </c>
      <c r="G20" s="82" t="s">
        <v>280</v>
      </c>
      <c r="H20" s="82" t="s">
        <v>63</v>
      </c>
      <c r="I20" s="82" t="s">
        <v>15</v>
      </c>
      <c r="J20" s="82" t="s">
        <v>712</v>
      </c>
      <c r="K20" s="82" t="s">
        <v>695</v>
      </c>
      <c r="L20" s="82" t="s">
        <v>711</v>
      </c>
      <c r="M20" s="82" t="s">
        <v>594</v>
      </c>
      <c r="N20" s="82" t="s">
        <v>594</v>
      </c>
      <c r="O20" s="82" t="s">
        <v>594</v>
      </c>
      <c r="P20" s="82" t="s">
        <v>594</v>
      </c>
      <c r="Q20" s="82" t="s">
        <v>594</v>
      </c>
      <c r="R20" s="82" t="s">
        <v>594</v>
      </c>
      <c r="S20" s="82"/>
      <c r="T20" s="82"/>
      <c r="U20" s="82"/>
      <c r="V20" s="82" t="s">
        <v>594</v>
      </c>
      <c r="W20" s="82" t="s">
        <v>594</v>
      </c>
      <c r="X20" s="82"/>
    </row>
    <row r="21" spans="1:24" ht="25.5">
      <c r="A21" s="82" t="s">
        <v>710</v>
      </c>
      <c r="B21" s="82" t="s">
        <v>698</v>
      </c>
      <c r="C21" s="82" t="s">
        <v>666</v>
      </c>
      <c r="D21" s="82" t="s">
        <v>697</v>
      </c>
      <c r="E21" s="82" t="s">
        <v>602</v>
      </c>
      <c r="F21" s="82" t="s">
        <v>663</v>
      </c>
      <c r="G21" s="82" t="s">
        <v>287</v>
      </c>
      <c r="H21" s="82" t="s">
        <v>76</v>
      </c>
      <c r="I21" s="82" t="s">
        <v>71</v>
      </c>
      <c r="J21" s="82" t="s">
        <v>709</v>
      </c>
      <c r="K21" s="82" t="s">
        <v>695</v>
      </c>
      <c r="L21" s="82" t="s">
        <v>708</v>
      </c>
      <c r="M21" s="82" t="s">
        <v>594</v>
      </c>
      <c r="N21" s="82" t="s">
        <v>594</v>
      </c>
      <c r="O21" s="82" t="s">
        <v>594</v>
      </c>
      <c r="P21" s="82" t="s">
        <v>594</v>
      </c>
      <c r="Q21" s="82" t="s">
        <v>594</v>
      </c>
      <c r="R21" s="82" t="s">
        <v>594</v>
      </c>
      <c r="S21" s="82"/>
      <c r="T21" s="82"/>
      <c r="U21" s="82"/>
      <c r="V21" s="82" t="s">
        <v>594</v>
      </c>
      <c r="W21" s="82" t="s">
        <v>594</v>
      </c>
      <c r="X21" s="82"/>
    </row>
    <row r="22" spans="1:24" ht="38.25">
      <c r="A22" s="82" t="s">
        <v>707</v>
      </c>
      <c r="B22" s="82" t="s">
        <v>698</v>
      </c>
      <c r="C22" s="82" t="s">
        <v>666</v>
      </c>
      <c r="D22" s="82" t="s">
        <v>697</v>
      </c>
      <c r="E22" s="82" t="s">
        <v>602</v>
      </c>
      <c r="F22" s="82" t="s">
        <v>663</v>
      </c>
      <c r="G22" s="82" t="s">
        <v>294</v>
      </c>
      <c r="H22" s="82" t="s">
        <v>86</v>
      </c>
      <c r="I22" s="82" t="s">
        <v>83</v>
      </c>
      <c r="J22" s="82" t="s">
        <v>706</v>
      </c>
      <c r="K22" s="82" t="s">
        <v>695</v>
      </c>
      <c r="L22" s="82" t="s">
        <v>705</v>
      </c>
      <c r="M22" s="82" t="s">
        <v>594</v>
      </c>
      <c r="N22" s="82" t="s">
        <v>594</v>
      </c>
      <c r="O22" s="82" t="s">
        <v>594</v>
      </c>
      <c r="P22" s="82" t="s">
        <v>594</v>
      </c>
      <c r="Q22" s="82" t="s">
        <v>594</v>
      </c>
      <c r="R22" s="82" t="s">
        <v>594</v>
      </c>
      <c r="S22" s="82"/>
      <c r="T22" s="82"/>
      <c r="U22" s="82"/>
      <c r="V22" s="82" t="s">
        <v>594</v>
      </c>
      <c r="W22" s="82" t="s">
        <v>23</v>
      </c>
      <c r="X22" s="82" t="s">
        <v>704</v>
      </c>
    </row>
    <row r="23" spans="1:24" ht="25.5">
      <c r="A23" s="82" t="s">
        <v>703</v>
      </c>
      <c r="B23" s="82" t="s">
        <v>698</v>
      </c>
      <c r="C23" s="82" t="s">
        <v>666</v>
      </c>
      <c r="D23" s="82" t="s">
        <v>697</v>
      </c>
      <c r="E23" s="82" t="s">
        <v>602</v>
      </c>
      <c r="F23" s="82" t="s">
        <v>663</v>
      </c>
      <c r="G23" s="82" t="s">
        <v>528</v>
      </c>
      <c r="H23" s="82" t="s">
        <v>530</v>
      </c>
      <c r="I23" s="82" t="s">
        <v>83</v>
      </c>
      <c r="J23" s="82" t="s">
        <v>702</v>
      </c>
      <c r="K23" s="82" t="s">
        <v>695</v>
      </c>
      <c r="L23" s="82" t="s">
        <v>701</v>
      </c>
      <c r="M23" s="82" t="s">
        <v>594</v>
      </c>
      <c r="N23" s="82" t="s">
        <v>594</v>
      </c>
      <c r="O23" s="82" t="s">
        <v>594</v>
      </c>
      <c r="P23" s="82" t="s">
        <v>594</v>
      </c>
      <c r="Q23" s="82" t="s">
        <v>594</v>
      </c>
      <c r="R23" s="82" t="s">
        <v>594</v>
      </c>
      <c r="S23" s="82"/>
      <c r="T23" s="82"/>
      <c r="U23" s="82"/>
      <c r="V23" s="82" t="s">
        <v>594</v>
      </c>
      <c r="W23" s="82" t="s">
        <v>23</v>
      </c>
      <c r="X23" s="82" t="s">
        <v>700</v>
      </c>
    </row>
    <row r="24" spans="1:24" ht="25.5">
      <c r="A24" s="82" t="s">
        <v>699</v>
      </c>
      <c r="B24" s="82" t="s">
        <v>698</v>
      </c>
      <c r="C24" s="82" t="s">
        <v>666</v>
      </c>
      <c r="D24" s="82" t="s">
        <v>697</v>
      </c>
      <c r="E24" s="82" t="s">
        <v>602</v>
      </c>
      <c r="F24" s="82" t="s">
        <v>663</v>
      </c>
      <c r="G24" s="82" t="s">
        <v>538</v>
      </c>
      <c r="H24" s="82" t="s">
        <v>662</v>
      </c>
      <c r="I24" s="82" t="s">
        <v>661</v>
      </c>
      <c r="J24" s="82" t="s">
        <v>696</v>
      </c>
      <c r="K24" s="82" t="s">
        <v>695</v>
      </c>
      <c r="L24" s="82" t="s">
        <v>694</v>
      </c>
      <c r="M24" s="82" t="s">
        <v>594</v>
      </c>
      <c r="N24" s="82" t="s">
        <v>594</v>
      </c>
      <c r="O24" s="82" t="s">
        <v>594</v>
      </c>
      <c r="P24" s="82" t="s">
        <v>594</v>
      </c>
      <c r="Q24" s="82" t="s">
        <v>594</v>
      </c>
      <c r="R24" s="82" t="s">
        <v>594</v>
      </c>
      <c r="S24" s="82"/>
      <c r="T24" s="82"/>
      <c r="U24" s="82"/>
      <c r="V24" s="82" t="s">
        <v>594</v>
      </c>
      <c r="W24" s="82" t="s">
        <v>23</v>
      </c>
      <c r="X24" s="82" t="s">
        <v>693</v>
      </c>
    </row>
    <row r="25" spans="1:24" ht="25.5">
      <c r="A25" s="82" t="s">
        <v>692</v>
      </c>
      <c r="B25" s="82" t="s">
        <v>667</v>
      </c>
      <c r="C25" s="82" t="s">
        <v>666</v>
      </c>
      <c r="D25" s="82" t="s">
        <v>665</v>
      </c>
      <c r="E25" s="82" t="s">
        <v>664</v>
      </c>
      <c r="F25" s="82" t="s">
        <v>663</v>
      </c>
      <c r="G25" s="82" t="s">
        <v>242</v>
      </c>
      <c r="H25" s="82" t="s">
        <v>20</v>
      </c>
      <c r="I25" s="82" t="s">
        <v>15</v>
      </c>
      <c r="J25" s="82" t="s">
        <v>691</v>
      </c>
      <c r="K25" s="82" t="s">
        <v>659</v>
      </c>
      <c r="L25" s="82" t="s">
        <v>690</v>
      </c>
      <c r="M25" s="82" t="s">
        <v>594</v>
      </c>
      <c r="N25" s="82" t="s">
        <v>594</v>
      </c>
      <c r="O25" s="82" t="s">
        <v>594</v>
      </c>
      <c r="P25" s="82" t="s">
        <v>594</v>
      </c>
      <c r="Q25" s="82" t="s">
        <v>594</v>
      </c>
      <c r="R25" s="82" t="s">
        <v>594</v>
      </c>
      <c r="S25" s="82"/>
      <c r="T25" s="82"/>
      <c r="U25" s="82"/>
      <c r="V25" s="82" t="s">
        <v>594</v>
      </c>
      <c r="W25" s="82" t="s">
        <v>594</v>
      </c>
      <c r="X25" s="82"/>
    </row>
    <row r="26" spans="1:24" ht="25.5">
      <c r="A26" s="82" t="s">
        <v>689</v>
      </c>
      <c r="B26" s="82" t="s">
        <v>667</v>
      </c>
      <c r="C26" s="82" t="s">
        <v>666</v>
      </c>
      <c r="D26" s="82" t="s">
        <v>665</v>
      </c>
      <c r="E26" s="82" t="s">
        <v>664</v>
      </c>
      <c r="F26" s="82" t="s">
        <v>663</v>
      </c>
      <c r="G26" s="82" t="s">
        <v>258</v>
      </c>
      <c r="H26" s="82" t="s">
        <v>30</v>
      </c>
      <c r="I26" s="82" t="s">
        <v>15</v>
      </c>
      <c r="J26" s="82" t="s">
        <v>688</v>
      </c>
      <c r="K26" s="82" t="s">
        <v>659</v>
      </c>
      <c r="L26" s="82" t="s">
        <v>687</v>
      </c>
      <c r="M26" s="82" t="s">
        <v>594</v>
      </c>
      <c r="N26" s="82" t="s">
        <v>594</v>
      </c>
      <c r="O26" s="82" t="s">
        <v>594</v>
      </c>
      <c r="P26" s="82" t="s">
        <v>594</v>
      </c>
      <c r="Q26" s="82" t="s">
        <v>594</v>
      </c>
      <c r="R26" s="82" t="s">
        <v>594</v>
      </c>
      <c r="S26" s="82"/>
      <c r="T26" s="82"/>
      <c r="U26" s="82"/>
      <c r="V26" s="82" t="s">
        <v>594</v>
      </c>
      <c r="W26" s="82" t="s">
        <v>594</v>
      </c>
      <c r="X26" s="82"/>
    </row>
    <row r="27" spans="1:24" ht="25.5">
      <c r="A27" s="82" t="s">
        <v>686</v>
      </c>
      <c r="B27" s="82" t="s">
        <v>667</v>
      </c>
      <c r="C27" s="82" t="s">
        <v>666</v>
      </c>
      <c r="D27" s="82" t="s">
        <v>665</v>
      </c>
      <c r="E27" s="82" t="s">
        <v>664</v>
      </c>
      <c r="F27" s="82" t="s">
        <v>663</v>
      </c>
      <c r="G27" s="82" t="s">
        <v>265</v>
      </c>
      <c r="H27" s="82" t="s">
        <v>42</v>
      </c>
      <c r="I27" s="82" t="s">
        <v>640</v>
      </c>
      <c r="J27" s="82" t="s">
        <v>685</v>
      </c>
      <c r="K27" s="82" t="s">
        <v>659</v>
      </c>
      <c r="L27" s="82" t="s">
        <v>684</v>
      </c>
      <c r="M27" s="82" t="s">
        <v>594</v>
      </c>
      <c r="N27" s="82" t="s">
        <v>594</v>
      </c>
      <c r="O27" s="82" t="s">
        <v>594</v>
      </c>
      <c r="P27" s="82" t="s">
        <v>594</v>
      </c>
      <c r="Q27" s="82" t="s">
        <v>594</v>
      </c>
      <c r="R27" s="82" t="s">
        <v>594</v>
      </c>
      <c r="S27" s="82"/>
      <c r="T27" s="82"/>
      <c r="U27" s="82"/>
      <c r="V27" s="82" t="s">
        <v>594</v>
      </c>
      <c r="W27" s="82" t="s">
        <v>594</v>
      </c>
      <c r="X27" s="82"/>
    </row>
    <row r="28" spans="1:24" ht="25.5">
      <c r="A28" s="82" t="s">
        <v>683</v>
      </c>
      <c r="B28" s="82" t="s">
        <v>667</v>
      </c>
      <c r="C28" s="82" t="s">
        <v>666</v>
      </c>
      <c r="D28" s="82" t="s">
        <v>665</v>
      </c>
      <c r="E28" s="82" t="s">
        <v>664</v>
      </c>
      <c r="F28" s="82" t="s">
        <v>663</v>
      </c>
      <c r="G28" s="82" t="s">
        <v>272</v>
      </c>
      <c r="H28" s="82" t="s">
        <v>52</v>
      </c>
      <c r="I28" s="82" t="s">
        <v>37</v>
      </c>
      <c r="J28" s="82" t="s">
        <v>682</v>
      </c>
      <c r="K28" s="82" t="s">
        <v>659</v>
      </c>
      <c r="L28" s="82" t="s">
        <v>681</v>
      </c>
      <c r="M28" s="82" t="s">
        <v>594</v>
      </c>
      <c r="N28" s="82" t="s">
        <v>594</v>
      </c>
      <c r="O28" s="82" t="s">
        <v>594</v>
      </c>
      <c r="P28" s="82" t="s">
        <v>594</v>
      </c>
      <c r="Q28" s="82" t="s">
        <v>594</v>
      </c>
      <c r="R28" s="82" t="s">
        <v>594</v>
      </c>
      <c r="S28" s="82"/>
      <c r="T28" s="82"/>
      <c r="U28" s="82"/>
      <c r="V28" s="82" t="s">
        <v>594</v>
      </c>
      <c r="W28" s="82" t="s">
        <v>594</v>
      </c>
      <c r="X28" s="82"/>
    </row>
    <row r="29" spans="1:24" ht="25.5">
      <c r="A29" s="82" t="s">
        <v>680</v>
      </c>
      <c r="B29" s="82" t="s">
        <v>667</v>
      </c>
      <c r="C29" s="82" t="s">
        <v>666</v>
      </c>
      <c r="D29" s="82" t="s">
        <v>665</v>
      </c>
      <c r="E29" s="82" t="s">
        <v>664</v>
      </c>
      <c r="F29" s="82" t="s">
        <v>663</v>
      </c>
      <c r="G29" s="82" t="s">
        <v>280</v>
      </c>
      <c r="H29" s="82" t="s">
        <v>63</v>
      </c>
      <c r="I29" s="82" t="s">
        <v>15</v>
      </c>
      <c r="J29" s="82" t="s">
        <v>679</v>
      </c>
      <c r="K29" s="82" t="s">
        <v>659</v>
      </c>
      <c r="L29" s="82" t="s">
        <v>678</v>
      </c>
      <c r="M29" s="82" t="s">
        <v>594</v>
      </c>
      <c r="N29" s="82" t="s">
        <v>594</v>
      </c>
      <c r="O29" s="82" t="s">
        <v>594</v>
      </c>
      <c r="P29" s="82" t="s">
        <v>594</v>
      </c>
      <c r="Q29" s="82" t="s">
        <v>594</v>
      </c>
      <c r="R29" s="82" t="s">
        <v>594</v>
      </c>
      <c r="S29" s="82"/>
      <c r="T29" s="82"/>
      <c r="U29" s="82"/>
      <c r="V29" s="82" t="s">
        <v>594</v>
      </c>
      <c r="W29" s="82" t="s">
        <v>594</v>
      </c>
      <c r="X29" s="82"/>
    </row>
    <row r="30" spans="1:24" ht="25.5">
      <c r="A30" s="82" t="s">
        <v>677</v>
      </c>
      <c r="B30" s="82" t="s">
        <v>667</v>
      </c>
      <c r="C30" s="82" t="s">
        <v>666</v>
      </c>
      <c r="D30" s="82" t="s">
        <v>665</v>
      </c>
      <c r="E30" s="82" t="s">
        <v>664</v>
      </c>
      <c r="F30" s="82" t="s">
        <v>663</v>
      </c>
      <c r="G30" s="82" t="s">
        <v>287</v>
      </c>
      <c r="H30" s="82" t="s">
        <v>76</v>
      </c>
      <c r="I30" s="82" t="s">
        <v>71</v>
      </c>
      <c r="J30" s="82" t="s">
        <v>676</v>
      </c>
      <c r="K30" s="82" t="s">
        <v>659</v>
      </c>
      <c r="L30" s="82" t="s">
        <v>675</v>
      </c>
      <c r="M30" s="82" t="s">
        <v>594</v>
      </c>
      <c r="N30" s="82" t="s">
        <v>594</v>
      </c>
      <c r="O30" s="82" t="s">
        <v>594</v>
      </c>
      <c r="P30" s="82" t="s">
        <v>594</v>
      </c>
      <c r="Q30" s="82" t="s">
        <v>594</v>
      </c>
      <c r="R30" s="82" t="s">
        <v>594</v>
      </c>
      <c r="S30" s="82"/>
      <c r="T30" s="82"/>
      <c r="U30" s="82"/>
      <c r="V30" s="82" t="s">
        <v>594</v>
      </c>
      <c r="W30" s="82" t="s">
        <v>594</v>
      </c>
      <c r="X30" s="82"/>
    </row>
    <row r="31" spans="1:24" ht="25.5">
      <c r="A31" s="82" t="s">
        <v>674</v>
      </c>
      <c r="B31" s="82" t="s">
        <v>667</v>
      </c>
      <c r="C31" s="82" t="s">
        <v>666</v>
      </c>
      <c r="D31" s="82" t="s">
        <v>665</v>
      </c>
      <c r="E31" s="82" t="s">
        <v>664</v>
      </c>
      <c r="F31" s="82" t="s">
        <v>663</v>
      </c>
      <c r="G31" s="82" t="s">
        <v>294</v>
      </c>
      <c r="H31" s="82" t="s">
        <v>86</v>
      </c>
      <c r="I31" s="82" t="s">
        <v>83</v>
      </c>
      <c r="J31" s="82" t="s">
        <v>673</v>
      </c>
      <c r="K31" s="82" t="s">
        <v>659</v>
      </c>
      <c r="L31" s="82" t="s">
        <v>658</v>
      </c>
      <c r="M31" s="82" t="s">
        <v>594</v>
      </c>
      <c r="N31" s="82" t="s">
        <v>594</v>
      </c>
      <c r="O31" s="82" t="s">
        <v>594</v>
      </c>
      <c r="P31" s="82" t="s">
        <v>594</v>
      </c>
      <c r="Q31" s="82" t="s">
        <v>594</v>
      </c>
      <c r="R31" s="82" t="s">
        <v>594</v>
      </c>
      <c r="S31" s="82"/>
      <c r="T31" s="82"/>
      <c r="U31" s="82"/>
      <c r="V31" s="82" t="s">
        <v>594</v>
      </c>
      <c r="W31" s="82" t="s">
        <v>23</v>
      </c>
      <c r="X31" s="82" t="s">
        <v>672</v>
      </c>
    </row>
    <row r="32" spans="1:24" ht="25.5">
      <c r="A32" s="82" t="s">
        <v>671</v>
      </c>
      <c r="B32" s="82" t="s">
        <v>667</v>
      </c>
      <c r="C32" s="82" t="s">
        <v>666</v>
      </c>
      <c r="D32" s="82" t="s">
        <v>665</v>
      </c>
      <c r="E32" s="82" t="s">
        <v>664</v>
      </c>
      <c r="F32" s="82" t="s">
        <v>663</v>
      </c>
      <c r="G32" s="82" t="s">
        <v>528</v>
      </c>
      <c r="H32" s="82" t="s">
        <v>530</v>
      </c>
      <c r="I32" s="82" t="s">
        <v>83</v>
      </c>
      <c r="J32" s="82" t="s">
        <v>670</v>
      </c>
      <c r="K32" s="82" t="s">
        <v>659</v>
      </c>
      <c r="L32" s="82" t="s">
        <v>658</v>
      </c>
      <c r="M32" s="82" t="s">
        <v>594</v>
      </c>
      <c r="N32" s="82" t="s">
        <v>594</v>
      </c>
      <c r="O32" s="82" t="s">
        <v>594</v>
      </c>
      <c r="P32" s="82" t="s">
        <v>594</v>
      </c>
      <c r="Q32" s="82" t="s">
        <v>594</v>
      </c>
      <c r="R32" s="82" t="s">
        <v>594</v>
      </c>
      <c r="S32" s="82"/>
      <c r="T32" s="82"/>
      <c r="U32" s="82"/>
      <c r="V32" s="82" t="s">
        <v>594</v>
      </c>
      <c r="W32" s="82" t="s">
        <v>23</v>
      </c>
      <c r="X32" s="82" t="s">
        <v>669</v>
      </c>
    </row>
    <row r="33" spans="1:24" ht="25.5">
      <c r="A33" s="82" t="s">
        <v>668</v>
      </c>
      <c r="B33" s="82" t="s">
        <v>667</v>
      </c>
      <c r="C33" s="82" t="s">
        <v>666</v>
      </c>
      <c r="D33" s="82" t="s">
        <v>665</v>
      </c>
      <c r="E33" s="82" t="s">
        <v>664</v>
      </c>
      <c r="F33" s="82" t="s">
        <v>663</v>
      </c>
      <c r="G33" s="82" t="s">
        <v>538</v>
      </c>
      <c r="H33" s="82" t="s">
        <v>662</v>
      </c>
      <c r="I33" s="82" t="s">
        <v>661</v>
      </c>
      <c r="J33" s="82" t="s">
        <v>660</v>
      </c>
      <c r="K33" s="82" t="s">
        <v>659</v>
      </c>
      <c r="L33" s="82" t="s">
        <v>658</v>
      </c>
      <c r="M33" s="82" t="s">
        <v>594</v>
      </c>
      <c r="N33" s="82" t="s">
        <v>594</v>
      </c>
      <c r="O33" s="82" t="s">
        <v>594</v>
      </c>
      <c r="P33" s="82" t="s">
        <v>594</v>
      </c>
      <c r="Q33" s="82" t="s">
        <v>594</v>
      </c>
      <c r="R33" s="82" t="s">
        <v>594</v>
      </c>
      <c r="S33" s="82"/>
      <c r="T33" s="82"/>
      <c r="U33" s="82"/>
      <c r="V33" s="82" t="s">
        <v>594</v>
      </c>
      <c r="W33" s="82" t="s">
        <v>23</v>
      </c>
      <c r="X33" s="82" t="s">
        <v>657</v>
      </c>
    </row>
    <row r="34" spans="1:24" ht="38.25">
      <c r="A34" s="82" t="s">
        <v>656</v>
      </c>
      <c r="B34" s="82" t="s">
        <v>623</v>
      </c>
      <c r="C34" s="82" t="s">
        <v>622</v>
      </c>
      <c r="D34" s="82" t="s">
        <v>655</v>
      </c>
      <c r="E34" s="82" t="s">
        <v>602</v>
      </c>
      <c r="F34" s="82" t="s">
        <v>654</v>
      </c>
      <c r="G34" s="82" t="s">
        <v>619</v>
      </c>
      <c r="H34" s="82" t="s">
        <v>653</v>
      </c>
      <c r="I34" s="82" t="s">
        <v>37</v>
      </c>
      <c r="J34" s="82" t="s">
        <v>652</v>
      </c>
      <c r="K34" s="82" t="s">
        <v>617</v>
      </c>
      <c r="L34" s="82" t="s">
        <v>651</v>
      </c>
      <c r="M34" s="82" t="s">
        <v>594</v>
      </c>
      <c r="N34" s="82" t="s">
        <v>594</v>
      </c>
      <c r="O34" s="82" t="s">
        <v>594</v>
      </c>
      <c r="P34" s="82" t="s">
        <v>594</v>
      </c>
      <c r="Q34" s="82" t="s">
        <v>594</v>
      </c>
      <c r="R34" s="82" t="s">
        <v>594</v>
      </c>
      <c r="S34" s="82"/>
      <c r="T34" s="82"/>
      <c r="U34" s="82"/>
      <c r="V34" s="82" t="s">
        <v>594</v>
      </c>
      <c r="W34" s="82" t="s">
        <v>333</v>
      </c>
      <c r="X34" s="82" t="s">
        <v>650</v>
      </c>
    </row>
    <row r="35" spans="1:24" ht="25.5">
      <c r="A35" s="82" t="s">
        <v>649</v>
      </c>
      <c r="B35" s="82" t="s">
        <v>623</v>
      </c>
      <c r="C35" s="82" t="s">
        <v>622</v>
      </c>
      <c r="D35" s="82" t="s">
        <v>648</v>
      </c>
      <c r="E35" s="82" t="s">
        <v>602</v>
      </c>
      <c r="F35" s="82" t="s">
        <v>647</v>
      </c>
      <c r="G35" s="82" t="s">
        <v>272</v>
      </c>
      <c r="H35" s="82" t="s">
        <v>52</v>
      </c>
      <c r="I35" s="82" t="s">
        <v>37</v>
      </c>
      <c r="J35" s="82" t="s">
        <v>646</v>
      </c>
      <c r="K35" s="82" t="s">
        <v>617</v>
      </c>
      <c r="L35" s="82" t="s">
        <v>645</v>
      </c>
      <c r="M35" s="82" t="s">
        <v>594</v>
      </c>
      <c r="N35" s="82" t="s">
        <v>594</v>
      </c>
      <c r="O35" s="82" t="s">
        <v>594</v>
      </c>
      <c r="P35" s="82" t="s">
        <v>594</v>
      </c>
      <c r="Q35" s="82" t="s">
        <v>594</v>
      </c>
      <c r="R35" s="82" t="s">
        <v>594</v>
      </c>
      <c r="S35" s="82"/>
      <c r="T35" s="82"/>
      <c r="U35" s="82"/>
      <c r="V35" s="82" t="s">
        <v>594</v>
      </c>
      <c r="W35" s="82" t="s">
        <v>333</v>
      </c>
      <c r="X35" s="82" t="s">
        <v>644</v>
      </c>
    </row>
    <row r="36" spans="1:24" ht="25.5">
      <c r="A36" s="82" t="s">
        <v>643</v>
      </c>
      <c r="B36" s="82" t="s">
        <v>623</v>
      </c>
      <c r="C36" s="82" t="s">
        <v>622</v>
      </c>
      <c r="D36" s="82" t="s">
        <v>642</v>
      </c>
      <c r="E36" s="82" t="s">
        <v>602</v>
      </c>
      <c r="F36" s="82" t="s">
        <v>641</v>
      </c>
      <c r="G36" s="82" t="s">
        <v>265</v>
      </c>
      <c r="H36" s="82" t="s">
        <v>42</v>
      </c>
      <c r="I36" s="82" t="s">
        <v>640</v>
      </c>
      <c r="J36" s="82" t="s">
        <v>639</v>
      </c>
      <c r="K36" s="82" t="s">
        <v>617</v>
      </c>
      <c r="L36" s="82" t="s">
        <v>638</v>
      </c>
      <c r="M36" s="82" t="s">
        <v>594</v>
      </c>
      <c r="N36" s="82" t="s">
        <v>594</v>
      </c>
      <c r="O36" s="82" t="s">
        <v>594</v>
      </c>
      <c r="P36" s="82" t="s">
        <v>594</v>
      </c>
      <c r="Q36" s="82" t="s">
        <v>594</v>
      </c>
      <c r="R36" s="82" t="s">
        <v>594</v>
      </c>
      <c r="S36" s="82"/>
      <c r="T36" s="82"/>
      <c r="U36" s="82"/>
      <c r="V36" s="82" t="s">
        <v>594</v>
      </c>
      <c r="W36" s="82" t="s">
        <v>333</v>
      </c>
      <c r="X36" s="82" t="s">
        <v>637</v>
      </c>
    </row>
    <row r="37" spans="1:24">
      <c r="A37" s="82" t="s">
        <v>636</v>
      </c>
      <c r="B37" s="82" t="s">
        <v>623</v>
      </c>
      <c r="C37" s="82" t="s">
        <v>622</v>
      </c>
      <c r="D37" s="82" t="s">
        <v>635</v>
      </c>
      <c r="E37" s="82" t="s">
        <v>602</v>
      </c>
      <c r="F37" s="82" t="s">
        <v>634</v>
      </c>
      <c r="G37" s="82" t="s">
        <v>265</v>
      </c>
      <c r="H37" s="82" t="s">
        <v>42</v>
      </c>
      <c r="I37" s="82" t="s">
        <v>37</v>
      </c>
      <c r="J37" s="82" t="s">
        <v>633</v>
      </c>
      <c r="K37" s="82" t="s">
        <v>617</v>
      </c>
      <c r="L37" s="82" t="s">
        <v>632</v>
      </c>
      <c r="M37" s="82" t="s">
        <v>594</v>
      </c>
      <c r="N37" s="82" t="s">
        <v>594</v>
      </c>
      <c r="O37" s="82" t="s">
        <v>594</v>
      </c>
      <c r="P37" s="82" t="s">
        <v>594</v>
      </c>
      <c r="Q37" s="82" t="s">
        <v>594</v>
      </c>
      <c r="R37" s="82" t="s">
        <v>594</v>
      </c>
      <c r="S37" s="82"/>
      <c r="T37" s="82"/>
      <c r="U37" s="82"/>
      <c r="V37" s="82" t="s">
        <v>594</v>
      </c>
      <c r="W37" s="82" t="s">
        <v>333</v>
      </c>
      <c r="X37" s="82" t="s">
        <v>631</v>
      </c>
    </row>
    <row r="38" spans="1:24">
      <c r="A38" s="82" t="s">
        <v>630</v>
      </c>
      <c r="B38" s="82" t="s">
        <v>623</v>
      </c>
      <c r="C38" s="82" t="s">
        <v>622</v>
      </c>
      <c r="D38" s="82" t="s">
        <v>629</v>
      </c>
      <c r="E38" s="82" t="s">
        <v>602</v>
      </c>
      <c r="F38" s="82" t="s">
        <v>628</v>
      </c>
      <c r="G38" s="82" t="s">
        <v>280</v>
      </c>
      <c r="H38" s="82" t="s">
        <v>63</v>
      </c>
      <c r="I38" s="82" t="s">
        <v>15</v>
      </c>
      <c r="J38" s="82" t="s">
        <v>627</v>
      </c>
      <c r="K38" s="82" t="s">
        <v>617</v>
      </c>
      <c r="L38" s="82" t="s">
        <v>626</v>
      </c>
      <c r="M38" s="82" t="s">
        <v>594</v>
      </c>
      <c r="N38" s="82" t="s">
        <v>594</v>
      </c>
      <c r="O38" s="82" t="s">
        <v>594</v>
      </c>
      <c r="P38" s="82" t="s">
        <v>594</v>
      </c>
      <c r="Q38" s="82" t="s">
        <v>594</v>
      </c>
      <c r="R38" s="82" t="s">
        <v>594</v>
      </c>
      <c r="S38" s="82"/>
      <c r="T38" s="82"/>
      <c r="U38" s="82"/>
      <c r="V38" s="82" t="s">
        <v>594</v>
      </c>
      <c r="W38" s="82" t="s">
        <v>333</v>
      </c>
      <c r="X38" s="82" t="s">
        <v>625</v>
      </c>
    </row>
    <row r="39" spans="1:24">
      <c r="A39" s="82" t="s">
        <v>624</v>
      </c>
      <c r="B39" s="82" t="s">
        <v>623</v>
      </c>
      <c r="C39" s="82" t="s">
        <v>622</v>
      </c>
      <c r="D39" s="82" t="s">
        <v>621</v>
      </c>
      <c r="E39" s="82" t="s">
        <v>602</v>
      </c>
      <c r="F39" s="82" t="s">
        <v>620</v>
      </c>
      <c r="G39" s="82" t="s">
        <v>619</v>
      </c>
      <c r="H39" s="82" t="s">
        <v>599</v>
      </c>
      <c r="I39" s="82" t="s">
        <v>37</v>
      </c>
      <c r="J39" s="82" t="s">
        <v>618</v>
      </c>
      <c r="K39" s="82" t="s">
        <v>617</v>
      </c>
      <c r="L39" s="82" t="s">
        <v>616</v>
      </c>
      <c r="M39" s="82" t="s">
        <v>594</v>
      </c>
      <c r="N39" s="82" t="s">
        <v>594</v>
      </c>
      <c r="O39" s="82" t="s">
        <v>594</v>
      </c>
      <c r="P39" s="82" t="s">
        <v>594</v>
      </c>
      <c r="Q39" s="82" t="s">
        <v>594</v>
      </c>
      <c r="R39" s="82" t="s">
        <v>594</v>
      </c>
      <c r="S39" s="82"/>
      <c r="T39" s="82"/>
      <c r="U39" s="82"/>
      <c r="V39" s="82" t="s">
        <v>594</v>
      </c>
      <c r="W39" s="82" t="s">
        <v>333</v>
      </c>
      <c r="X39" s="82" t="s">
        <v>615</v>
      </c>
    </row>
    <row r="40" spans="1:24" ht="25.5">
      <c r="A40" s="82" t="s">
        <v>614</v>
      </c>
      <c r="B40" s="82" t="s">
        <v>605</v>
      </c>
      <c r="C40" s="82" t="s">
        <v>604</v>
      </c>
      <c r="D40" s="82" t="s">
        <v>613</v>
      </c>
      <c r="E40" s="82" t="s">
        <v>602</v>
      </c>
      <c r="F40" s="82" t="s">
        <v>612</v>
      </c>
      <c r="G40" s="82" t="s">
        <v>611</v>
      </c>
      <c r="H40" s="82" t="s">
        <v>599</v>
      </c>
      <c r="I40" s="82" t="s">
        <v>610</v>
      </c>
      <c r="J40" s="82" t="s">
        <v>609</v>
      </c>
      <c r="K40" s="82" t="s">
        <v>596</v>
      </c>
      <c r="L40" s="82" t="s">
        <v>608</v>
      </c>
      <c r="M40" s="82" t="s">
        <v>594</v>
      </c>
      <c r="N40" s="82" t="s">
        <v>594</v>
      </c>
      <c r="O40" s="82" t="s">
        <v>594</v>
      </c>
      <c r="P40" s="82" t="s">
        <v>594</v>
      </c>
      <c r="Q40" s="82" t="s">
        <v>594</v>
      </c>
      <c r="R40" s="82" t="s">
        <v>594</v>
      </c>
      <c r="S40" s="82"/>
      <c r="T40" s="82"/>
      <c r="U40" s="82"/>
      <c r="V40" s="82" t="s">
        <v>594</v>
      </c>
      <c r="W40" s="82" t="s">
        <v>333</v>
      </c>
      <c r="X40" s="82" t="s">
        <v>607</v>
      </c>
    </row>
    <row r="41" spans="1:24" ht="25.5">
      <c r="A41" s="82" t="s">
        <v>606</v>
      </c>
      <c r="B41" s="82" t="s">
        <v>605</v>
      </c>
      <c r="C41" s="82" t="s">
        <v>604</v>
      </c>
      <c r="D41" s="82" t="s">
        <v>603</v>
      </c>
      <c r="E41" s="82" t="s">
        <v>602</v>
      </c>
      <c r="F41" s="82" t="s">
        <v>601</v>
      </c>
      <c r="G41" s="82" t="s">
        <v>600</v>
      </c>
      <c r="H41" s="82" t="s">
        <v>599</v>
      </c>
      <c r="I41" s="82" t="s">
        <v>598</v>
      </c>
      <c r="J41" s="82" t="s">
        <v>597</v>
      </c>
      <c r="K41" s="82" t="s">
        <v>596</v>
      </c>
      <c r="L41" s="82" t="s">
        <v>595</v>
      </c>
      <c r="M41" s="82" t="s">
        <v>594</v>
      </c>
      <c r="N41" s="82" t="s">
        <v>594</v>
      </c>
      <c r="O41" s="82" t="s">
        <v>594</v>
      </c>
      <c r="P41" s="82" t="s">
        <v>594</v>
      </c>
      <c r="Q41" s="82" t="s">
        <v>594</v>
      </c>
      <c r="R41" s="82" t="s">
        <v>594</v>
      </c>
      <c r="S41" s="82"/>
      <c r="T41" s="82"/>
      <c r="U41" s="82"/>
      <c r="V41" s="82" t="s">
        <v>594</v>
      </c>
      <c r="W41" s="82" t="s">
        <v>333</v>
      </c>
      <c r="X41" s="82" t="s">
        <v>593</v>
      </c>
    </row>
    <row r="42" spans="1:24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</row>
    <row r="43" spans="1:24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</row>
    <row r="44" spans="1:2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</row>
    <row r="45" spans="1:24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</row>
    <row r="46" spans="1:24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</row>
    <row r="47" spans="1:24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</row>
    <row r="48" spans="1:24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</row>
    <row r="49" spans="1:24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</row>
    <row r="50" spans="1:24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</row>
    <row r="51" spans="1:24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</row>
    <row r="52" spans="1:24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</row>
    <row r="53" spans="1:24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</row>
    <row r="54" spans="1:2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</row>
    <row r="55" spans="1:24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</row>
    <row r="56" spans="1:24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</row>
    <row r="57" spans="1:24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</row>
    <row r="58" spans="1:24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</row>
    <row r="59" spans="1:24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</row>
    <row r="60" spans="1:24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</row>
    <row r="61" spans="1:24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</row>
    <row r="62" spans="1:24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</row>
    <row r="63" spans="1:24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</row>
    <row r="64" spans="1:2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</row>
    <row r="65" spans="1:24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</row>
    <row r="66" spans="1:24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</row>
    <row r="67" spans="1:24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</row>
    <row r="68" spans="1:24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</row>
    <row r="69" spans="1:24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</row>
    <row r="70" spans="1:24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</row>
    <row r="71" spans="1:24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</row>
    <row r="72" spans="1:24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</row>
    <row r="73" spans="1:24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</row>
    <row r="74" spans="1:2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</row>
    <row r="75" spans="1:24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</row>
    <row r="76" spans="1:24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</row>
    <row r="77" spans="1:24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</row>
    <row r="78" spans="1:24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</row>
    <row r="79" spans="1:24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</row>
    <row r="80" spans="1:24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</row>
    <row r="81" spans="1:24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</row>
    <row r="82" spans="1:24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</row>
    <row r="83" spans="1:24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</row>
    <row r="84" spans="1:2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</row>
    <row r="85" spans="1:24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</row>
    <row r="86" spans="1:24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</row>
    <row r="87" spans="1:24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</row>
    <row r="88" spans="1:24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</row>
    <row r="89" spans="1:24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</row>
    <row r="90" spans="1:24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</row>
    <row r="91" spans="1:24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</row>
    <row r="92" spans="1:24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</row>
    <row r="93" spans="1:24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</row>
    <row r="94" spans="1:2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</row>
    <row r="95" spans="1:24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</row>
    <row r="96" spans="1:24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</row>
    <row r="97" spans="1:24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</row>
    <row r="98" spans="1:24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</row>
    <row r="99" spans="1:24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</row>
    <row r="100" spans="1:24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</row>
    <row r="101" spans="1:24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</row>
    <row r="102" spans="1:24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</row>
    <row r="103" spans="1:24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</row>
    <row r="104" spans="1:2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</row>
    <row r="105" spans="1:24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</row>
    <row r="106" spans="1:24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</row>
    <row r="107" spans="1:24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</row>
    <row r="108" spans="1:24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</row>
    <row r="109" spans="1:24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</row>
    <row r="110" spans="1:24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</row>
    <row r="111" spans="1:24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</row>
    <row r="112" spans="1:24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</row>
    <row r="113" spans="1:24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</row>
    <row r="114" spans="1:2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</row>
    <row r="115" spans="1:24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</row>
    <row r="116" spans="1:24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</row>
    <row r="117" spans="1:24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</row>
    <row r="118" spans="1:24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</row>
    <row r="119" spans="1:24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</row>
    <row r="120" spans="1:24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</row>
    <row r="121" spans="1:24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</row>
    <row r="122" spans="1:24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</row>
    <row r="123" spans="1:24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</row>
    <row r="124" spans="1: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</row>
    <row r="125" spans="1:24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</row>
    <row r="126" spans="1:24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</row>
    <row r="127" spans="1:24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</row>
    <row r="128" spans="1:24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</row>
    <row r="129" spans="1:24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</row>
    <row r="130" spans="1:24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</row>
    <row r="131" spans="1:24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</row>
    <row r="132" spans="1:24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</row>
    <row r="133" spans="1:24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</row>
    <row r="134" spans="1:2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</row>
    <row r="135" spans="1:24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</row>
    <row r="136" spans="1:24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</row>
    <row r="137" spans="1:24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</row>
    <row r="138" spans="1:24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</row>
    <row r="139" spans="1:24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</row>
    <row r="140" spans="1:24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</row>
    <row r="141" spans="1:24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</row>
    <row r="142" spans="1:24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</row>
    <row r="143" spans="1:24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</row>
    <row r="144" spans="1:2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</row>
    <row r="145" spans="1:24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</row>
    <row r="146" spans="1:24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</row>
    <row r="147" spans="1:24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</row>
    <row r="148" spans="1:24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</row>
    <row r="149" spans="1:24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</row>
    <row r="150" spans="1:24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</row>
    <row r="151" spans="1:24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</row>
    <row r="152" spans="1:24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</row>
    <row r="153" spans="1:24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</row>
    <row r="154" spans="1:2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</row>
    <row r="155" spans="1:24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</row>
    <row r="156" spans="1:24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</row>
    <row r="157" spans="1:24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</row>
    <row r="158" spans="1:24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</row>
    <row r="159" spans="1:24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</row>
    <row r="160" spans="1:24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</row>
    <row r="161" spans="1:24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</row>
    <row r="162" spans="1:24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</row>
    <row r="163" spans="1:24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</row>
    <row r="164" spans="1:2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</row>
    <row r="165" spans="1:24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</row>
    <row r="166" spans="1:24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</row>
    <row r="167" spans="1:24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</row>
    <row r="168" spans="1:24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</row>
    <row r="169" spans="1:24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</row>
    <row r="170" spans="1:24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</row>
    <row r="171" spans="1:24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</row>
    <row r="172" spans="1:24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</row>
    <row r="173" spans="1:24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</row>
    <row r="174" spans="1:2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</row>
    <row r="175" spans="1:24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</row>
    <row r="176" spans="1:24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</row>
    <row r="177" spans="1:24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</row>
    <row r="178" spans="1:24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</row>
    <row r="179" spans="1:24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</row>
    <row r="180" spans="1:24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</row>
    <row r="181" spans="1:24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</row>
    <row r="182" spans="1:24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</row>
    <row r="183" spans="1:24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</row>
    <row r="184" spans="1:2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</row>
    <row r="185" spans="1:24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</row>
    <row r="186" spans="1:24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</row>
    <row r="187" spans="1:24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</row>
    <row r="188" spans="1:24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</row>
    <row r="189" spans="1:24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</row>
    <row r="190" spans="1:24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</row>
    <row r="191" spans="1:24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</row>
    <row r="192" spans="1:24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</row>
    <row r="193" spans="1:24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</row>
    <row r="194" spans="1:2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</row>
    <row r="195" spans="1:24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</row>
    <row r="196" spans="1:24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</row>
    <row r="197" spans="1:24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</row>
    <row r="198" spans="1:24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</row>
    <row r="199" spans="1:24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</row>
    <row r="200" spans="1:24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</row>
  </sheetData>
  <conditionalFormatting sqref="M2:M41">
    <cfRule type="expression" dxfId="98" priority="1">
      <formula>$M2="Sí"</formula>
    </cfRule>
    <cfRule type="expression" dxfId="97" priority="2">
      <formula>$M2="Parcial"</formula>
    </cfRule>
    <cfRule type="expression" dxfId="96" priority="3">
      <formula>$M2="No"</formula>
    </cfRule>
    <cfRule type="expression" dxfId="95" priority="4">
      <formula>$M2="Error"</formula>
    </cfRule>
    <cfRule type="expression" dxfId="94" priority="5">
      <formula>$M2="Pendiente"</formula>
    </cfRule>
  </conditionalFormatting>
  <conditionalFormatting sqref="N2:N41">
    <cfRule type="expression" dxfId="93" priority="6">
      <formula>$N2="Sí"</formula>
    </cfRule>
    <cfRule type="expression" dxfId="92" priority="7">
      <formula>$N2="Parcial"</formula>
    </cfRule>
    <cfRule type="expression" dxfId="91" priority="8">
      <formula>$N2="No"</formula>
    </cfRule>
    <cfRule type="expression" dxfId="90" priority="9">
      <formula>$N2="Error"</formula>
    </cfRule>
    <cfRule type="expression" dxfId="89" priority="10">
      <formula>$N2="Pendiente"</formula>
    </cfRule>
  </conditionalFormatting>
  <conditionalFormatting sqref="O2:O41">
    <cfRule type="expression" dxfId="88" priority="11">
      <formula>$O2="Sí"</formula>
    </cfRule>
    <cfRule type="expression" dxfId="87" priority="12">
      <formula>$O2="Parcial"</formula>
    </cfRule>
    <cfRule type="expression" dxfId="86" priority="13">
      <formula>$O2="No"</formula>
    </cfRule>
    <cfRule type="expression" dxfId="85" priority="14">
      <formula>$O2="Error"</formula>
    </cfRule>
    <cfRule type="expression" dxfId="84" priority="15">
      <formula>$O2="Pendiente"</formula>
    </cfRule>
  </conditionalFormatting>
  <conditionalFormatting sqref="P2:P41">
    <cfRule type="expression" dxfId="83" priority="16">
      <formula>$P2="Sí"</formula>
    </cfRule>
    <cfRule type="expression" dxfId="82" priority="17">
      <formula>$P2="Parcial"</formula>
    </cfRule>
    <cfRule type="expression" dxfId="81" priority="18">
      <formula>$P2="No"</formula>
    </cfRule>
    <cfRule type="expression" dxfId="80" priority="19">
      <formula>$P2="Error"</formula>
    </cfRule>
    <cfRule type="expression" dxfId="79" priority="20">
      <formula>$P2="Pendiente"</formula>
    </cfRule>
  </conditionalFormatting>
  <conditionalFormatting sqref="Q2:Q41">
    <cfRule type="expression" dxfId="78" priority="21">
      <formula>$Q2="Sí"</formula>
    </cfRule>
    <cfRule type="expression" dxfId="77" priority="22">
      <formula>$Q2="Parcial"</formula>
    </cfRule>
    <cfRule type="expression" dxfId="76" priority="23">
      <formula>$Q2="No"</formula>
    </cfRule>
    <cfRule type="expression" dxfId="75" priority="24">
      <formula>$Q2="Error"</formula>
    </cfRule>
    <cfRule type="expression" dxfId="74" priority="25">
      <formula>$Q2="Pendiente"</formula>
    </cfRule>
  </conditionalFormatting>
  <conditionalFormatting sqref="R2:R41">
    <cfRule type="expression" dxfId="73" priority="26">
      <formula>$R2="Sí"</formula>
    </cfRule>
    <cfRule type="expression" dxfId="72" priority="27">
      <formula>$R2="Parcial"</formula>
    </cfRule>
    <cfRule type="expression" dxfId="71" priority="28">
      <formula>$R2="No"</formula>
    </cfRule>
    <cfRule type="expression" dxfId="70" priority="29">
      <formula>$R2="Error"</formula>
    </cfRule>
    <cfRule type="expression" dxfId="69" priority="30">
      <formula>$R2="Pendiente"</formula>
    </cfRule>
  </conditionalFormatting>
  <conditionalFormatting sqref="V2:V41">
    <cfRule type="expression" dxfId="68" priority="31">
      <formula>$V2="Sí"</formula>
    </cfRule>
    <cfRule type="expression" dxfId="67" priority="32">
      <formula>$V2="Parcial"</formula>
    </cfRule>
    <cfRule type="expression" dxfId="66" priority="33">
      <formula>$V2="No"</formula>
    </cfRule>
    <cfRule type="expression" dxfId="65" priority="34">
      <formula>$V2="Error"</formula>
    </cfRule>
    <cfRule type="expression" dxfId="64" priority="35">
      <formula>$V2="Pendiente"</formula>
    </cfRule>
  </conditionalFormatting>
  <conditionalFormatting sqref="W2:W41">
    <cfRule type="expression" dxfId="63" priority="36">
      <formula>$W2="Sí"</formula>
    </cfRule>
    <cfRule type="expression" dxfId="62" priority="37">
      <formula>$W2="Parcial"</formula>
    </cfRule>
    <cfRule type="expression" dxfId="61" priority="38">
      <formula>$W2="No"</formula>
    </cfRule>
    <cfRule type="expression" dxfId="60" priority="39">
      <formula>$W2="Error"</formula>
    </cfRule>
    <cfRule type="expression" dxfId="59" priority="40">
      <formula>$W2="Pendiente"</formula>
    </cfRule>
  </conditionalFormatting>
  <dataValidations count="5">
    <dataValidation type="list" sqref="W2:W41" xr:uid="{00000000-0002-0000-0000-000008000000}">
      <formula1>"Pendiente,Sí,No,Parcial,N/A"</formula1>
    </dataValidation>
    <dataValidation type="list" sqref="S2:S41" xr:uid="{00000000-0002-0000-0000-000007000000}">
      <formula1>",Critical,High,Medium,Low,Informational,N/A"</formula1>
    </dataValidation>
    <dataValidation type="list" sqref="R2:R41" xr:uid="{00000000-0002-0000-0000-000006000000}">
      <formula1>"Pendiente,Correcta,Genérica,Parcial,Ruido/FP,No detecta,N/A"</formula1>
    </dataValidation>
    <dataValidation type="list" sqref="Q2:Q41" xr:uid="{00000000-0002-0000-0000-000005000000}">
      <formula1>"Pendiente,Sí,Parcial,No,N/A,Error"</formula1>
    </dataValidation>
    <dataValidation type="list" sqref="V2:V41 M2:P41" xr:uid="{00000000-0002-0000-0000-000000000000}">
      <formula1>"Pendiente,Sí,No,N/A,Error"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3778-EFC6-491B-A190-E9CAE85B5AE1}">
  <dimension ref="A1:X200"/>
  <sheetViews>
    <sheetView workbookViewId="0"/>
  </sheetViews>
  <sheetFormatPr baseColWidth="10" defaultColWidth="9.140625" defaultRowHeight="15"/>
  <cols>
    <col min="1" max="1" width="34" style="70" customWidth="1"/>
    <col min="2" max="3" width="22" style="70" customWidth="1"/>
    <col min="4" max="4" width="16" style="70" customWidth="1"/>
    <col min="5" max="5" width="18" style="70" customWidth="1"/>
    <col min="6" max="6" width="28" style="70" customWidth="1"/>
    <col min="7" max="8" width="42" style="70" customWidth="1"/>
    <col min="9" max="9" width="14" style="70" customWidth="1"/>
    <col min="10" max="10" width="20" style="70" customWidth="1"/>
    <col min="11" max="16384" width="9.140625" style="70"/>
  </cols>
  <sheetData>
    <row r="1" spans="1:24">
      <c r="A1" s="73" t="s">
        <v>564</v>
      </c>
      <c r="B1" s="73" t="s">
        <v>482</v>
      </c>
      <c r="C1" s="73" t="s">
        <v>866</v>
      </c>
      <c r="D1" s="73" t="s">
        <v>811</v>
      </c>
      <c r="E1" s="73" t="s">
        <v>865</v>
      </c>
      <c r="F1" s="73" t="s">
        <v>864</v>
      </c>
      <c r="G1" s="73" t="s">
        <v>863</v>
      </c>
      <c r="H1" s="73" t="s">
        <v>862</v>
      </c>
      <c r="I1" s="73" t="s">
        <v>861</v>
      </c>
      <c r="J1" s="73" t="s">
        <v>860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24" ht="27">
      <c r="A2" s="72" t="s">
        <v>767</v>
      </c>
      <c r="B2" s="72" t="s">
        <v>827</v>
      </c>
      <c r="C2" s="72" t="s">
        <v>848</v>
      </c>
      <c r="D2" s="72" t="s">
        <v>747</v>
      </c>
      <c r="E2" s="72" t="s">
        <v>405</v>
      </c>
      <c r="F2" s="72" t="s">
        <v>859</v>
      </c>
      <c r="G2" s="72" t="s">
        <v>858</v>
      </c>
      <c r="H2" s="72" t="s">
        <v>857</v>
      </c>
      <c r="I2" s="72" t="s">
        <v>844</v>
      </c>
      <c r="J2" s="72" t="s">
        <v>852</v>
      </c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spans="1:24" ht="27">
      <c r="A3" s="72" t="s">
        <v>761</v>
      </c>
      <c r="B3" s="72" t="s">
        <v>827</v>
      </c>
      <c r="C3" s="72" t="s">
        <v>848</v>
      </c>
      <c r="D3" s="72" t="s">
        <v>747</v>
      </c>
      <c r="E3" s="72" t="s">
        <v>405</v>
      </c>
      <c r="F3" s="72" t="s">
        <v>280</v>
      </c>
      <c r="G3" s="72" t="s">
        <v>856</v>
      </c>
      <c r="H3" s="72" t="s">
        <v>827</v>
      </c>
      <c r="I3" s="72" t="s">
        <v>844</v>
      </c>
      <c r="J3" s="72" t="s">
        <v>852</v>
      </c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1:24" ht="27">
      <c r="A4" s="72" t="s">
        <v>734</v>
      </c>
      <c r="B4" s="72" t="s">
        <v>827</v>
      </c>
      <c r="C4" s="72" t="s">
        <v>848</v>
      </c>
      <c r="D4" s="72" t="s">
        <v>855</v>
      </c>
      <c r="E4" s="72" t="s">
        <v>854</v>
      </c>
      <c r="F4" s="72" t="s">
        <v>611</v>
      </c>
      <c r="G4" s="72" t="s">
        <v>853</v>
      </c>
      <c r="H4" s="72" t="s">
        <v>827</v>
      </c>
      <c r="I4" s="72" t="s">
        <v>844</v>
      </c>
      <c r="J4" s="72" t="s">
        <v>852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</row>
    <row r="5" spans="1:24" ht="27">
      <c r="A5" s="72" t="s">
        <v>697</v>
      </c>
      <c r="B5" s="72" t="s">
        <v>849</v>
      </c>
      <c r="C5" s="72" t="s">
        <v>840</v>
      </c>
      <c r="D5" s="72" t="s">
        <v>666</v>
      </c>
      <c r="E5" s="72" t="s">
        <v>831</v>
      </c>
      <c r="F5" s="72" t="s">
        <v>847</v>
      </c>
      <c r="G5" s="72" t="s">
        <v>851</v>
      </c>
      <c r="H5" s="72" t="s">
        <v>845</v>
      </c>
      <c r="I5" s="72" t="s">
        <v>844</v>
      </c>
      <c r="J5" s="72" t="s">
        <v>850</v>
      </c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</row>
    <row r="6" spans="1:24" ht="27">
      <c r="A6" s="72" t="s">
        <v>665</v>
      </c>
      <c r="B6" s="72" t="s">
        <v>849</v>
      </c>
      <c r="C6" s="72" t="s">
        <v>848</v>
      </c>
      <c r="D6" s="72" t="s">
        <v>666</v>
      </c>
      <c r="E6" s="72" t="s">
        <v>831</v>
      </c>
      <c r="F6" s="72" t="s">
        <v>847</v>
      </c>
      <c r="G6" s="72" t="s">
        <v>846</v>
      </c>
      <c r="H6" s="72" t="s">
        <v>845</v>
      </c>
      <c r="I6" s="72" t="s">
        <v>844</v>
      </c>
      <c r="J6" s="72" t="s">
        <v>843</v>
      </c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</row>
    <row r="7" spans="1:24" ht="27">
      <c r="A7" s="72" t="s">
        <v>842</v>
      </c>
      <c r="B7" s="72" t="s">
        <v>841</v>
      </c>
      <c r="C7" s="72" t="s">
        <v>840</v>
      </c>
      <c r="D7" s="72" t="s">
        <v>666</v>
      </c>
      <c r="E7" s="72" t="s">
        <v>831</v>
      </c>
      <c r="F7" s="72" t="s">
        <v>611</v>
      </c>
      <c r="G7" s="72" t="s">
        <v>839</v>
      </c>
      <c r="H7" s="72" t="s">
        <v>838</v>
      </c>
      <c r="I7" s="72" t="s">
        <v>814</v>
      </c>
      <c r="J7" s="72" t="s">
        <v>837</v>
      </c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</row>
    <row r="8" spans="1:24">
      <c r="A8" s="72" t="s">
        <v>655</v>
      </c>
      <c r="B8" s="72" t="s">
        <v>836</v>
      </c>
      <c r="C8" s="72" t="s">
        <v>617</v>
      </c>
      <c r="D8" s="72" t="s">
        <v>622</v>
      </c>
      <c r="E8" s="72" t="s">
        <v>831</v>
      </c>
      <c r="F8" s="72" t="s">
        <v>619</v>
      </c>
      <c r="G8" s="72" t="s">
        <v>835</v>
      </c>
      <c r="H8" s="72" t="s">
        <v>834</v>
      </c>
      <c r="I8" s="72" t="s">
        <v>821</v>
      </c>
      <c r="J8" s="72" t="s">
        <v>826</v>
      </c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</row>
    <row r="9" spans="1:24">
      <c r="A9" s="72" t="s">
        <v>648</v>
      </c>
      <c r="B9" s="72" t="s">
        <v>827</v>
      </c>
      <c r="C9" s="72" t="s">
        <v>617</v>
      </c>
      <c r="D9" s="72" t="s">
        <v>622</v>
      </c>
      <c r="E9" s="72" t="s">
        <v>829</v>
      </c>
      <c r="F9" s="72" t="s">
        <v>272</v>
      </c>
      <c r="G9" s="72" t="s">
        <v>833</v>
      </c>
      <c r="H9" s="72" t="s">
        <v>827</v>
      </c>
      <c r="I9" s="72" t="s">
        <v>821</v>
      </c>
      <c r="J9" s="72" t="s">
        <v>826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</row>
    <row r="10" spans="1:24">
      <c r="A10" s="72" t="s">
        <v>642</v>
      </c>
      <c r="B10" s="72" t="s">
        <v>827</v>
      </c>
      <c r="C10" s="72" t="s">
        <v>617</v>
      </c>
      <c r="D10" s="72" t="s">
        <v>622</v>
      </c>
      <c r="E10" s="72" t="s">
        <v>829</v>
      </c>
      <c r="F10" s="72" t="s">
        <v>265</v>
      </c>
      <c r="G10" s="72" t="s">
        <v>832</v>
      </c>
      <c r="H10" s="72" t="s">
        <v>827</v>
      </c>
      <c r="I10" s="72" t="s">
        <v>821</v>
      </c>
      <c r="J10" s="72" t="s">
        <v>826</v>
      </c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</row>
    <row r="11" spans="1:24">
      <c r="A11" s="72" t="s">
        <v>635</v>
      </c>
      <c r="B11" s="72" t="s">
        <v>827</v>
      </c>
      <c r="C11" s="72" t="s">
        <v>617</v>
      </c>
      <c r="D11" s="72" t="s">
        <v>622</v>
      </c>
      <c r="E11" s="72" t="s">
        <v>831</v>
      </c>
      <c r="F11" s="72" t="s">
        <v>265</v>
      </c>
      <c r="G11" s="72" t="s">
        <v>830</v>
      </c>
      <c r="H11" s="72" t="s">
        <v>827</v>
      </c>
      <c r="I11" s="72" t="s">
        <v>821</v>
      </c>
      <c r="J11" s="72" t="s">
        <v>826</v>
      </c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 spans="1:24">
      <c r="A12" s="72" t="s">
        <v>629</v>
      </c>
      <c r="B12" s="72" t="s">
        <v>827</v>
      </c>
      <c r="C12" s="72" t="s">
        <v>617</v>
      </c>
      <c r="D12" s="72" t="s">
        <v>622</v>
      </c>
      <c r="E12" s="72" t="s">
        <v>829</v>
      </c>
      <c r="F12" s="72" t="s">
        <v>280</v>
      </c>
      <c r="G12" s="72" t="s">
        <v>828</v>
      </c>
      <c r="H12" s="72" t="s">
        <v>827</v>
      </c>
      <c r="I12" s="72" t="s">
        <v>821</v>
      </c>
      <c r="J12" s="72" t="s">
        <v>826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</row>
    <row r="13" spans="1:24">
      <c r="A13" s="72" t="s">
        <v>621</v>
      </c>
      <c r="B13" s="72" t="s">
        <v>825</v>
      </c>
      <c r="C13" s="72" t="s">
        <v>617</v>
      </c>
      <c r="D13" s="72" t="s">
        <v>622</v>
      </c>
      <c r="E13" s="72" t="s">
        <v>824</v>
      </c>
      <c r="F13" s="72" t="s">
        <v>619</v>
      </c>
      <c r="G13" s="72" t="s">
        <v>823</v>
      </c>
      <c r="H13" s="72" t="s">
        <v>822</v>
      </c>
      <c r="I13" s="72" t="s">
        <v>821</v>
      </c>
      <c r="J13" s="72" t="s">
        <v>820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</row>
    <row r="14" spans="1:24">
      <c r="A14" s="72" t="s">
        <v>613</v>
      </c>
      <c r="B14" s="72" t="s">
        <v>818</v>
      </c>
      <c r="C14" s="72" t="s">
        <v>817</v>
      </c>
      <c r="D14" s="72" t="s">
        <v>604</v>
      </c>
      <c r="E14" s="72" t="s">
        <v>409</v>
      </c>
      <c r="F14" s="72" t="s">
        <v>611</v>
      </c>
      <c r="G14" s="72" t="s">
        <v>819</v>
      </c>
      <c r="H14" s="72" t="s">
        <v>815</v>
      </c>
      <c r="I14" s="72" t="s">
        <v>814</v>
      </c>
      <c r="J14" s="72" t="s">
        <v>813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</row>
    <row r="15" spans="1:24">
      <c r="A15" s="72" t="s">
        <v>603</v>
      </c>
      <c r="B15" s="72" t="s">
        <v>818</v>
      </c>
      <c r="C15" s="72" t="s">
        <v>817</v>
      </c>
      <c r="D15" s="72" t="s">
        <v>604</v>
      </c>
      <c r="E15" s="72" t="s">
        <v>409</v>
      </c>
      <c r="F15" s="72" t="s">
        <v>600</v>
      </c>
      <c r="G15" s="72" t="s">
        <v>816</v>
      </c>
      <c r="H15" s="72" t="s">
        <v>815</v>
      </c>
      <c r="I15" s="72" t="s">
        <v>814</v>
      </c>
      <c r="J15" s="72" t="s">
        <v>813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</row>
    <row r="16" spans="1:24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4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</row>
    <row r="18" spans="1:24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spans="1:24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spans="1:24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</row>
    <row r="21" spans="1:24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</row>
    <row r="22" spans="1:24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</row>
    <row r="23" spans="1:24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</row>
    <row r="24" spans="1: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</row>
    <row r="25" spans="1:24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</row>
    <row r="26" spans="1:24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</row>
    <row r="27" spans="1:24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</row>
    <row r="28" spans="1:24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</row>
    <row r="29" spans="1:24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</row>
    <row r="30" spans="1:24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</row>
    <row r="31" spans="1:24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</row>
    <row r="32" spans="1:24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  <row r="33" spans="1:24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</row>
    <row r="34" spans="1:2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</row>
    <row r="35" spans="1:24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</row>
    <row r="36" spans="1:24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 spans="1:24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</row>
    <row r="38" spans="1:24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</row>
    <row r="39" spans="1:24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</row>
    <row r="40" spans="1:24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</row>
    <row r="41" spans="1:24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</row>
    <row r="42" spans="1:24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</row>
    <row r="43" spans="1:24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</row>
    <row r="44" spans="1:2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</row>
    <row r="45" spans="1:24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</row>
    <row r="46" spans="1:24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</row>
    <row r="47" spans="1:24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</row>
    <row r="48" spans="1:24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</row>
    <row r="49" spans="1:24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</row>
    <row r="50" spans="1:24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</row>
    <row r="51" spans="1:24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</row>
    <row r="52" spans="1:24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</row>
    <row r="53" spans="1:24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</row>
    <row r="54" spans="1:2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</row>
    <row r="55" spans="1:24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</row>
    <row r="56" spans="1:24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</row>
    <row r="57" spans="1:24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</row>
    <row r="58" spans="1:24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</row>
    <row r="59" spans="1:24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</row>
    <row r="60" spans="1:24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</row>
    <row r="61" spans="1:24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</row>
    <row r="62" spans="1:24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</row>
    <row r="63" spans="1:24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</row>
    <row r="64" spans="1:2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</row>
    <row r="65" spans="1:24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</row>
    <row r="66" spans="1:24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</row>
    <row r="67" spans="1:24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</row>
    <row r="68" spans="1:24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</row>
    <row r="69" spans="1:24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</row>
    <row r="70" spans="1:24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</row>
    <row r="71" spans="1:24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</row>
    <row r="72" spans="1:24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</row>
    <row r="73" spans="1:24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</row>
    <row r="74" spans="1:2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</row>
    <row r="75" spans="1:24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</row>
    <row r="76" spans="1:24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</row>
    <row r="77" spans="1:24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</row>
    <row r="78" spans="1:24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</row>
    <row r="79" spans="1:24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</row>
    <row r="80" spans="1:24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</row>
    <row r="81" spans="1:24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</row>
    <row r="82" spans="1:24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</row>
    <row r="83" spans="1:24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</row>
    <row r="84" spans="1:2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</row>
    <row r="85" spans="1:24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</row>
    <row r="86" spans="1:24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</row>
    <row r="87" spans="1:24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</row>
    <row r="88" spans="1:24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</row>
    <row r="89" spans="1:24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</row>
    <row r="90" spans="1:24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</row>
    <row r="91" spans="1:24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</row>
    <row r="92" spans="1:24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</row>
    <row r="93" spans="1:24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</row>
    <row r="94" spans="1:2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</row>
    <row r="95" spans="1:24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</row>
    <row r="96" spans="1:24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</row>
    <row r="97" spans="1:24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</row>
    <row r="98" spans="1:24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</row>
    <row r="99" spans="1:24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</row>
    <row r="100" spans="1:24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</row>
    <row r="101" spans="1:24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</row>
    <row r="102" spans="1:24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</row>
    <row r="103" spans="1:24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</row>
    <row r="104" spans="1:2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</row>
    <row r="105" spans="1:24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</row>
    <row r="106" spans="1:24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</row>
    <row r="107" spans="1:24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</row>
    <row r="108" spans="1:24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</row>
    <row r="109" spans="1:24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</row>
    <row r="110" spans="1:24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</row>
    <row r="111" spans="1:24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</row>
    <row r="112" spans="1:24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</row>
    <row r="113" spans="1:24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</row>
    <row r="114" spans="1:2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</row>
    <row r="115" spans="1:24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</row>
    <row r="116" spans="1:24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</row>
    <row r="117" spans="1:24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</row>
    <row r="118" spans="1:24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</row>
    <row r="119" spans="1:24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</row>
    <row r="120" spans="1:24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</row>
    <row r="121" spans="1:24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</row>
    <row r="122" spans="1:24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</row>
    <row r="123" spans="1:24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</row>
    <row r="124" spans="1: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</row>
    <row r="125" spans="1:24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</row>
    <row r="126" spans="1:24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</row>
    <row r="127" spans="1:24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</row>
    <row r="128" spans="1:24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</row>
    <row r="129" spans="1:24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</row>
    <row r="130" spans="1:24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</row>
    <row r="131" spans="1:24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</row>
    <row r="132" spans="1:24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</row>
    <row r="133" spans="1:24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</row>
    <row r="134" spans="1:2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</row>
    <row r="135" spans="1:24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</row>
    <row r="136" spans="1:24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</row>
    <row r="137" spans="1:24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</row>
    <row r="138" spans="1:24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</row>
    <row r="139" spans="1:24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</row>
    <row r="140" spans="1:24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</row>
    <row r="141" spans="1:24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</row>
    <row r="142" spans="1:24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</row>
    <row r="143" spans="1:24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</row>
    <row r="144" spans="1:2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</row>
    <row r="145" spans="1:24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</row>
    <row r="146" spans="1:24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</row>
    <row r="147" spans="1:24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</row>
    <row r="148" spans="1:24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</row>
    <row r="149" spans="1:24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</row>
    <row r="150" spans="1:24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</row>
    <row r="151" spans="1:24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</row>
    <row r="152" spans="1:24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</row>
    <row r="153" spans="1:24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</row>
    <row r="154" spans="1:2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</row>
    <row r="155" spans="1:24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</row>
    <row r="156" spans="1:24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</row>
    <row r="157" spans="1:24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</row>
    <row r="158" spans="1:24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</row>
    <row r="159" spans="1:24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</row>
    <row r="160" spans="1:24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</row>
    <row r="161" spans="1:24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</row>
    <row r="162" spans="1:24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</row>
    <row r="163" spans="1:24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</row>
    <row r="164" spans="1:2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</row>
    <row r="165" spans="1:24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</row>
    <row r="166" spans="1:24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</row>
    <row r="167" spans="1:24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</row>
    <row r="168" spans="1:24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</row>
    <row r="169" spans="1:24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</row>
    <row r="170" spans="1:24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</row>
    <row r="171" spans="1:24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</row>
    <row r="172" spans="1:24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</row>
    <row r="173" spans="1:24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</row>
    <row r="174" spans="1:2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</row>
    <row r="175" spans="1:24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</row>
    <row r="176" spans="1:24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</row>
    <row r="177" spans="1:24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</row>
    <row r="178" spans="1:24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</row>
    <row r="179" spans="1:24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</row>
    <row r="180" spans="1:24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</row>
    <row r="181" spans="1:24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</row>
    <row r="182" spans="1:24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</row>
    <row r="183" spans="1:24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</row>
    <row r="184" spans="1:2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</row>
    <row r="185" spans="1:24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</row>
    <row r="186" spans="1:24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</row>
    <row r="187" spans="1:24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</row>
    <row r="188" spans="1:24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</row>
    <row r="189" spans="1:24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</row>
    <row r="190" spans="1:24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</row>
    <row r="191" spans="1:24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</row>
    <row r="192" spans="1:24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</row>
    <row r="193" spans="1:24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</row>
    <row r="194" spans="1:2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</row>
    <row r="195" spans="1:24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</row>
    <row r="196" spans="1:24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</row>
    <row r="197" spans="1:24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</row>
    <row r="198" spans="1:24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</row>
    <row r="199" spans="1:24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</row>
    <row r="200" spans="1:24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9B30-E88A-4B37-A3BE-DFAF249B080C}">
  <dimension ref="A1:X200"/>
  <sheetViews>
    <sheetView workbookViewId="0"/>
  </sheetViews>
  <sheetFormatPr baseColWidth="10" defaultColWidth="9.140625" defaultRowHeight="15"/>
  <cols>
    <col min="1" max="1" width="12" style="70" customWidth="1"/>
    <col min="2" max="2" width="20" style="70" customWidth="1"/>
    <col min="3" max="3" width="28" style="70" customWidth="1"/>
    <col min="4" max="5" width="18" style="70" customWidth="1"/>
    <col min="6" max="7" width="20" style="70" customWidth="1"/>
    <col min="8" max="9" width="22" style="70" customWidth="1"/>
    <col min="10" max="10" width="26" style="70" customWidth="1"/>
    <col min="11" max="11" width="18" style="70" customWidth="1"/>
    <col min="12" max="12" width="34" style="70" customWidth="1"/>
    <col min="13" max="16384" width="9.140625" style="70"/>
  </cols>
  <sheetData>
    <row r="1" spans="1:24">
      <c r="A1" s="73" t="s">
        <v>515</v>
      </c>
      <c r="B1" s="73" t="s">
        <v>566</v>
      </c>
      <c r="C1" s="73" t="s">
        <v>879</v>
      </c>
      <c r="D1" s="73" t="s">
        <v>878</v>
      </c>
      <c r="E1" s="73" t="s">
        <v>877</v>
      </c>
      <c r="F1" s="73" t="s">
        <v>876</v>
      </c>
      <c r="G1" s="73" t="s">
        <v>875</v>
      </c>
      <c r="H1" s="73" t="s">
        <v>874</v>
      </c>
      <c r="I1" s="73" t="s">
        <v>873</v>
      </c>
      <c r="J1" s="73" t="s">
        <v>872</v>
      </c>
      <c r="K1" s="73" t="s">
        <v>871</v>
      </c>
      <c r="L1" s="73" t="s">
        <v>870</v>
      </c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24">
      <c r="A2" s="72" t="s">
        <v>242</v>
      </c>
      <c r="B2" s="72" t="s">
        <v>20</v>
      </c>
      <c r="C2" s="72" t="s">
        <v>19</v>
      </c>
      <c r="D2" s="72" t="s">
        <v>594</v>
      </c>
      <c r="E2" s="72" t="s">
        <v>87</v>
      </c>
      <c r="F2" s="72" t="s">
        <v>594</v>
      </c>
      <c r="G2" s="72" t="s">
        <v>594</v>
      </c>
      <c r="H2" s="72" t="s">
        <v>594</v>
      </c>
      <c r="I2" s="72" t="s">
        <v>87</v>
      </c>
      <c r="J2" s="72" t="s">
        <v>594</v>
      </c>
      <c r="K2" s="72" t="s">
        <v>594</v>
      </c>
      <c r="L2" s="72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spans="1:24">
      <c r="A3" s="72" t="s">
        <v>258</v>
      </c>
      <c r="B3" s="72" t="s">
        <v>30</v>
      </c>
      <c r="C3" s="72" t="s">
        <v>869</v>
      </c>
      <c r="D3" s="72" t="s">
        <v>594</v>
      </c>
      <c r="E3" s="72" t="s">
        <v>87</v>
      </c>
      <c r="F3" s="72" t="s">
        <v>594</v>
      </c>
      <c r="G3" s="72" t="s">
        <v>594</v>
      </c>
      <c r="H3" s="72" t="s">
        <v>594</v>
      </c>
      <c r="I3" s="72" t="s">
        <v>87</v>
      </c>
      <c r="J3" s="72" t="s">
        <v>594</v>
      </c>
      <c r="K3" s="72" t="s">
        <v>594</v>
      </c>
      <c r="L3" s="72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1:24">
      <c r="A4" s="72" t="s">
        <v>265</v>
      </c>
      <c r="B4" s="72" t="s">
        <v>42</v>
      </c>
      <c r="C4" s="72" t="s">
        <v>41</v>
      </c>
      <c r="D4" s="72" t="s">
        <v>594</v>
      </c>
      <c r="E4" s="72" t="s">
        <v>87</v>
      </c>
      <c r="F4" s="72" t="s">
        <v>594</v>
      </c>
      <c r="G4" s="72" t="s">
        <v>594</v>
      </c>
      <c r="H4" s="72" t="s">
        <v>594</v>
      </c>
      <c r="I4" s="72" t="s">
        <v>594</v>
      </c>
      <c r="J4" s="72" t="s">
        <v>594</v>
      </c>
      <c r="K4" s="72" t="s">
        <v>594</v>
      </c>
      <c r="L4" s="72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</row>
    <row r="5" spans="1:24">
      <c r="A5" s="72" t="s">
        <v>272</v>
      </c>
      <c r="B5" s="72" t="s">
        <v>52</v>
      </c>
      <c r="C5" s="72" t="s">
        <v>868</v>
      </c>
      <c r="D5" s="72" t="s">
        <v>594</v>
      </c>
      <c r="E5" s="72" t="s">
        <v>87</v>
      </c>
      <c r="F5" s="72" t="s">
        <v>594</v>
      </c>
      <c r="G5" s="72" t="s">
        <v>594</v>
      </c>
      <c r="H5" s="72" t="s">
        <v>594</v>
      </c>
      <c r="I5" s="72" t="s">
        <v>594</v>
      </c>
      <c r="J5" s="72" t="s">
        <v>594</v>
      </c>
      <c r="K5" s="72" t="s">
        <v>594</v>
      </c>
      <c r="L5" s="72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</row>
    <row r="6" spans="1:24">
      <c r="A6" s="72" t="s">
        <v>280</v>
      </c>
      <c r="B6" s="72" t="s">
        <v>63</v>
      </c>
      <c r="C6" s="72" t="s">
        <v>62</v>
      </c>
      <c r="D6" s="72" t="s">
        <v>594</v>
      </c>
      <c r="E6" s="72" t="s">
        <v>594</v>
      </c>
      <c r="F6" s="72" t="s">
        <v>594</v>
      </c>
      <c r="G6" s="72" t="s">
        <v>594</v>
      </c>
      <c r="H6" s="72" t="s">
        <v>594</v>
      </c>
      <c r="I6" s="72" t="s">
        <v>594</v>
      </c>
      <c r="J6" s="72" t="s">
        <v>594</v>
      </c>
      <c r="K6" s="72" t="s">
        <v>594</v>
      </c>
      <c r="L6" s="72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</row>
    <row r="7" spans="1:24">
      <c r="A7" s="72" t="s">
        <v>287</v>
      </c>
      <c r="B7" s="72" t="s">
        <v>76</v>
      </c>
      <c r="C7" s="72" t="s">
        <v>75</v>
      </c>
      <c r="D7" s="72" t="s">
        <v>594</v>
      </c>
      <c r="E7" s="72" t="s">
        <v>87</v>
      </c>
      <c r="F7" s="72" t="s">
        <v>594</v>
      </c>
      <c r="G7" s="72" t="s">
        <v>594</v>
      </c>
      <c r="H7" s="72" t="s">
        <v>594</v>
      </c>
      <c r="I7" s="72" t="s">
        <v>87</v>
      </c>
      <c r="J7" s="72" t="s">
        <v>594</v>
      </c>
      <c r="K7" s="72" t="s">
        <v>594</v>
      </c>
      <c r="L7" s="72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</row>
    <row r="8" spans="1:24">
      <c r="A8" s="72" t="s">
        <v>294</v>
      </c>
      <c r="B8" s="72" t="s">
        <v>86</v>
      </c>
      <c r="C8" s="72" t="s">
        <v>85</v>
      </c>
      <c r="D8" s="72" t="s">
        <v>333</v>
      </c>
      <c r="E8" s="72" t="s">
        <v>87</v>
      </c>
      <c r="F8" s="72" t="s">
        <v>594</v>
      </c>
      <c r="G8" s="72" t="s">
        <v>594</v>
      </c>
      <c r="H8" s="72" t="s">
        <v>594</v>
      </c>
      <c r="I8" s="72" t="s">
        <v>87</v>
      </c>
      <c r="J8" s="72" t="s">
        <v>594</v>
      </c>
      <c r="K8" s="72" t="s">
        <v>23</v>
      </c>
      <c r="L8" s="72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</row>
    <row r="9" spans="1:24">
      <c r="A9" s="72" t="s">
        <v>528</v>
      </c>
      <c r="B9" s="72" t="s">
        <v>530</v>
      </c>
      <c r="C9" s="72" t="s">
        <v>529</v>
      </c>
      <c r="D9" s="72" t="s">
        <v>333</v>
      </c>
      <c r="E9" s="72" t="s">
        <v>87</v>
      </c>
      <c r="F9" s="72" t="s">
        <v>594</v>
      </c>
      <c r="G9" s="72" t="s">
        <v>594</v>
      </c>
      <c r="H9" s="72" t="s">
        <v>594</v>
      </c>
      <c r="I9" s="72" t="s">
        <v>87</v>
      </c>
      <c r="J9" s="72" t="s">
        <v>594</v>
      </c>
      <c r="K9" s="72" t="s">
        <v>23</v>
      </c>
      <c r="L9" s="72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</row>
    <row r="10" spans="1:24">
      <c r="A10" s="72" t="s">
        <v>538</v>
      </c>
      <c r="B10" s="72" t="s">
        <v>662</v>
      </c>
      <c r="C10" s="72" t="s">
        <v>867</v>
      </c>
      <c r="D10" s="72" t="s">
        <v>333</v>
      </c>
      <c r="E10" s="72" t="s">
        <v>87</v>
      </c>
      <c r="F10" s="72" t="s">
        <v>594</v>
      </c>
      <c r="G10" s="72" t="s">
        <v>594</v>
      </c>
      <c r="H10" s="72" t="s">
        <v>594</v>
      </c>
      <c r="I10" s="72" t="s">
        <v>87</v>
      </c>
      <c r="J10" s="72" t="s">
        <v>594</v>
      </c>
      <c r="K10" s="72" t="s">
        <v>23</v>
      </c>
      <c r="L10" s="72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</row>
    <row r="11" spans="1:24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 spans="1:24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</row>
    <row r="13" spans="1:24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</row>
    <row r="14" spans="1:2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</row>
    <row r="15" spans="1:24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</row>
    <row r="16" spans="1:24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4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</row>
    <row r="18" spans="1:24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spans="1:24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spans="1:24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</row>
    <row r="21" spans="1:24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</row>
    <row r="22" spans="1:24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</row>
    <row r="23" spans="1:24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</row>
    <row r="24" spans="1: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</row>
    <row r="25" spans="1:24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</row>
    <row r="26" spans="1:24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</row>
    <row r="27" spans="1:24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</row>
    <row r="28" spans="1:24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</row>
    <row r="29" spans="1:24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</row>
    <row r="30" spans="1:24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</row>
    <row r="31" spans="1:24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</row>
    <row r="32" spans="1:24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  <row r="33" spans="1:24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</row>
    <row r="34" spans="1:2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</row>
    <row r="35" spans="1:24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</row>
    <row r="36" spans="1:24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 spans="1:24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</row>
    <row r="38" spans="1:24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</row>
    <row r="39" spans="1:24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</row>
    <row r="40" spans="1:24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</row>
    <row r="41" spans="1:24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</row>
    <row r="42" spans="1:24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</row>
    <row r="43" spans="1:24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</row>
    <row r="44" spans="1:2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</row>
    <row r="45" spans="1:24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</row>
    <row r="46" spans="1:24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</row>
    <row r="47" spans="1:24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</row>
    <row r="48" spans="1:24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</row>
    <row r="49" spans="1:24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</row>
    <row r="50" spans="1:24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</row>
    <row r="51" spans="1:24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</row>
    <row r="52" spans="1:24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</row>
    <row r="53" spans="1:24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</row>
    <row r="54" spans="1:2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</row>
    <row r="55" spans="1:24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</row>
    <row r="56" spans="1:24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</row>
    <row r="57" spans="1:24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</row>
    <row r="58" spans="1:24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</row>
    <row r="59" spans="1:24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</row>
    <row r="60" spans="1:24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</row>
    <row r="61" spans="1:24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</row>
    <row r="62" spans="1:24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</row>
    <row r="63" spans="1:24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</row>
    <row r="64" spans="1:2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</row>
    <row r="65" spans="1:24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</row>
    <row r="66" spans="1:24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</row>
    <row r="67" spans="1:24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</row>
    <row r="68" spans="1:24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</row>
    <row r="69" spans="1:24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</row>
    <row r="70" spans="1:24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</row>
    <row r="71" spans="1:24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</row>
    <row r="72" spans="1:24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</row>
    <row r="73" spans="1:24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</row>
    <row r="74" spans="1:2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</row>
    <row r="75" spans="1:24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</row>
    <row r="76" spans="1:24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</row>
    <row r="77" spans="1:24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</row>
    <row r="78" spans="1:24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</row>
    <row r="79" spans="1:24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</row>
    <row r="80" spans="1:24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</row>
    <row r="81" spans="1:24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</row>
    <row r="82" spans="1:24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</row>
    <row r="83" spans="1:24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</row>
    <row r="84" spans="1:2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</row>
    <row r="85" spans="1:24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</row>
    <row r="86" spans="1:24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</row>
    <row r="87" spans="1:24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</row>
    <row r="88" spans="1:24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</row>
    <row r="89" spans="1:24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</row>
    <row r="90" spans="1:24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</row>
    <row r="91" spans="1:24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</row>
    <row r="92" spans="1:24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</row>
    <row r="93" spans="1:24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</row>
    <row r="94" spans="1:2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</row>
    <row r="95" spans="1:24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</row>
    <row r="96" spans="1:24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</row>
    <row r="97" spans="1:24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</row>
    <row r="98" spans="1:24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</row>
    <row r="99" spans="1:24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</row>
    <row r="100" spans="1:24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</row>
    <row r="101" spans="1:24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</row>
    <row r="102" spans="1:24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</row>
    <row r="103" spans="1:24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</row>
    <row r="104" spans="1:2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</row>
    <row r="105" spans="1:24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</row>
    <row r="106" spans="1:24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</row>
    <row r="107" spans="1:24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</row>
    <row r="108" spans="1:24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</row>
    <row r="109" spans="1:24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</row>
    <row r="110" spans="1:24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</row>
    <row r="111" spans="1:24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</row>
    <row r="112" spans="1:24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</row>
    <row r="113" spans="1:24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</row>
    <row r="114" spans="1:2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</row>
    <row r="115" spans="1:24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</row>
    <row r="116" spans="1:24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</row>
    <row r="117" spans="1:24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</row>
    <row r="118" spans="1:24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</row>
    <row r="119" spans="1:24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</row>
    <row r="120" spans="1:24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</row>
    <row r="121" spans="1:24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</row>
    <row r="122" spans="1:24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</row>
    <row r="123" spans="1:24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</row>
    <row r="124" spans="1: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</row>
    <row r="125" spans="1:24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</row>
    <row r="126" spans="1:24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</row>
    <row r="127" spans="1:24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</row>
    <row r="128" spans="1:24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</row>
    <row r="129" spans="1:24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</row>
    <row r="130" spans="1:24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</row>
    <row r="131" spans="1:24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</row>
    <row r="132" spans="1:24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</row>
    <row r="133" spans="1:24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</row>
    <row r="134" spans="1:2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</row>
    <row r="135" spans="1:24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</row>
    <row r="136" spans="1:24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</row>
    <row r="137" spans="1:24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</row>
    <row r="138" spans="1:24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</row>
    <row r="139" spans="1:24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</row>
    <row r="140" spans="1:24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</row>
    <row r="141" spans="1:24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</row>
    <row r="142" spans="1:24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</row>
    <row r="143" spans="1:24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</row>
    <row r="144" spans="1:2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</row>
    <row r="145" spans="1:24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</row>
    <row r="146" spans="1:24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</row>
    <row r="147" spans="1:24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</row>
    <row r="148" spans="1:24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</row>
    <row r="149" spans="1:24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</row>
    <row r="150" spans="1:24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</row>
    <row r="151" spans="1:24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</row>
    <row r="152" spans="1:24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</row>
    <row r="153" spans="1:24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</row>
    <row r="154" spans="1:2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</row>
    <row r="155" spans="1:24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</row>
    <row r="156" spans="1:24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</row>
    <row r="157" spans="1:24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</row>
    <row r="158" spans="1:24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</row>
    <row r="159" spans="1:24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</row>
    <row r="160" spans="1:24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</row>
    <row r="161" spans="1:24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</row>
    <row r="162" spans="1:24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</row>
    <row r="163" spans="1:24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</row>
    <row r="164" spans="1:2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</row>
    <row r="165" spans="1:24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</row>
    <row r="166" spans="1:24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</row>
    <row r="167" spans="1:24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</row>
    <row r="168" spans="1:24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</row>
    <row r="169" spans="1:24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</row>
    <row r="170" spans="1:24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</row>
    <row r="171" spans="1:24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</row>
    <row r="172" spans="1:24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</row>
    <row r="173" spans="1:24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</row>
    <row r="174" spans="1:2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</row>
    <row r="175" spans="1:24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</row>
    <row r="176" spans="1:24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</row>
    <row r="177" spans="1:24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</row>
    <row r="178" spans="1:24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</row>
    <row r="179" spans="1:24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</row>
    <row r="180" spans="1:24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</row>
    <row r="181" spans="1:24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</row>
    <row r="182" spans="1:24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</row>
    <row r="183" spans="1:24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</row>
    <row r="184" spans="1:2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</row>
    <row r="185" spans="1:24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</row>
    <row r="186" spans="1:24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</row>
    <row r="187" spans="1:24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</row>
    <row r="188" spans="1:24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</row>
    <row r="189" spans="1:24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</row>
    <row r="190" spans="1:24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</row>
    <row r="191" spans="1:24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</row>
    <row r="192" spans="1:24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</row>
    <row r="193" spans="1:24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</row>
    <row r="194" spans="1:2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</row>
    <row r="195" spans="1:24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</row>
    <row r="196" spans="1:24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</row>
    <row r="197" spans="1:24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</row>
    <row r="198" spans="1:24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</row>
    <row r="199" spans="1:24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</row>
    <row r="200" spans="1:24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</row>
  </sheetData>
  <conditionalFormatting sqref="D2:D10">
    <cfRule type="expression" dxfId="58" priority="1">
      <formula>$D2="Sí"</formula>
    </cfRule>
    <cfRule type="expression" dxfId="57" priority="2">
      <formula>$D2="Parcial"</formula>
    </cfRule>
    <cfRule type="expression" dxfId="56" priority="3">
      <formula>$D2="No"</formula>
    </cfRule>
    <cfRule type="expression" dxfId="55" priority="4">
      <formula>$D2="Pendiente"</formula>
    </cfRule>
  </conditionalFormatting>
  <conditionalFormatting sqref="E2:E10">
    <cfRule type="expression" dxfId="54" priority="5">
      <formula>$E2="Sí"</formula>
    </cfRule>
    <cfRule type="expression" dxfId="53" priority="6">
      <formula>$E2="Parcial"</formula>
    </cfRule>
    <cfRule type="expression" dxfId="52" priority="7">
      <formula>$E2="No"</formula>
    </cfRule>
    <cfRule type="expression" dxfId="51" priority="8">
      <formula>$E2="Pendiente"</formula>
    </cfRule>
  </conditionalFormatting>
  <conditionalFormatting sqref="F2:F10">
    <cfRule type="expression" dxfId="50" priority="9">
      <formula>$F2="Sí"</formula>
    </cfRule>
    <cfRule type="expression" dxfId="49" priority="10">
      <formula>$F2="Parcial"</formula>
    </cfRule>
    <cfRule type="expression" dxfId="48" priority="11">
      <formula>$F2="No"</formula>
    </cfRule>
    <cfRule type="expression" dxfId="47" priority="12">
      <formula>$F2="Pendiente"</formula>
    </cfRule>
  </conditionalFormatting>
  <conditionalFormatting sqref="G2:G10">
    <cfRule type="expression" dxfId="46" priority="13">
      <formula>$G2="Sí"</formula>
    </cfRule>
    <cfRule type="expression" dxfId="45" priority="14">
      <formula>$G2="Parcial"</formula>
    </cfRule>
    <cfRule type="expression" dxfId="44" priority="15">
      <formula>$G2="No"</formula>
    </cfRule>
    <cfRule type="expression" dxfId="43" priority="16">
      <formula>$G2="Pendiente"</formula>
    </cfRule>
  </conditionalFormatting>
  <conditionalFormatting sqref="H2:H10">
    <cfRule type="expression" dxfId="42" priority="17">
      <formula>$H2="Sí"</formula>
    </cfRule>
    <cfRule type="expression" dxfId="41" priority="18">
      <formula>$H2="Parcial"</formula>
    </cfRule>
    <cfRule type="expression" dxfId="40" priority="19">
      <formula>$H2="No"</formula>
    </cfRule>
    <cfRule type="expression" dxfId="39" priority="20">
      <formula>$H2="Pendiente"</formula>
    </cfRule>
  </conditionalFormatting>
  <conditionalFormatting sqref="I2:I10">
    <cfRule type="expression" dxfId="38" priority="21">
      <formula>$I2="Sí"</formula>
    </cfRule>
    <cfRule type="expression" dxfId="37" priority="22">
      <formula>$I2="Parcial"</formula>
    </cfRule>
    <cfRule type="expression" dxfId="36" priority="23">
      <formula>$I2="No"</formula>
    </cfRule>
    <cfRule type="expression" dxfId="35" priority="24">
      <formula>$I2="Pendiente"</formula>
    </cfRule>
  </conditionalFormatting>
  <conditionalFormatting sqref="J2:J10">
    <cfRule type="expression" dxfId="34" priority="25">
      <formula>$J2="Sí"</formula>
    </cfRule>
    <cfRule type="expression" dxfId="33" priority="26">
      <formula>$J2="Parcial"</formula>
    </cfRule>
    <cfRule type="expression" dxfId="32" priority="27">
      <formula>$J2="No"</formula>
    </cfRule>
    <cfRule type="expression" dxfId="31" priority="28">
      <formula>$J2="Pendiente"</formula>
    </cfRule>
  </conditionalFormatting>
  <conditionalFormatting sqref="K2:K10">
    <cfRule type="expression" dxfId="30" priority="29">
      <formula>$K2="Sí"</formula>
    </cfRule>
    <cfRule type="expression" dxfId="29" priority="30">
      <formula>$K2="Parcial"</formula>
    </cfRule>
    <cfRule type="expression" dxfId="28" priority="31">
      <formula>$K2="No"</formula>
    </cfRule>
    <cfRule type="expression" dxfId="27" priority="32">
      <formula>$K2="Pendiente"</formula>
    </cfRule>
  </conditionalFormatting>
  <dataValidations count="1">
    <dataValidation type="list" sqref="D2:K10" xr:uid="{00000000-0002-0000-0300-000000000000}">
      <formula1>"Pendiente,Sí,Parcial,No,N/A,Error"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B029-B0F8-4ABC-85B4-AEEBFFCA4BE7}">
  <dimension ref="A1:C18"/>
  <sheetViews>
    <sheetView workbookViewId="0">
      <selection sqref="A1:C1"/>
    </sheetView>
  </sheetViews>
  <sheetFormatPr baseColWidth="10" defaultColWidth="9.140625" defaultRowHeight="15"/>
  <cols>
    <col min="1" max="1" width="38" style="70" customWidth="1"/>
    <col min="2" max="2" width="18" style="70" customWidth="1"/>
    <col min="3" max="3" width="55" style="70" customWidth="1"/>
    <col min="4" max="16384" width="9.140625" style="70"/>
  </cols>
  <sheetData>
    <row r="1" spans="1:3" ht="15.75">
      <c r="A1" s="76" t="s">
        <v>922</v>
      </c>
      <c r="B1" s="75"/>
      <c r="C1" s="75"/>
    </row>
    <row r="2" spans="1:3">
      <c r="A2" s="77"/>
      <c r="B2" s="77"/>
      <c r="C2" s="77"/>
    </row>
    <row r="3" spans="1:3">
      <c r="A3" s="78" t="s">
        <v>921</v>
      </c>
      <c r="B3" s="78" t="s">
        <v>436</v>
      </c>
      <c r="C3" s="78" t="s">
        <v>920</v>
      </c>
    </row>
    <row r="4" spans="1:3">
      <c r="A4" s="77" t="s">
        <v>919</v>
      </c>
      <c r="B4" s="77">
        <f>COUNTA('06_Control_Pruebas'!A2:A200)</f>
        <v>40</v>
      </c>
      <c r="C4" s="77" t="s">
        <v>918</v>
      </c>
    </row>
    <row r="5" spans="1:3">
      <c r="A5" s="77" t="s">
        <v>917</v>
      </c>
      <c r="B5" s="77">
        <f>COUNTIF('06_Control_Pruebas'!Q2:Q200,"Sí")+COUNTIF('06_Control_Pruebas'!Q2:Q200,"Parcial")+COUNTIF('06_Control_Pruebas'!Q2:Q200,"No")+COUNTIF('06_Control_Pruebas'!Q2:Q200,"N/A")+COUNTIF('06_Control_Pruebas'!Q2:Q200,"Error")</f>
        <v>0</v>
      </c>
      <c r="C5" s="77" t="s">
        <v>916</v>
      </c>
    </row>
    <row r="6" spans="1:3">
      <c r="A6" s="77" t="s">
        <v>915</v>
      </c>
      <c r="B6" s="77">
        <f>B4-B5</f>
        <v>40</v>
      </c>
      <c r="C6" s="77" t="s">
        <v>914</v>
      </c>
    </row>
    <row r="7" spans="1:3">
      <c r="A7" s="77" t="s">
        <v>913</v>
      </c>
      <c r="B7" s="77">
        <f>COUNTIF('06_Control_Pruebas'!Q2:Q200,"Sí")</f>
        <v>0</v>
      </c>
      <c r="C7" s="77" t="s">
        <v>912</v>
      </c>
    </row>
    <row r="8" spans="1:3">
      <c r="A8" s="77" t="s">
        <v>911</v>
      </c>
      <c r="B8" s="77">
        <f>COUNTIF('06_Control_Pruebas'!Q2:Q200,"Parcial")</f>
        <v>0</v>
      </c>
      <c r="C8" s="77" t="s">
        <v>910</v>
      </c>
    </row>
    <row r="9" spans="1:3">
      <c r="A9" s="77" t="s">
        <v>909</v>
      </c>
      <c r="B9" s="77">
        <f>COUNTIF('06_Control_Pruebas'!Q2:Q200,"No")</f>
        <v>0</v>
      </c>
      <c r="C9" s="77" t="s">
        <v>908</v>
      </c>
    </row>
    <row r="10" spans="1:3">
      <c r="A10" s="77" t="s">
        <v>907</v>
      </c>
      <c r="B10" s="77">
        <f>COUNTIF('06_Control_Pruebas'!W2:W200,"Sí")</f>
        <v>11</v>
      </c>
      <c r="C10" s="77" t="s">
        <v>906</v>
      </c>
    </row>
    <row r="11" spans="1:3">
      <c r="A11" s="77" t="s">
        <v>905</v>
      </c>
      <c r="B11" s="79">
        <f>IFERROR(B5/B4,0)</f>
        <v>0</v>
      </c>
      <c r="C11" s="77" t="s">
        <v>904</v>
      </c>
    </row>
    <row r="12" spans="1:3">
      <c r="A12" s="77"/>
      <c r="B12" s="77"/>
      <c r="C12" s="77"/>
    </row>
    <row r="13" spans="1:3">
      <c r="A13" s="78" t="s">
        <v>903</v>
      </c>
      <c r="B13" s="78" t="s">
        <v>512</v>
      </c>
      <c r="C13" s="78" t="s">
        <v>902</v>
      </c>
    </row>
    <row r="14" spans="1:3">
      <c r="A14" s="77" t="s">
        <v>736</v>
      </c>
      <c r="B14" s="77">
        <f>COUNTIF('06_Control_Pruebas'!B2:B200,"F1 Built-in básico")</f>
        <v>14</v>
      </c>
      <c r="C14" s="77">
        <f>COUNTIFS('06_Control_Pruebas'!B2:B200,"F1 Built-in básico",'06_Control_Pruebas'!Q2:Q200,"&lt;&gt;Pendiente")</f>
        <v>0</v>
      </c>
    </row>
    <row r="15" spans="1:3">
      <c r="A15" s="77" t="s">
        <v>698</v>
      </c>
      <c r="B15" s="77">
        <f>COUNTIF('06_Control_Pruebas'!B2:B200,"F2 Sigma/Hayabusa histórico")</f>
        <v>9</v>
      </c>
      <c r="C15" s="77">
        <f>COUNTIFS('06_Control_Pruebas'!B2:B200,"F2 Sigma/Hayabusa histórico",'06_Control_Pruebas'!Q2:Q200,"&lt;&gt;Pendiente")</f>
        <v>0</v>
      </c>
    </row>
    <row r="16" spans="1:3">
      <c r="A16" s="77" t="s">
        <v>667</v>
      </c>
      <c r="B16" s="77">
        <f>COUNTIF('06_Control_Pruebas'!B2:B200,"F2 Sigma/Hayabusa tiempo real")</f>
        <v>9</v>
      </c>
      <c r="C16" s="77">
        <f>COUNTIFS('06_Control_Pruebas'!B2:B200,"F2 Sigma/Hayabusa tiempo real",'06_Control_Pruebas'!Q2:Q200,"&lt;&gt;Pendiente")</f>
        <v>0</v>
      </c>
    </row>
    <row r="17" spans="1:3">
      <c r="A17" s="77" t="s">
        <v>623</v>
      </c>
      <c r="B17" s="77">
        <f>COUNTIF('06_Control_Pruebas'!B2:B200,"F3 Persistencia / triage")</f>
        <v>6</v>
      </c>
      <c r="C17" s="77">
        <f>COUNTIFS('06_Control_Pruebas'!B2:B200,"F3 Persistencia / triage",'06_Control_Pruebas'!Q2:Q200,"&lt;&gt;Pendiente")</f>
        <v>0</v>
      </c>
    </row>
    <row r="18" spans="1:3">
      <c r="A18" s="77" t="s">
        <v>605</v>
      </c>
      <c r="B18" s="77">
        <f>COUNTIF('06_Control_Pruebas'!B2:B200,"F4 Opcional forense alto detalle")</f>
        <v>2</v>
      </c>
      <c r="C18" s="77">
        <f>COUNTIFS('06_Control_Pruebas'!B2:B200,"F4 Opcional forense alto detalle",'06_Control_Pruebas'!Q2:Q200,"&lt;&gt;Pendiente")</f>
        <v>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064-338C-4A05-85E5-92AA01D21204}">
  <dimension ref="A1:Q86"/>
  <sheetViews>
    <sheetView zoomScale="55" zoomScaleNormal="55" workbookViewId="0">
      <selection activeCell="A3" sqref="A3:Q4"/>
    </sheetView>
  </sheetViews>
  <sheetFormatPr baseColWidth="10" defaultRowHeight="15"/>
  <cols>
    <col min="1" max="17" width="13" style="53" customWidth="1"/>
    <col min="18" max="16384" width="11.42578125" style="53"/>
  </cols>
  <sheetData>
    <row r="1" spans="1:17" ht="15" customHeight="1">
      <c r="A1" s="59" t="s">
        <v>496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1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7" ht="15" customHeight="1">
      <c r="A3" s="64" t="s">
        <v>527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6"/>
    </row>
    <row r="4" spans="1:17" ht="15" customHeight="1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/>
    </row>
    <row r="5" spans="1:17" ht="15" customHeight="1">
      <c r="A5" s="55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17" ht="15" customHeight="1">
      <c r="A6" s="55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1:17" ht="15" customHeight="1">
      <c r="A7" s="5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1:17" ht="15" customHeight="1">
      <c r="A8" s="55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</row>
    <row r="9" spans="1:17" ht="15" customHeight="1">
      <c r="A9" s="55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</row>
    <row r="10" spans="1:17" ht="1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</row>
    <row r="11" spans="1:17" ht="1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</row>
    <row r="12" spans="1:17" ht="1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pans="1:17" ht="1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pans="1:17" ht="1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pans="1:17" ht="1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</row>
    <row r="16" spans="1:17" ht="1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</row>
    <row r="17" spans="1:17" ht="1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 ht="1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</row>
    <row r="19" spans="1:17" ht="1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</row>
    <row r="20" spans="1:17" ht="1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</row>
    <row r="21" spans="1:17" ht="1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</row>
    <row r="22" spans="1:17" ht="1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spans="1:17" ht="1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1:17" ht="1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1:17" ht="1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</row>
    <row r="26" spans="1:17" ht="1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</row>
    <row r="28" spans="1:17" ht="1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</row>
    <row r="29" spans="1:17" ht="1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</row>
    <row r="30" spans="1:17" ht="1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</row>
    <row r="31" spans="1:17" ht="1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</row>
    <row r="32" spans="1:17" ht="1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</row>
    <row r="33" spans="1:17" ht="1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</row>
    <row r="34" spans="1:17" ht="1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</row>
    <row r="35" spans="1:17" ht="1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</row>
    <row r="36" spans="1:17" ht="1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</row>
    <row r="37" spans="1:17" ht="15" customHeight="1">
      <c r="A37" s="54" t="s">
        <v>517</v>
      </c>
      <c r="B37" s="54" t="s">
        <v>518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</row>
    <row r="38" spans="1:17" ht="15" customHeight="1">
      <c r="A38" s="55" t="s">
        <v>252</v>
      </c>
      <c r="B38" s="54">
        <f>'05_Datos_Graficos'!B9</f>
        <v>9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</row>
    <row r="39" spans="1:17" ht="15" customHeight="1">
      <c r="A39" s="55" t="s">
        <v>307</v>
      </c>
      <c r="B39" s="54">
        <f>'05_Datos_Graficos'!B10</f>
        <v>14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</row>
    <row r="40" spans="1:17" ht="15" customHeight="1">
      <c r="A40" s="55" t="s">
        <v>330</v>
      </c>
      <c r="B40" s="54">
        <f>'05_Datos_Graficos'!B11</f>
        <v>1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</row>
    <row r="41" spans="1:17" ht="15" customHeight="1">
      <c r="A41" s="55" t="s">
        <v>563</v>
      </c>
      <c r="B41" s="54">
        <f>'05_Datos_Graficos'!B12</f>
        <v>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</row>
    <row r="42" spans="1:17" ht="15" customHeight="1">
      <c r="A42" s="55" t="s">
        <v>497</v>
      </c>
      <c r="B42" s="54">
        <f>SUM(B38:B41)</f>
        <v>24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</row>
    <row r="43" spans="1:17" ht="1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</row>
    <row r="44" spans="1:17" ht="1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</row>
    <row r="45" spans="1:17" ht="1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</row>
    <row r="46" spans="1:17" ht="1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</row>
    <row r="47" spans="1:17" ht="1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</row>
    <row r="48" spans="1:17" ht="1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</row>
    <row r="49" spans="1:17" ht="1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</row>
    <row r="50" spans="1:17" ht="1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</row>
    <row r="51" spans="1:17" ht="1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</row>
    <row r="52" spans="1:17" ht="1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</row>
    <row r="53" spans="1:17" ht="1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</row>
    <row r="54" spans="1:17" ht="1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</row>
    <row r="55" spans="1:17" ht="1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</row>
    <row r="56" spans="1:17" ht="1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</row>
    <row r="57" spans="1:17" ht="1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</row>
    <row r="58" spans="1:17" ht="1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</row>
    <row r="59" spans="1:17" ht="1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</row>
    <row r="60" spans="1:17" ht="1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</row>
    <row r="61" spans="1:17" ht="1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</row>
    <row r="62" spans="1:17" ht="1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</row>
    <row r="63" spans="1:17" ht="1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</row>
    <row r="64" spans="1:17" ht="1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</row>
    <row r="65" spans="1:17" ht="1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</row>
    <row r="66" spans="1:17" ht="1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</row>
    <row r="67" spans="1:17" ht="1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</row>
    <row r="68" spans="1:17" ht="1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</row>
    <row r="69" spans="1:17" ht="1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</row>
    <row r="70" spans="1:17" ht="1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</row>
    <row r="71" spans="1:17" ht="1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</row>
    <row r="72" spans="1:17" ht="1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</row>
    <row r="73" spans="1:17" ht="1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</row>
    <row r="74" spans="1:17" ht="1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</row>
    <row r="75" spans="1:17" ht="1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</row>
    <row r="76" spans="1:17" ht="1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</row>
    <row r="77" spans="1:17" ht="1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</row>
    <row r="78" spans="1:17" ht="1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</row>
    <row r="79" spans="1:17" ht="1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</row>
    <row r="80" spans="1:17" ht="1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</row>
    <row r="81" spans="1:17" ht="1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</row>
    <row r="82" spans="1:17" ht="1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</row>
    <row r="83" spans="1:17" ht="1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</row>
    <row r="84" spans="1:17" ht="1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</row>
    <row r="85" spans="1:17" ht="1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</row>
    <row r="86" spans="1:17" ht="1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</row>
  </sheetData>
  <mergeCells count="2">
    <mergeCell ref="A3:Q4"/>
    <mergeCell ref="A1:Q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7"/>
  <sheetViews>
    <sheetView topLeftCell="A4" zoomScale="85" zoomScaleNormal="85" workbookViewId="0">
      <selection activeCell="B59" sqref="B59"/>
    </sheetView>
  </sheetViews>
  <sheetFormatPr baseColWidth="10" defaultRowHeight="15.75"/>
  <cols>
    <col min="1" max="1" width="36" style="10" customWidth="1"/>
    <col min="2" max="2" width="76.5703125" style="10" customWidth="1"/>
    <col min="3" max="4" width="23" style="16" customWidth="1"/>
    <col min="5" max="5" width="32.85546875" style="16" customWidth="1"/>
    <col min="6" max="8" width="23" style="16" customWidth="1"/>
    <col min="9" max="16384" width="11.42578125" style="16"/>
  </cols>
  <sheetData>
    <row r="1" spans="1:2">
      <c r="A1" s="9" t="s">
        <v>372</v>
      </c>
      <c r="B1" s="16"/>
    </row>
    <row r="2" spans="1:2">
      <c r="A2" s="10" t="s">
        <v>0</v>
      </c>
      <c r="B2" s="10" t="s">
        <v>373</v>
      </c>
    </row>
    <row r="3" spans="1:2" ht="31.5">
      <c r="A3" s="13" t="s">
        <v>233</v>
      </c>
      <c r="B3" s="14" t="s">
        <v>374</v>
      </c>
    </row>
    <row r="4" spans="1:2" ht="47.25">
      <c r="A4" s="10" t="s">
        <v>234</v>
      </c>
      <c r="B4" s="11" t="s">
        <v>375</v>
      </c>
    </row>
    <row r="5" spans="1:2" ht="31.5">
      <c r="A5" s="13" t="s">
        <v>376</v>
      </c>
      <c r="B5" s="14" t="s">
        <v>377</v>
      </c>
    </row>
    <row r="6" spans="1:2">
      <c r="A6" s="16"/>
      <c r="B6" s="16"/>
    </row>
    <row r="7" spans="1:2">
      <c r="A7" s="16"/>
      <c r="B7" s="16"/>
    </row>
    <row r="8" spans="1:2">
      <c r="A8" s="9" t="s">
        <v>378</v>
      </c>
      <c r="B8" s="16"/>
    </row>
    <row r="9" spans="1:2">
      <c r="A9" s="10" t="s">
        <v>379</v>
      </c>
      <c r="B9" s="10" t="s">
        <v>380</v>
      </c>
    </row>
    <row r="10" spans="1:2">
      <c r="A10" s="13" t="s">
        <v>381</v>
      </c>
      <c r="B10" s="13" t="s">
        <v>382</v>
      </c>
    </row>
    <row r="11" spans="1:2">
      <c r="A11" s="10" t="s">
        <v>383</v>
      </c>
      <c r="B11" s="10" t="s">
        <v>384</v>
      </c>
    </row>
    <row r="12" spans="1:2">
      <c r="A12" s="13" t="s">
        <v>385</v>
      </c>
      <c r="B12" s="13" t="s">
        <v>386</v>
      </c>
    </row>
    <row r="13" spans="1:2">
      <c r="A13" s="16"/>
      <c r="B13" s="16"/>
    </row>
    <row r="14" spans="1:2">
      <c r="A14" s="16"/>
      <c r="B14" s="16"/>
    </row>
    <row r="15" spans="1:2">
      <c r="A15" s="9" t="s">
        <v>387</v>
      </c>
      <c r="B15" s="16"/>
    </row>
    <row r="16" spans="1:2">
      <c r="A16" s="10" t="s">
        <v>250</v>
      </c>
      <c r="B16" s="10" t="s">
        <v>388</v>
      </c>
    </row>
    <row r="17" spans="1:2">
      <c r="A17" s="13" t="s">
        <v>305</v>
      </c>
      <c r="B17" s="13" t="s">
        <v>389</v>
      </c>
    </row>
    <row r="18" spans="1:2">
      <c r="A18" s="10" t="s">
        <v>333</v>
      </c>
      <c r="B18" s="10" t="s">
        <v>390</v>
      </c>
    </row>
    <row r="19" spans="1:2">
      <c r="A19" s="13" t="s">
        <v>391</v>
      </c>
      <c r="B19" s="13" t="s">
        <v>392</v>
      </c>
    </row>
    <row r="20" spans="1:2">
      <c r="A20" s="17"/>
      <c r="B20" s="16"/>
    </row>
    <row r="21" spans="1:2">
      <c r="A21" s="9" t="s">
        <v>393</v>
      </c>
      <c r="B21" s="16"/>
    </row>
    <row r="22" spans="1:2">
      <c r="A22" s="10" t="s">
        <v>394</v>
      </c>
      <c r="B22" s="10" t="s">
        <v>395</v>
      </c>
    </row>
    <row r="23" spans="1:2">
      <c r="A23" s="13" t="s">
        <v>396</v>
      </c>
      <c r="B23" s="13" t="s">
        <v>397</v>
      </c>
    </row>
    <row r="24" spans="1:2">
      <c r="A24" s="10" t="s">
        <v>398</v>
      </c>
      <c r="B24" s="10" t="s">
        <v>399</v>
      </c>
    </row>
    <row r="25" spans="1:2">
      <c r="A25" s="13" t="s">
        <v>400</v>
      </c>
      <c r="B25" s="13" t="s">
        <v>401</v>
      </c>
    </row>
    <row r="26" spans="1:2">
      <c r="A26" s="16"/>
      <c r="B26" s="16"/>
    </row>
    <row r="27" spans="1:2">
      <c r="A27" s="16"/>
      <c r="B27" s="16"/>
    </row>
    <row r="28" spans="1:2">
      <c r="A28" s="9" t="s">
        <v>402</v>
      </c>
      <c r="B28" s="16"/>
    </row>
    <row r="29" spans="1:2">
      <c r="A29" s="10" t="s">
        <v>403</v>
      </c>
      <c r="B29" s="10" t="s">
        <v>404</v>
      </c>
    </row>
    <row r="30" spans="1:2">
      <c r="A30" s="13" t="s">
        <v>405</v>
      </c>
      <c r="B30" s="13" t="s">
        <v>406</v>
      </c>
    </row>
    <row r="31" spans="1:2">
      <c r="A31" s="10" t="s">
        <v>407</v>
      </c>
      <c r="B31" s="10" t="s">
        <v>408</v>
      </c>
    </row>
    <row r="32" spans="1:2">
      <c r="A32" s="13" t="s">
        <v>409</v>
      </c>
      <c r="B32" s="13" t="s">
        <v>410</v>
      </c>
    </row>
    <row r="33" spans="1:2">
      <c r="A33" s="16"/>
      <c r="B33" s="16"/>
    </row>
    <row r="34" spans="1:2">
      <c r="A34" s="16"/>
      <c r="B34" s="16"/>
    </row>
    <row r="35" spans="1:2" ht="129" customHeight="1">
      <c r="A35" s="9" t="s">
        <v>411</v>
      </c>
      <c r="B35" s="11" t="s">
        <v>412</v>
      </c>
    </row>
    <row r="36" spans="1:2" ht="63">
      <c r="A36" s="10" t="s">
        <v>413</v>
      </c>
      <c r="B36" s="11" t="s">
        <v>414</v>
      </c>
    </row>
    <row r="37" spans="1:2" ht="63">
      <c r="A37" s="13" t="s">
        <v>415</v>
      </c>
      <c r="B37" s="14" t="s">
        <v>416</v>
      </c>
    </row>
    <row r="38" spans="1:2" ht="63">
      <c r="A38" s="10" t="s">
        <v>417</v>
      </c>
      <c r="B38" s="11" t="s">
        <v>418</v>
      </c>
    </row>
    <row r="39" spans="1:2" ht="31.5">
      <c r="A39" s="13" t="s">
        <v>419</v>
      </c>
      <c r="B39" s="14" t="s">
        <v>420</v>
      </c>
    </row>
    <row r="40" spans="1:2">
      <c r="A40" s="16"/>
      <c r="B40" s="16"/>
    </row>
    <row r="41" spans="1:2">
      <c r="A41" s="16"/>
      <c r="B41" s="16"/>
    </row>
    <row r="42" spans="1:2">
      <c r="A42" s="9" t="s">
        <v>421</v>
      </c>
      <c r="B42" s="16"/>
    </row>
    <row r="43" spans="1:2">
      <c r="A43" s="10" t="s">
        <v>422</v>
      </c>
      <c r="B43" s="12" t="s">
        <v>423</v>
      </c>
    </row>
    <row r="44" spans="1:2">
      <c r="A44" s="13" t="s">
        <v>424</v>
      </c>
      <c r="B44" s="13" t="s">
        <v>425</v>
      </c>
    </row>
    <row r="45" spans="1:2">
      <c r="A45" s="10" t="s">
        <v>426</v>
      </c>
      <c r="B45" s="10" t="s">
        <v>427</v>
      </c>
    </row>
    <row r="46" spans="1:2">
      <c r="A46" s="13" t="s">
        <v>428</v>
      </c>
      <c r="B46" s="13" t="s">
        <v>429</v>
      </c>
    </row>
    <row r="47" spans="1:2">
      <c r="A47" s="10" t="s">
        <v>430</v>
      </c>
      <c r="B47" s="10" t="s">
        <v>431</v>
      </c>
    </row>
    <row r="48" spans="1:2">
      <c r="A48" s="13" t="s">
        <v>432</v>
      </c>
      <c r="B48" s="13" t="s">
        <v>433</v>
      </c>
    </row>
    <row r="49" spans="1:2">
      <c r="A49" s="16"/>
      <c r="B49" s="16"/>
    </row>
    <row r="50" spans="1:2">
      <c r="A50" s="23" t="s">
        <v>498</v>
      </c>
      <c r="B50" s="23"/>
    </row>
    <row r="51" spans="1:2">
      <c r="A51" s="45" t="s">
        <v>462</v>
      </c>
      <c r="B51" s="46" t="s">
        <v>499</v>
      </c>
    </row>
    <row r="52" spans="1:2">
      <c r="A52" s="45" t="s">
        <v>470</v>
      </c>
      <c r="B52" s="46" t="s">
        <v>500</v>
      </c>
    </row>
    <row r="53" spans="1:2">
      <c r="A53" s="45" t="s">
        <v>474</v>
      </c>
      <c r="B53" s="46" t="s">
        <v>501</v>
      </c>
    </row>
    <row r="54" spans="1:2">
      <c r="A54" s="45" t="s">
        <v>466</v>
      </c>
      <c r="B54" s="46" t="s">
        <v>502</v>
      </c>
    </row>
    <row r="55" spans="1:2" ht="30">
      <c r="A55" s="45" t="s">
        <v>503</v>
      </c>
      <c r="B55" s="46" t="s">
        <v>504</v>
      </c>
    </row>
    <row r="56" spans="1:2">
      <c r="A56" s="45" t="s">
        <v>464</v>
      </c>
      <c r="B56" s="46" t="s">
        <v>505</v>
      </c>
    </row>
    <row r="57" spans="1:2">
      <c r="A57" s="45" t="s">
        <v>468</v>
      </c>
      <c r="B57" s="46" t="s">
        <v>506</v>
      </c>
    </row>
    <row r="58" spans="1:2">
      <c r="A58" s="45" t="s">
        <v>472</v>
      </c>
      <c r="B58" s="46" t="s">
        <v>507</v>
      </c>
    </row>
    <row r="59" spans="1:2">
      <c r="A59" s="45" t="s">
        <v>480</v>
      </c>
      <c r="B59" s="46" t="s">
        <v>508</v>
      </c>
    </row>
    <row r="60" spans="1:2">
      <c r="A60" s="45" t="s">
        <v>509</v>
      </c>
      <c r="B60" s="46" t="s">
        <v>510</v>
      </c>
    </row>
    <row r="61" spans="1:2">
      <c r="A61" s="16"/>
      <c r="B61" s="16"/>
    </row>
    <row r="62" spans="1:2">
      <c r="A62" s="16"/>
      <c r="B62" s="16"/>
    </row>
    <row r="63" spans="1:2">
      <c r="A63" s="16"/>
      <c r="B63" s="16"/>
    </row>
    <row r="64" spans="1:2">
      <c r="A64" s="16"/>
      <c r="B64" s="16"/>
    </row>
    <row r="65" s="16" customFormat="1"/>
    <row r="66" s="16" customFormat="1"/>
    <row r="67" s="16" customFormat="1"/>
    <row r="68" s="16" customFormat="1"/>
    <row r="69" s="16" customFormat="1"/>
    <row r="70" s="16" customFormat="1"/>
    <row r="71" s="16" customFormat="1"/>
    <row r="72" s="16" customFormat="1"/>
    <row r="73" s="16" customFormat="1"/>
    <row r="74" s="16" customFormat="1"/>
    <row r="75" s="16" customFormat="1"/>
    <row r="76" s="16" customFormat="1"/>
    <row r="77" s="16" customFormat="1"/>
    <row r="78" s="16" customFormat="1"/>
    <row r="79" s="16" customFormat="1"/>
    <row r="80" s="16" customFormat="1"/>
    <row r="81" spans="1:2">
      <c r="A81" s="16"/>
      <c r="B81" s="16"/>
    </row>
    <row r="82" spans="1:2">
      <c r="A82" s="16"/>
      <c r="B82" s="16"/>
    </row>
    <row r="83" spans="1:2">
      <c r="A83" s="16"/>
      <c r="B83" s="16"/>
    </row>
    <row r="84" spans="1:2">
      <c r="A84" s="16"/>
      <c r="B84" s="16"/>
    </row>
    <row r="85" spans="1:2">
      <c r="A85" s="16"/>
      <c r="B85" s="16"/>
    </row>
    <row r="86" spans="1:2">
      <c r="A86" s="16"/>
      <c r="B86" s="16"/>
    </row>
    <row r="87" spans="1:2">
      <c r="A87" s="15"/>
      <c r="B8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00_Instrucciones</vt:lpstr>
      <vt:lpstr>01_Seleccion_Tecnicas</vt:lpstr>
      <vt:lpstr>02_Operaciones_Benignas</vt:lpstr>
      <vt:lpstr>03_Evaluacion_VR</vt:lpstr>
      <vt:lpstr>04_Resumen</vt:lpstr>
      <vt:lpstr>05_Datos_Graficos</vt:lpstr>
      <vt:lpstr>06_Control_Pruebas</vt:lpstr>
      <vt:lpstr>07_Catalogo_Artifacts</vt:lpstr>
      <vt:lpstr>08_Matriz_Resultados</vt:lpstr>
      <vt:lpstr>09_Resumen</vt:lpstr>
      <vt:lpstr>10_Graficos_técnicas</vt:lpstr>
      <vt:lpstr>99_Leyenda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Garcia</dc:creator>
  <cp:lastModifiedBy>JULIO GARCÍA-AMORENA REINA</cp:lastModifiedBy>
  <dcterms:created xsi:type="dcterms:W3CDTF">2026-05-08T09:40:15Z</dcterms:created>
  <dcterms:modified xsi:type="dcterms:W3CDTF">2026-05-13T12:33:00Z</dcterms:modified>
</cp:coreProperties>
</file>