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\Desktop\TFM\Evidencias\"/>
    </mc:Choice>
  </mc:AlternateContent>
  <xr:revisionPtr revIDLastSave="0" documentId="13_ncr:20001_{6A639963-E061-49BC-AE7A-C419439DC9D9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01_Seleccion_Tecnicas" sheetId="1" r:id="rId1"/>
    <sheet name="02_Operaciones_Benignas" sheetId="2" r:id="rId2"/>
    <sheet name="03_Evaluacion_VR" sheetId="3" r:id="rId3"/>
    <sheet name="04_Resumen" sheetId="4" r:id="rId4"/>
    <sheet name="06_Graficos_técnicas" sheetId="5" r:id="rId5"/>
    <sheet name="99_Leyenda" sheetId="6" r:id="rId6"/>
    <sheet name="05_Datos_Grafico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2" i="4" l="1"/>
  <c r="T42" i="4"/>
  <c r="S42" i="4"/>
  <c r="R42" i="4"/>
  <c r="K42" i="4"/>
  <c r="H42" i="4"/>
  <c r="Q42" i="4" s="1"/>
  <c r="G38" i="7" s="1"/>
  <c r="G42" i="4"/>
  <c r="I42" i="4" s="1"/>
  <c r="F42" i="4"/>
  <c r="J42" i="4" s="1"/>
  <c r="C38" i="7" s="1"/>
  <c r="B42" i="4"/>
  <c r="A38" i="7" s="1"/>
  <c r="A42" i="4"/>
  <c r="U41" i="4"/>
  <c r="T41" i="4"/>
  <c r="S41" i="4"/>
  <c r="R41" i="4"/>
  <c r="K41" i="4"/>
  <c r="H41" i="4"/>
  <c r="G41" i="4"/>
  <c r="I41" i="4" s="1"/>
  <c r="F41" i="4"/>
  <c r="J41" i="4" s="1"/>
  <c r="C37" i="7" s="1"/>
  <c r="C41" i="4"/>
  <c r="B37" i="7" s="1"/>
  <c r="B41" i="4"/>
  <c r="A37" i="7" s="1"/>
  <c r="A41" i="4"/>
  <c r="U40" i="4"/>
  <c r="T40" i="4"/>
  <c r="S40" i="4"/>
  <c r="R40" i="4"/>
  <c r="H40" i="4"/>
  <c r="G40" i="4"/>
  <c r="K40" i="4" s="1"/>
  <c r="F40" i="4"/>
  <c r="J40" i="4" s="1"/>
  <c r="C36" i="7" s="1"/>
  <c r="B40" i="4"/>
  <c r="A40" i="4"/>
  <c r="U39" i="4"/>
  <c r="Q39" i="4" s="1"/>
  <c r="G35" i="7" s="1"/>
  <c r="T39" i="4"/>
  <c r="S39" i="4"/>
  <c r="R39" i="4"/>
  <c r="H39" i="4"/>
  <c r="G39" i="4"/>
  <c r="K39" i="4" s="1"/>
  <c r="F39" i="4"/>
  <c r="J39" i="4" s="1"/>
  <c r="C35" i="7" s="1"/>
  <c r="B39" i="4"/>
  <c r="A35" i="7" s="1"/>
  <c r="U38" i="4"/>
  <c r="T38" i="4"/>
  <c r="S38" i="4"/>
  <c r="R38" i="4"/>
  <c r="H38" i="4"/>
  <c r="Q38" i="4" s="1"/>
  <c r="G34" i="7" s="1"/>
  <c r="G38" i="4"/>
  <c r="F38" i="4"/>
  <c r="J38" i="4" s="1"/>
  <c r="C34" i="7" s="1"/>
  <c r="B38" i="4"/>
  <c r="A34" i="7" s="1"/>
  <c r="A38" i="4"/>
  <c r="U37" i="4"/>
  <c r="T37" i="4"/>
  <c r="S37" i="4"/>
  <c r="R37" i="4"/>
  <c r="M37" i="4"/>
  <c r="I37" i="4"/>
  <c r="O37" i="4" s="1"/>
  <c r="E33" i="7" s="1"/>
  <c r="H37" i="4"/>
  <c r="Q37" i="4" s="1"/>
  <c r="G33" i="7" s="1"/>
  <c r="G37" i="4"/>
  <c r="K37" i="4" s="1"/>
  <c r="F37" i="4"/>
  <c r="J37" i="4" s="1"/>
  <c r="C33" i="7" s="1"/>
  <c r="C37" i="4"/>
  <c r="B33" i="7" s="1"/>
  <c r="B37" i="4"/>
  <c r="A33" i="7" s="1"/>
  <c r="A37" i="4"/>
  <c r="U36" i="4"/>
  <c r="T36" i="4"/>
  <c r="S36" i="4"/>
  <c r="R36" i="4"/>
  <c r="H36" i="4"/>
  <c r="G36" i="4"/>
  <c r="K36" i="4" s="1"/>
  <c r="F36" i="4"/>
  <c r="J36" i="4" s="1"/>
  <c r="C32" i="7" s="1"/>
  <c r="B36" i="4"/>
  <c r="A36" i="4"/>
  <c r="U35" i="4"/>
  <c r="Q35" i="4" s="1"/>
  <c r="G31" i="7" s="1"/>
  <c r="T35" i="4"/>
  <c r="S35" i="4"/>
  <c r="R35" i="4"/>
  <c r="H35" i="4"/>
  <c r="G35" i="4"/>
  <c r="F35" i="4"/>
  <c r="J35" i="4" s="1"/>
  <c r="C31" i="7" s="1"/>
  <c r="B35" i="4"/>
  <c r="A31" i="7" s="1"/>
  <c r="U34" i="4"/>
  <c r="T34" i="4"/>
  <c r="S34" i="4"/>
  <c r="R34" i="4"/>
  <c r="J34" i="4"/>
  <c r="C30" i="7" s="1"/>
  <c r="H34" i="4"/>
  <c r="Q34" i="4" s="1"/>
  <c r="G30" i="7" s="1"/>
  <c r="G34" i="4"/>
  <c r="F34" i="4"/>
  <c r="B34" i="4"/>
  <c r="A30" i="7" s="1"/>
  <c r="U33" i="4"/>
  <c r="T33" i="4"/>
  <c r="S33" i="4"/>
  <c r="R33" i="4"/>
  <c r="H33" i="4"/>
  <c r="Q33" i="4" s="1"/>
  <c r="G29" i="7" s="1"/>
  <c r="G33" i="4"/>
  <c r="K33" i="4" s="1"/>
  <c r="F33" i="4"/>
  <c r="J33" i="4" s="1"/>
  <c r="C29" i="7" s="1"/>
  <c r="B33" i="4"/>
  <c r="A29" i="7" s="1"/>
  <c r="A33" i="4"/>
  <c r="U32" i="4"/>
  <c r="T32" i="4"/>
  <c r="S32" i="4"/>
  <c r="R32" i="4"/>
  <c r="H32" i="4"/>
  <c r="G32" i="4"/>
  <c r="K32" i="4" s="1"/>
  <c r="F32" i="4"/>
  <c r="J32" i="4" s="1"/>
  <c r="C28" i="7" s="1"/>
  <c r="B32" i="4"/>
  <c r="U31" i="4"/>
  <c r="Q31" i="4" s="1"/>
  <c r="G27" i="7" s="1"/>
  <c r="T31" i="4"/>
  <c r="S31" i="4"/>
  <c r="R31" i="4"/>
  <c r="K31" i="4"/>
  <c r="H31" i="4"/>
  <c r="G31" i="4"/>
  <c r="F31" i="4"/>
  <c r="J31" i="4" s="1"/>
  <c r="C27" i="7" s="1"/>
  <c r="C31" i="4"/>
  <c r="B27" i="7" s="1"/>
  <c r="B31" i="4"/>
  <c r="A27" i="7" s="1"/>
  <c r="U30" i="4"/>
  <c r="T30" i="4"/>
  <c r="S30" i="4"/>
  <c r="R30" i="4"/>
  <c r="J30" i="4"/>
  <c r="C26" i="7" s="1"/>
  <c r="H30" i="4"/>
  <c r="G30" i="4"/>
  <c r="F30" i="4"/>
  <c r="B30" i="4"/>
  <c r="A26" i="7" s="1"/>
  <c r="A30" i="4"/>
  <c r="U29" i="4"/>
  <c r="T29" i="4"/>
  <c r="S29" i="4"/>
  <c r="R29" i="4"/>
  <c r="L29" i="4"/>
  <c r="D25" i="7" s="1"/>
  <c r="I29" i="4"/>
  <c r="O29" i="4" s="1"/>
  <c r="E25" i="7" s="1"/>
  <c r="H29" i="4"/>
  <c r="Q29" i="4" s="1"/>
  <c r="G25" i="7" s="1"/>
  <c r="G29" i="4"/>
  <c r="K29" i="4" s="1"/>
  <c r="F29" i="4"/>
  <c r="J29" i="4" s="1"/>
  <c r="C25" i="7" s="1"/>
  <c r="B29" i="4"/>
  <c r="A25" i="7" s="1"/>
  <c r="A29" i="4"/>
  <c r="U28" i="4"/>
  <c r="T28" i="4"/>
  <c r="S28" i="4"/>
  <c r="R28" i="4"/>
  <c r="H28" i="4"/>
  <c r="Q28" i="4" s="1"/>
  <c r="G24" i="7" s="1"/>
  <c r="G28" i="4"/>
  <c r="K28" i="4" s="1"/>
  <c r="F28" i="4"/>
  <c r="J28" i="4" s="1"/>
  <c r="C24" i="7" s="1"/>
  <c r="B28" i="4"/>
  <c r="U27" i="4"/>
  <c r="Q27" i="4" s="1"/>
  <c r="G23" i="7" s="1"/>
  <c r="T27" i="4"/>
  <c r="S27" i="4"/>
  <c r="R27" i="4"/>
  <c r="K27" i="4"/>
  <c r="H27" i="4"/>
  <c r="G27" i="4"/>
  <c r="F27" i="4"/>
  <c r="J27" i="4" s="1"/>
  <c r="C23" i="7" s="1"/>
  <c r="B27" i="4"/>
  <c r="A23" i="7" s="1"/>
  <c r="U26" i="4"/>
  <c r="T26" i="4"/>
  <c r="S26" i="4"/>
  <c r="R26" i="4"/>
  <c r="J26" i="4"/>
  <c r="C22" i="7" s="1"/>
  <c r="H26" i="4"/>
  <c r="Q26" i="4" s="1"/>
  <c r="G22" i="7" s="1"/>
  <c r="G26" i="4"/>
  <c r="F26" i="4"/>
  <c r="B26" i="4"/>
  <c r="A22" i="7" s="1"/>
  <c r="A26" i="4"/>
  <c r="U25" i="4"/>
  <c r="T25" i="4"/>
  <c r="S25" i="4"/>
  <c r="R25" i="4"/>
  <c r="K25" i="4"/>
  <c r="J25" i="4"/>
  <c r="C21" i="7" s="1"/>
  <c r="I25" i="4"/>
  <c r="H25" i="4"/>
  <c r="G25" i="4"/>
  <c r="F25" i="4"/>
  <c r="B25" i="4"/>
  <c r="C25" i="4" s="1"/>
  <c r="B21" i="7" s="1"/>
  <c r="A25" i="4"/>
  <c r="U24" i="4"/>
  <c r="T24" i="4"/>
  <c r="S24" i="4"/>
  <c r="R24" i="4"/>
  <c r="I24" i="4"/>
  <c r="N24" i="4" s="1"/>
  <c r="H24" i="4"/>
  <c r="G24" i="4"/>
  <c r="K24" i="4" s="1"/>
  <c r="F24" i="4"/>
  <c r="J24" i="4" s="1"/>
  <c r="C20" i="7" s="1"/>
  <c r="B24" i="4"/>
  <c r="A24" i="4"/>
  <c r="U23" i="4"/>
  <c r="Q23" i="4" s="1"/>
  <c r="G19" i="7" s="1"/>
  <c r="T23" i="4"/>
  <c r="S23" i="4"/>
  <c r="R23" i="4"/>
  <c r="H23" i="4"/>
  <c r="G23" i="4"/>
  <c r="F23" i="4"/>
  <c r="J23" i="4" s="1"/>
  <c r="C19" i="7" s="1"/>
  <c r="B23" i="4"/>
  <c r="C23" i="4" s="1"/>
  <c r="B19" i="7" s="1"/>
  <c r="U22" i="4"/>
  <c r="T22" i="4"/>
  <c r="S22" i="4"/>
  <c r="R22" i="4"/>
  <c r="J22" i="4"/>
  <c r="C18" i="7" s="1"/>
  <c r="H22" i="4"/>
  <c r="Q22" i="4" s="1"/>
  <c r="G18" i="7" s="1"/>
  <c r="G22" i="4"/>
  <c r="F22" i="4"/>
  <c r="B22" i="4"/>
  <c r="A18" i="7" s="1"/>
  <c r="U21" i="4"/>
  <c r="T21" i="4"/>
  <c r="S21" i="4"/>
  <c r="R21" i="4"/>
  <c r="J21" i="4"/>
  <c r="C17" i="7" s="1"/>
  <c r="H21" i="4"/>
  <c r="G21" i="4"/>
  <c r="I21" i="4" s="1"/>
  <c r="F21" i="4"/>
  <c r="B21" i="4"/>
  <c r="A17" i="7" s="1"/>
  <c r="A21" i="4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39" i="4" s="1"/>
  <c r="A19" i="3"/>
  <c r="A18" i="3"/>
  <c r="A17" i="3"/>
  <c r="A16" i="3"/>
  <c r="A35" i="4" s="1"/>
  <c r="A15" i="3"/>
  <c r="A34" i="4" s="1"/>
  <c r="A14" i="3"/>
  <c r="A13" i="3"/>
  <c r="A32" i="4" s="1"/>
  <c r="A12" i="3"/>
  <c r="A31" i="4" s="1"/>
  <c r="A11" i="3"/>
  <c r="A10" i="3"/>
  <c r="A9" i="3"/>
  <c r="A28" i="4" s="1"/>
  <c r="A8" i="3"/>
  <c r="A27" i="4" s="1"/>
  <c r="A7" i="3"/>
  <c r="A6" i="3"/>
  <c r="A5" i="3"/>
  <c r="A4" i="3"/>
  <c r="A23" i="4" s="1"/>
  <c r="A3" i="3"/>
  <c r="A22" i="4" s="1"/>
  <c r="A2" i="3"/>
  <c r="A2" i="2" a="1"/>
  <c r="A2" i="2" s="1"/>
  <c r="E37" i="4" s="1"/>
  <c r="A8" i="1" a="1"/>
  <c r="A8" i="1" s="1"/>
  <c r="A7" i="1" a="1"/>
  <c r="A7" i="1" s="1"/>
  <c r="A6" i="1" a="1"/>
  <c r="A6" i="1" s="1"/>
  <c r="A5" i="1" a="1"/>
  <c r="A5" i="1" s="1"/>
  <c r="A4" i="1" a="1"/>
  <c r="A4" i="1" s="1"/>
  <c r="A3" i="1" a="1"/>
  <c r="A3" i="1" s="1"/>
  <c r="A2" i="1" a="1"/>
  <c r="A2" i="1" s="1"/>
  <c r="P42" i="4" l="1"/>
  <c r="F38" i="7" s="1"/>
  <c r="O42" i="4"/>
  <c r="E38" i="7" s="1"/>
  <c r="N42" i="4"/>
  <c r="M42" i="4"/>
  <c r="L42" i="4"/>
  <c r="D38" i="7" s="1"/>
  <c r="P41" i="4"/>
  <c r="F37" i="7" s="1"/>
  <c r="M41" i="4"/>
  <c r="L41" i="4"/>
  <c r="D37" i="7" s="1"/>
  <c r="P21" i="4"/>
  <c r="M21" i="4"/>
  <c r="L21" i="4"/>
  <c r="D17" i="7" s="1"/>
  <c r="A19" i="7"/>
  <c r="K21" i="4"/>
  <c r="A21" i="7"/>
  <c r="C29" i="4"/>
  <c r="B25" i="7" s="1"/>
  <c r="C33" i="4"/>
  <c r="B29" i="7" s="1"/>
  <c r="Q25" i="4"/>
  <c r="G21" i="7" s="1"/>
  <c r="C27" i="4"/>
  <c r="B23" i="7" s="1"/>
  <c r="C35" i="4"/>
  <c r="B31" i="7" s="1"/>
  <c r="C39" i="4"/>
  <c r="B35" i="7" s="1"/>
  <c r="I33" i="4"/>
  <c r="C34" i="4"/>
  <c r="I35" i="4"/>
  <c r="M35" i="4" s="1"/>
  <c r="C38" i="4"/>
  <c r="D38" i="4" s="1"/>
  <c r="Q41" i="4"/>
  <c r="G37" i="7" s="1"/>
  <c r="C42" i="4"/>
  <c r="C21" i="4"/>
  <c r="B17" i="7" s="1"/>
  <c r="C30" i="4"/>
  <c r="I40" i="4"/>
  <c r="M40" i="4" s="1"/>
  <c r="Q21" i="4"/>
  <c r="G17" i="7" s="1"/>
  <c r="L37" i="4"/>
  <c r="D33" i="7" s="1"/>
  <c r="C22" i="4"/>
  <c r="M29" i="4"/>
  <c r="Q30" i="4"/>
  <c r="G26" i="7" s="1"/>
  <c r="P37" i="4"/>
  <c r="F33" i="7" s="1"/>
  <c r="P29" i="4"/>
  <c r="F25" i="7" s="1"/>
  <c r="E35" i="4"/>
  <c r="E25" i="4"/>
  <c r="D25" i="4"/>
  <c r="E21" i="4"/>
  <c r="D21" i="4"/>
  <c r="B4" i="4"/>
  <c r="I22" i="4"/>
  <c r="K22" i="4"/>
  <c r="E31" i="4"/>
  <c r="F17" i="7"/>
  <c r="O25" i="4"/>
  <c r="E21" i="7" s="1"/>
  <c r="N25" i="4"/>
  <c r="D29" i="4"/>
  <c r="C32" i="4"/>
  <c r="A28" i="7"/>
  <c r="I34" i="4"/>
  <c r="K34" i="4"/>
  <c r="E38" i="4"/>
  <c r="B34" i="7"/>
  <c r="D23" i="4"/>
  <c r="C26" i="4"/>
  <c r="C5" i="7" s="1"/>
  <c r="I28" i="4"/>
  <c r="E29" i="4"/>
  <c r="I31" i="4"/>
  <c r="D35" i="4"/>
  <c r="Q32" i="4"/>
  <c r="G28" i="7" s="1"/>
  <c r="D33" i="4"/>
  <c r="A32" i="7"/>
  <c r="C36" i="4"/>
  <c r="I38" i="4"/>
  <c r="K38" i="4"/>
  <c r="E39" i="4"/>
  <c r="C40" i="4"/>
  <c r="A36" i="7"/>
  <c r="I23" i="4"/>
  <c r="A20" i="7"/>
  <c r="C24" i="4"/>
  <c r="M25" i="4"/>
  <c r="I26" i="4"/>
  <c r="K26" i="4"/>
  <c r="I32" i="4"/>
  <c r="E33" i="4"/>
  <c r="P25" i="4"/>
  <c r="F21" i="7" s="1"/>
  <c r="I39" i="4"/>
  <c r="E23" i="4"/>
  <c r="L25" i="4"/>
  <c r="D21" i="7" s="1"/>
  <c r="E30" i="4"/>
  <c r="B26" i="7"/>
  <c r="Q36" i="4"/>
  <c r="G32" i="7" s="1"/>
  <c r="D37" i="4"/>
  <c r="Q40" i="4"/>
  <c r="G36" i="7" s="1"/>
  <c r="O21" i="4"/>
  <c r="N21" i="4"/>
  <c r="K23" i="4"/>
  <c r="Q24" i="4"/>
  <c r="G20" i="7" s="1"/>
  <c r="E27" i="4"/>
  <c r="D30" i="4"/>
  <c r="K35" i="4"/>
  <c r="I36" i="4"/>
  <c r="B18" i="7"/>
  <c r="E22" i="4"/>
  <c r="O24" i="4"/>
  <c r="E20" i="7" s="1"/>
  <c r="L24" i="4"/>
  <c r="D20" i="7" s="1"/>
  <c r="P24" i="4"/>
  <c r="F20" i="7" s="1"/>
  <c r="E42" i="4"/>
  <c r="B38" i="7"/>
  <c r="D42" i="4"/>
  <c r="D22" i="4"/>
  <c r="I27" i="4"/>
  <c r="C28" i="4"/>
  <c r="A24" i="7"/>
  <c r="I30" i="4"/>
  <c r="K30" i="4"/>
  <c r="B30" i="7"/>
  <c r="E34" i="4"/>
  <c r="E41" i="4"/>
  <c r="D41" i="4"/>
  <c r="D39" i="4"/>
  <c r="M24" i="4"/>
  <c r="D31" i="4"/>
  <c r="D34" i="4"/>
  <c r="N40" i="4"/>
  <c r="N29" i="4"/>
  <c r="N33" i="4"/>
  <c r="N37" i="4"/>
  <c r="N41" i="4"/>
  <c r="O41" i="4"/>
  <c r="E37" i="7" s="1"/>
  <c r="N35" i="4" l="1"/>
  <c r="L35" i="4"/>
  <c r="D31" i="7" s="1"/>
  <c r="B4" i="7"/>
  <c r="P40" i="4"/>
  <c r="F36" i="7" s="1"/>
  <c r="O33" i="4"/>
  <c r="E29" i="7" s="1"/>
  <c r="P33" i="4"/>
  <c r="F29" i="7" s="1"/>
  <c r="M33" i="4"/>
  <c r="L33" i="4"/>
  <c r="D29" i="7" s="1"/>
  <c r="L40" i="4"/>
  <c r="D36" i="7" s="1"/>
  <c r="O40" i="4"/>
  <c r="E36" i="7" s="1"/>
  <c r="D27" i="4"/>
  <c r="P35" i="4"/>
  <c r="F31" i="7" s="1"/>
  <c r="O35" i="4"/>
  <c r="E31" i="7" s="1"/>
  <c r="L30" i="4"/>
  <c r="D26" i="7" s="1"/>
  <c r="O30" i="4"/>
  <c r="E26" i="7" s="1"/>
  <c r="P30" i="4"/>
  <c r="F26" i="7" s="1"/>
  <c r="N30" i="4"/>
  <c r="M30" i="4"/>
  <c r="O26" i="4"/>
  <c r="E22" i="7" s="1"/>
  <c r="N26" i="4"/>
  <c r="M26" i="4"/>
  <c r="L26" i="4"/>
  <c r="D22" i="7" s="1"/>
  <c r="P26" i="4"/>
  <c r="F22" i="7" s="1"/>
  <c r="B28" i="7"/>
  <c r="E32" i="4"/>
  <c r="D32" i="4"/>
  <c r="L34" i="4"/>
  <c r="D30" i="7" s="1"/>
  <c r="P34" i="4"/>
  <c r="F30" i="7" s="1"/>
  <c r="O34" i="4"/>
  <c r="E30" i="7" s="1"/>
  <c r="N34" i="4"/>
  <c r="M34" i="4"/>
  <c r="P22" i="4"/>
  <c r="L22" i="4"/>
  <c r="O22" i="4"/>
  <c r="E18" i="7" s="1"/>
  <c r="M22" i="4"/>
  <c r="N22" i="4"/>
  <c r="E28" i="4"/>
  <c r="D28" i="4"/>
  <c r="B24" i="7"/>
  <c r="L39" i="4"/>
  <c r="D35" i="7" s="1"/>
  <c r="P39" i="4"/>
  <c r="F35" i="7" s="1"/>
  <c r="O39" i="4"/>
  <c r="E35" i="7" s="1"/>
  <c r="N39" i="4"/>
  <c r="M39" i="4"/>
  <c r="E24" i="4"/>
  <c r="B20" i="7"/>
  <c r="D24" i="4"/>
  <c r="H11" i="7" s="1"/>
  <c r="L31" i="4"/>
  <c r="D27" i="7" s="1"/>
  <c r="O31" i="4"/>
  <c r="E27" i="7" s="1"/>
  <c r="N31" i="4"/>
  <c r="M31" i="4"/>
  <c r="P31" i="4"/>
  <c r="F27" i="7" s="1"/>
  <c r="B14" i="4"/>
  <c r="B5" i="7"/>
  <c r="E17" i="7"/>
  <c r="B36" i="7"/>
  <c r="E40" i="4"/>
  <c r="D40" i="4"/>
  <c r="O28" i="4"/>
  <c r="L28" i="4"/>
  <c r="P28" i="4"/>
  <c r="F24" i="7" s="1"/>
  <c r="N28" i="4"/>
  <c r="M28" i="4"/>
  <c r="L27" i="4"/>
  <c r="D23" i="7" s="1"/>
  <c r="N27" i="4"/>
  <c r="M27" i="4"/>
  <c r="P27" i="4"/>
  <c r="F23" i="7" s="1"/>
  <c r="O27" i="4"/>
  <c r="E23" i="7" s="1"/>
  <c r="E26" i="4"/>
  <c r="B22" i="7"/>
  <c r="D26" i="4"/>
  <c r="B6" i="4"/>
  <c r="C4" i="7"/>
  <c r="L23" i="4"/>
  <c r="D19" i="7" s="1"/>
  <c r="N23" i="4"/>
  <c r="M23" i="4"/>
  <c r="P23" i="4"/>
  <c r="F19" i="7" s="1"/>
  <c r="O23" i="4"/>
  <c r="E19" i="7" s="1"/>
  <c r="P38" i="4"/>
  <c r="F34" i="7" s="1"/>
  <c r="L38" i="4"/>
  <c r="D34" i="7" s="1"/>
  <c r="O38" i="4"/>
  <c r="E34" i="7" s="1"/>
  <c r="N38" i="4"/>
  <c r="M38" i="4"/>
  <c r="E5" i="7" s="1"/>
  <c r="O32" i="4"/>
  <c r="E28" i="7" s="1"/>
  <c r="L32" i="4"/>
  <c r="D28" i="7" s="1"/>
  <c r="P32" i="4"/>
  <c r="F28" i="7" s="1"/>
  <c r="N32" i="4"/>
  <c r="M32" i="4"/>
  <c r="E36" i="4"/>
  <c r="B32" i="7"/>
  <c r="D36" i="4"/>
  <c r="B5" i="4"/>
  <c r="O36" i="4"/>
  <c r="E32" i="7" s="1"/>
  <c r="L36" i="4"/>
  <c r="D32" i="7" s="1"/>
  <c r="P36" i="4"/>
  <c r="F32" i="7" s="1"/>
  <c r="N36" i="4"/>
  <c r="M36" i="4"/>
  <c r="B8" i="4" l="1"/>
  <c r="F5" i="7"/>
  <c r="H9" i="7"/>
  <c r="B11" i="7"/>
  <c r="H10" i="7"/>
  <c r="E4" i="7"/>
  <c r="B9" i="7"/>
  <c r="B7" i="4"/>
  <c r="D18" i="7"/>
  <c r="D4" i="7"/>
  <c r="H12" i="7"/>
  <c r="D24" i="7"/>
  <c r="D5" i="7"/>
  <c r="F18" i="7"/>
  <c r="B12" i="7"/>
  <c r="H4" i="7"/>
  <c r="B10" i="4"/>
  <c r="E24" i="7"/>
  <c r="G5" i="7"/>
  <c r="B9" i="4"/>
  <c r="B12" i="4" s="1"/>
  <c r="E10" i="7" s="1"/>
  <c r="F4" i="7"/>
  <c r="H5" i="7"/>
  <c r="G4" i="7"/>
  <c r="B10" i="7"/>
  <c r="B13" i="4" l="1"/>
  <c r="E11" i="7" s="1"/>
  <c r="B15" i="4"/>
  <c r="E12" i="7" s="1"/>
  <c r="B11" i="4"/>
  <c r="E9" i="7" s="1"/>
</calcChain>
</file>

<file path=xl/sharedStrings.xml><?xml version="1.0" encoding="utf-8"?>
<sst xmlns="http://schemas.openxmlformats.org/spreadsheetml/2006/main" count="888" uniqueCount="530">
  <si>
    <t>ID_Tecnica_Interna</t>
  </si>
  <si>
    <t>Táctica_MITRE</t>
  </si>
  <si>
    <t>ID_Táctica</t>
  </si>
  <si>
    <t>Técnica_MITRE</t>
  </si>
  <si>
    <t>ID_Técnica</t>
  </si>
  <si>
    <t>Subtécnica</t>
  </si>
  <si>
    <t>ID_Subtécnica</t>
  </si>
  <si>
    <t>Descripción</t>
  </si>
  <si>
    <t>Justificación_selección</t>
  </si>
  <si>
    <t>Observable_en_HOST</t>
  </si>
  <si>
    <t>Tipo_de_Evidencia_Host_Esperada</t>
  </si>
  <si>
    <t>Procedimiento_de_Prueba</t>
  </si>
  <si>
    <t>Criterio_de_Éxito</t>
  </si>
  <si>
    <t>Notas_Tecnicas</t>
  </si>
  <si>
    <t>Enlace_Referencia</t>
  </si>
  <si>
    <t>Execution</t>
  </si>
  <si>
    <t>TA0002</t>
  </si>
  <si>
    <t>Command and Scripting Interpreter</t>
  </si>
  <si>
    <t>T1059</t>
  </si>
  <si>
    <t>PowerShell</t>
  </si>
  <si>
    <t>T1059.001</t>
  </si>
  <si>
    <t>Ejecución de comandos o scripts mediante PowerShell.</t>
  </si>
  <si>
    <t>Muy frecuente, muy visible en host y perfecta para una primera prueba.</t>
  </si>
  <si>
    <t>Sí</t>
  </si>
  <si>
    <t>Process Create</t>
  </si>
  <si>
    <t>Ejecutar powershell.exe con un script benigno local y parámetros visibles.</t>
  </si>
  <si>
    <t>Ver powershell.exe con Image, ParentImage y CommandLine coherentes.</t>
  </si>
  <si>
    <t>Empezar sin ofuscación; luego hacer una variante con argumentos más sospechosos.</t>
  </si>
  <si>
    <t>https://attack.mitre.org/techniques/T1059/001/</t>
  </si>
  <si>
    <t>Windows Command Shell</t>
  </si>
  <si>
    <t>T1059.003</t>
  </si>
  <si>
    <t>Ejecución de comandos a través de cmd.exe.</t>
  </si>
  <si>
    <t>Muy simple de probar y muy trazable.</t>
  </si>
  <si>
    <t>Lanzar cmd.exe con comandos benignos de prueba.</t>
  </si>
  <si>
    <t>Ver cmd.exe y su línea de comandos completa.</t>
  </si>
  <si>
    <t>Buena como baseline antes de PowerShell más complejo.</t>
  </si>
  <si>
    <t>https://attack.mitre.org/techniques/T1059/003</t>
  </si>
  <si>
    <t>Persistence</t>
  </si>
  <si>
    <t>TA0003</t>
  </si>
  <si>
    <t>Scheduled Task/Job</t>
  </si>
  <si>
    <t>T1053</t>
  </si>
  <si>
    <t>Scheduled Task</t>
  </si>
  <si>
    <t>T1053.005</t>
  </si>
  <si>
    <t>Creación de una tarea programada para ejecutar un binario o script.</t>
  </si>
  <si>
    <t>Muy típica y fácil de reproducir de forma benigna.</t>
  </si>
  <si>
    <t>Crear una tarea programada que ejecute una acción benigna y forzar su ejecución.</t>
  </si>
  <si>
    <r>
      <t xml:space="preserve">Ver </t>
    </r>
    <r>
      <rPr>
        <sz val="10"/>
        <color theme="1"/>
        <rFont val="Arial Unicode MS"/>
      </rPr>
      <t>schtasks.exe</t>
    </r>
    <r>
      <rPr>
        <sz val="11"/>
        <color theme="1"/>
        <rFont val="Aptos Narrow"/>
        <family val="2"/>
        <scheme val="minor"/>
      </rPr>
      <t xml:space="preserve"> y posteriormente el proceso lanzado por la tarea.</t>
    </r>
  </si>
  <si>
    <t>Técnica multiuso; aquí la modelas como persistencia.</t>
  </si>
  <si>
    <t>https://attack.mitre.org/techniques/T1053/005</t>
  </si>
  <si>
    <t>Boot or Logon Autostart Execution</t>
  </si>
  <si>
    <t>T1547</t>
  </si>
  <si>
    <t>Registry Run Keys / Startup Folder - HKCU Run</t>
  </si>
  <si>
    <t>T1547.001</t>
  </si>
  <si>
    <t>Persistencia mediante clave Run o carpeta de inicio.</t>
  </si>
  <si>
    <t>Clásica, muy justificable y con evidencia clara en registro.</t>
  </si>
  <si>
    <t>Regisitry</t>
  </si>
  <si>
    <t>Crear una clave Run de prueba o usar Startup con un payload benigno.</t>
  </si>
  <si>
    <t>Ver evento de modificación de registro y, si aplica, la ejecución posterior al logon.</t>
  </si>
  <si>
    <t>Empezar por HKCU, no por HKLM.</t>
  </si>
  <si>
    <t>https://attack.mitre.org/techniques/T1547/001</t>
  </si>
  <si>
    <t>System Services</t>
  </si>
  <si>
    <t>T1569</t>
  </si>
  <si>
    <t>Service Execution</t>
  </si>
  <si>
    <t>T1569.002</t>
  </si>
  <si>
    <t>Ejecución de contenido a través de un servicio de Windows.</t>
  </si>
  <si>
    <t>Muy representativa y bastante simple.</t>
  </si>
  <si>
    <t>Service</t>
  </si>
  <si>
    <t>Crear o modificar un servicio benigno y arrancarlo.</t>
  </si>
  <si>
    <t>Ver creación/modificación y arranque del servicio, además del proceso hijo.</t>
  </si>
  <si>
    <t>Mejor usar un servicio temporal de prueba y borrarlo al final.</t>
  </si>
  <si>
    <t>https://attack.mitre.org/techniques/T1569/002</t>
  </si>
  <si>
    <t>Discovery</t>
  </si>
  <si>
    <t>TA0007</t>
  </si>
  <si>
    <t>Software Discovery</t>
  </si>
  <si>
    <t>T1518</t>
  </si>
  <si>
    <t>Security Software Discovery</t>
  </si>
  <si>
    <t>T1518.001</t>
  </si>
  <si>
    <t>Enumeración de software de seguridad o herramientas defensivas instaladas.</t>
  </si>
  <si>
    <t>Muy relevante antes de evasión y muy asumible en primeras pruebas.</t>
  </si>
  <si>
    <t>Ejecutar una consulta benigna para listar AV, EDR o sensores instalados.</t>
  </si>
  <si>
    <t>Ver el proceso de consulta y su línea de comandos.</t>
  </si>
  <si>
    <t>Aquí solo discovery, sin desactivar nada.</t>
  </si>
  <si>
    <t>https://attack.mitre.org/techniques/T1518/001</t>
  </si>
  <si>
    <t>Impact</t>
  </si>
  <si>
    <t>TA0040</t>
  </si>
  <si>
    <t>Data Encrypted for Impact</t>
  </si>
  <si>
    <t>T1486</t>
  </si>
  <si>
    <t>N/A</t>
  </si>
  <si>
    <t>Cifrado de ficheros para interrumpir la disponibilidad de la información.</t>
  </si>
  <si>
    <t>Técnica núcleo del foco ransomware del TFM.</t>
  </si>
  <si>
    <t>Multiple</t>
  </si>
  <si>
    <t>Usar un simulador benigno que cifre o renombre solo archivos dummy en una carpeta de laboratorio.</t>
  </si>
  <si>
    <t>Ver el proceso lanzado y actividad anómala concentrada sobre la carpeta de prueba.</t>
  </si>
  <si>
    <t>Siempre con snapshot previo; nunca sobre datos reales.</t>
  </si>
  <si>
    <t>https://attack.mitre.org/techniques/T1486/</t>
  </si>
  <si>
    <t>ID_Operación_Benigna</t>
  </si>
  <si>
    <t>Operación benigna</t>
  </si>
  <si>
    <t>Código_usado</t>
  </si>
  <si>
    <t>PowerShell administrativo básico</t>
  </si>
  <si>
    <t>Ejecución de PowerShell para consultar fecha y procesos, sin flags sospechosos ni marcadores TFM/TEC.</t>
  </si>
  <si>
    <t>Permite comprobar que el artifact no alerta por cualquier ejecución legítima de PowerShell.</t>
  </si>
  <si>
    <t>Sí: powershell.exe</t>
  </si>
  <si>
    <t>Sysmon Event ID 1 - ProcessCreation</t>
  </si>
  <si>
    <t>Ejecutar PowerShell con una consulta administrativa básica.</t>
  </si>
  <si>
    <t>La operación genera telemetría host, pero no alerta CU-TFM-001.</t>
  </si>
  <si>
    <t>Caso benigno de referencia para diferenciar uso administrativo de PowerShell frente a ejecución sospechosa con bypass, encodedcommand o marcadores de laboratorio.</t>
  </si>
  <si>
    <t>powershell.exe -Command "Get-Date; Get-Process | Select-Object -First 5"</t>
  </si>
  <si>
    <t>OB-002</t>
  </si>
  <si>
    <t>PowerShell con consulta de sistema</t>
  </si>
  <si>
    <t>Consulta información básica del sistema operativo mediante Get-CimInstance.</t>
  </si>
  <si>
    <t>Permite validar que una consulta WMI/CIM genérica no se confunde con descubrimiento de software de seguridad.</t>
  </si>
  <si>
    <t>Ejecutar una consulta CIM sobre Win32_OperatingSystem.</t>
  </si>
  <si>
    <t>No debe generar alerta CU-TFM-006.</t>
  </si>
  <si>
    <t>Tras el ajuste, TEC-006 solo debe alertar si aparece SecurityCenter2 o AntivirusProduct.</t>
  </si>
  <si>
    <t>powershell.exe -Command "Get-CimInstance Win32_OperatingSystem | Select-Object Caption,Version"</t>
  </si>
  <si>
    <t>OB-003</t>
  </si>
  <si>
    <t>CMD benigno simple</t>
  </si>
  <si>
    <t>Ejecución de cmd.exe /c para crear un fichero de texto sin marcadores TEC.</t>
  </si>
  <si>
    <t>Valida que no se alerta cualquier uso de cmd.exe.</t>
  </si>
  <si>
    <t>Sí: cmd.exe</t>
  </si>
  <si>
    <t>Sysmon Event ID 1 - ProcessCreation; posible Event ID 11 - FileCreate</t>
  </si>
  <si>
    <t>Crear un fichero benigno en C:\Users\Public.</t>
  </si>
  <si>
    <t>No debe generar alerta CU-TFM-002.</t>
  </si>
  <si>
    <t>No incluye TFM_CMD_TEST, TEC002_OK ni otros marcadores de laboratorio.</t>
  </si>
  <si>
    <t>cmd.exe /c echo prueba benigna &gt; C:\Users\Public\benigno_cmd.txt</t>
  </si>
  <si>
    <t>OB-004</t>
  </si>
  <si>
    <t>Consulta de directorio con CMD</t>
  </si>
  <si>
    <t>Listado de archivos mediante dir.</t>
  </si>
  <si>
    <t>Representa una operación normal de usuario o administración básica.</t>
  </si>
  <si>
    <t>Ejecutar un listado de directorio sobre C:\Users\Public.</t>
  </si>
  <si>
    <t>Comprueba que el uso de cmd.exe /c por sí solo no dispara la regla.</t>
  </si>
  <si>
    <t>cmd.exe /c dir C:\Users\Public</t>
  </si>
  <si>
    <t>OB-005</t>
  </si>
  <si>
    <t>Consulta de tareas programadas</t>
  </si>
  <si>
    <t>Enumeración de tareas existentes mediante schtasks /query.</t>
  </si>
  <si>
    <t>Distingue consulta legítima de creación o manipulación de tareas programadas.</t>
  </si>
  <si>
    <t>Sí: schtasks.exe</t>
  </si>
  <si>
    <t>Ejecutar una consulta de tareas programadas.</t>
  </si>
  <si>
    <t>No debe generar alerta CU-TFM-003.</t>
  </si>
  <si>
    <t>La consulta pasiva no representa ejecución ni persistencia.</t>
  </si>
  <si>
    <t>schtasks /query /fo LIST</t>
  </si>
  <si>
    <t>OB-006</t>
  </si>
  <si>
    <t>Creación de tarea programada benigna</t>
  </si>
  <si>
    <t>Crea y elimina una tarea programada benigna sin marcadores TFM.</t>
  </si>
  <si>
    <t>Prueba actividad dual-use real: puede ser administración legítima o persistencia maliciosa.</t>
  </si>
  <si>
    <t>Crear y eliminar una tarea programada benigna.</t>
  </si>
  <si>
    <t>Puede generar alerta CU-TFM-003; si alerta, se clasifica como falso positivo controlado o dual-use esperable.</t>
  </si>
  <si>
    <t>Se mantiene como detección amplia porque schtasks /create y /delete son relevantes en contexto SOC.</t>
  </si>
  <si>
    <t>schtasks /create /tn "Benign_Update_Check" /tr "cmd.exe /c echo benigno &gt; C:\Users\Public\benign_task.txt" /sc once /st 23:59 &amp;&amp; schtasks /delete /tn "Benign_Update_Check" /f</t>
  </si>
  <si>
    <t>OB-007</t>
  </si>
  <si>
    <t>Consulta de Run Keys</t>
  </si>
  <si>
    <t>Consulta pasiva de claves Run del registro sin modificación.</t>
  </si>
  <si>
    <t>Diferencia enumeración legítima de persistencia mediante modificación de Run Keys.</t>
  </si>
  <si>
    <t>Sí: reg.exe</t>
  </si>
  <si>
    <t>Ejecutar reg query sobre HKCU\Software\Microsoft\Windows\CurrentVersion\Run.</t>
  </si>
  <si>
    <t>No debe generar alerta CU-TFM-004.</t>
  </si>
  <si>
    <t>Tras el ajuste, TEC-004 debe alertar solo ante add/delete, no ante query.</t>
  </si>
  <si>
    <t>reg query "HKCU\Software\Microsoft\Windows\CurrentVersion\Run"</t>
  </si>
  <si>
    <t>OB-008</t>
  </si>
  <si>
    <t>Modificación benigna de clave no persistente</t>
  </si>
  <si>
    <t>Crea y elimina una clave de registro no relacionada con Run.</t>
  </si>
  <si>
    <t>Comprueba que la regla de persistencia no detecta cualquier modificación del registro.</t>
  </si>
  <si>
    <t>Crear y eliminar una clave HKCU\Software\TFM_Benigno.</t>
  </si>
  <si>
    <t>Aunque aparece TFM en la ruta, no afecta a CurrentVersion\Run, por lo que no debería mapear a T1547.001.</t>
  </si>
  <si>
    <t>reg add HKCU\Software\TFM_Benigno /v Test /t REG_SZ /d benigno /f &amp;&amp; reg delete HKCU\Software\TFM_Benigno /f</t>
  </si>
  <si>
    <t>OB-009</t>
  </si>
  <si>
    <t>Consulta de servicio Windows</t>
  </si>
  <si>
    <t>Consulta el estado de un servicio legítimo del sistema.</t>
  </si>
  <si>
    <t>Valida que no se detecta cualquier uso de sc.exe.</t>
  </si>
  <si>
    <t>Sí: sc.exe</t>
  </si>
  <si>
    <t>Ejecutar sc query sobre Spooler.</t>
  </si>
  <si>
    <t>No debe generar alerta CU-TFM-005.</t>
  </si>
  <si>
    <t>La consulta de servicio no implica creación ni ejecución de servicio.</t>
  </si>
  <si>
    <t>sc query Spooler</t>
  </si>
  <si>
    <t>OB-010</t>
  </si>
  <si>
    <t>Consulta de servicio Windows Update</t>
  </si>
  <si>
    <t>Consulta el estado del servicio wuauserv sin modificarlo.</t>
  </si>
  <si>
    <t>Comprueba que operaciones administrativas pasivas sobre servicios no se clasifican como T1569.002.</t>
  </si>
  <si>
    <t>Ejecutar sc query sobre wuauserv.</t>
  </si>
  <si>
    <t>Se evita parar o arrancar servicios para no alterar el sistema.</t>
  </si>
  <si>
    <t>sc query wuauserv</t>
  </si>
  <si>
    <t>OB-011</t>
  </si>
  <si>
    <t>Consulta WMI no sensible</t>
  </si>
  <si>
    <t>Consulta WMI genérica sobre el sistema operativo mediante wmic.</t>
  </si>
  <si>
    <t>Diferencia WMI administrativo de descubrimiento de antivirus o software de seguridad.</t>
  </si>
  <si>
    <t>Sí: wmic.exe</t>
  </si>
  <si>
    <t>Ejecutar wmic os get Caption,Version.</t>
  </si>
  <si>
    <t>Tras el ajuste, TEC-006 debe requerir SecurityCenter2 o AntivirusProduct.</t>
  </si>
  <si>
    <t>wmic os get Caption,Version</t>
  </si>
  <si>
    <t>OB-012</t>
  </si>
  <si>
    <t>Creación de archivos .txt</t>
  </si>
  <si>
    <t>Crea varios ficheros de texto no cifrados.</t>
  </si>
  <si>
    <t>Distingue actividad normal de escritura de archivos frente a creación de artefactos cifrados tipo ransomware.</t>
  </si>
  <si>
    <t>Sí: cmd.exe; creación de .txt</t>
  </si>
  <si>
    <t>Crear una carpeta y varios archivos .txt en C:\Users\Public.</t>
  </si>
  <si>
    <t>No debe generar alerta CU-TFM-007.</t>
  </si>
  <si>
    <t>No se usa extensión .aes ni rutas TEC-007_LAB/Ransomware.</t>
  </si>
  <si>
    <t>cmd.exe /c mkdir C:\Users\Public\benign_files &amp; echo test &gt; C:\Users\Public\benign_files\file1.txt &amp; echo test &gt; C:\Users\Public\benign_files\file2.txt</t>
  </si>
  <si>
    <t>OB-013</t>
  </si>
  <si>
    <t>Copia de archivos</t>
  </si>
  <si>
    <t>Copia un fichero benigno a una carpeta de respaldo no asociada al laboratorio ransomware.</t>
  </si>
  <si>
    <t>Simula una operación normal de usuario o backup sin cifrado ni extensión sospechosa.</t>
  </si>
  <si>
    <t>Sí: cmd.exe; copy; creación en destino</t>
  </si>
  <si>
    <t>Copiar file1.txt a una carpeta benign_backup.</t>
  </si>
  <si>
    <t>Evita rutas Ransomware, TEC-007_LAB y extensión .aes para medir falsos positivos.</t>
  </si>
  <si>
    <t>cmd.exe /c mkdir C:\Users\Public\benign_backup &amp; copy C:\Users\Public\benign_files\file1.txt C:\Users\Public\benign_backup\file1_copy.txt</t>
  </si>
  <si>
    <t>OB-014</t>
  </si>
  <si>
    <t>Borrado de archivo benigno</t>
  </si>
  <si>
    <t>Elimina un archivo .txt normal previamente creado.</t>
  </si>
  <si>
    <t>Comprueba que un borrado benigno no se confunde con comportamiento ransomware.</t>
  </si>
  <si>
    <t>Sí: cmd.exe; del</t>
  </si>
  <si>
    <t>Sysmon Event ID 1 - ProcessCreation; posible Event ID 23/26 - FileDelete</t>
  </si>
  <si>
    <t>Eliminar file1_copy.txt.</t>
  </si>
  <si>
    <t>No se borra extensión .aes ni archivo asociado al laboratorio ransomware.</t>
  </si>
  <si>
    <t>cmd.exe /c del C:\Users\Public\benign_backup\file1_copy.txt</t>
  </si>
  <si>
    <t>OB-015</t>
  </si>
  <si>
    <t>Creación de archivo con extensión no .aes</t>
  </si>
  <si>
    <t>Crea un archivo .bak benigno.</t>
  </si>
  <si>
    <t>Verifica que la detección no alerta por cualquier extensión distinta a .txt.</t>
  </si>
  <si>
    <t>Sí: cmd.exe; creación de .bak</t>
  </si>
  <si>
    <t>Crear un archivo file1.bak en carpeta benigna.</t>
  </si>
  <si>
    <t>Valida que la regla ransomware se centra en .aes y marcadores/rutas controladas.</t>
  </si>
  <si>
    <t>cmd.exe /c echo backup &gt; C:\Users\Public\benign_files\file1.bak</t>
  </si>
  <si>
    <t>ID_Prueba</t>
  </si>
  <si>
    <t>ID_Interna</t>
  </si>
  <si>
    <t>Evidencia_Host_Observada</t>
  </si>
  <si>
    <t>Escenario_Prueba</t>
  </si>
  <si>
    <t>VM_Snapshot_ID</t>
  </si>
  <si>
    <t>Version_Velociraptor</t>
  </si>
  <si>
    <t>Artefacto_VR_Usado</t>
  </si>
  <si>
    <t>Tipo_Artefacto</t>
  </si>
  <si>
    <t>Modo_Ejecución</t>
  </si>
  <si>
    <t>Resultado_Detección</t>
  </si>
  <si>
    <t>Ground_Truth</t>
  </si>
  <si>
    <t>Clasificacion_Resultado</t>
  </si>
  <si>
    <t>Resumen_Evidencia</t>
  </si>
  <si>
    <t>Tiempo_Hasta_Evidencia</t>
  </si>
  <si>
    <t>Replicable</t>
  </si>
  <si>
    <t>Ref_Captura_Log_Anexo</t>
  </si>
  <si>
    <t>Fuente_Telemetria_Host</t>
  </si>
  <si>
    <t>Deteccion_VR_OK</t>
  </si>
  <si>
    <t>Comentario</t>
  </si>
  <si>
    <t>TEC-001</t>
  </si>
  <si>
    <r>
      <t xml:space="preserve">EventID 1 (Process Create) con </t>
    </r>
    <r>
      <rPr>
        <sz val="11"/>
        <color theme="1"/>
        <rFont val="Aptos Narrow"/>
        <family val="2"/>
        <scheme val="minor"/>
      </rPr>
      <t>Image = powershell.exe, CommandLine = powershell.exe -NoProfile -ExecutionPolicy Bypass -File prueba_ps.ps1 y ParentImage = cmd.exe</t>
    </r>
  </si>
  <si>
    <t>Ejecución controlada de script benigno local mediante PowerShell</t>
  </si>
  <si>
    <t>02_VR_Con_Artifacts_Funcionando</t>
  </si>
  <si>
    <t>0.75.6</t>
  </si>
  <si>
    <t>Custom.TFM.Alert.Process/Sysmon_Process_File_UseCases</t>
  </si>
  <si>
    <t>Event artifact</t>
  </si>
  <si>
    <t>Client Event</t>
  </si>
  <si>
    <t>Detectado</t>
  </si>
  <si>
    <t>Positivo</t>
  </si>
  <si>
    <t>verdadero positivo</t>
  </si>
  <si>
    <t>Velociraptor mostró un evento Sysmon del canal Microsoft-Windows-Sysmon/Operational con EventID = 1, donde se observó la ejecución de powershell.exe, su línea de comandos y el proceso padre cmd.exe</t>
  </si>
  <si>
    <t>&lt;5 min</t>
  </si>
  <si>
    <t>Resultado_TEC-001.png</t>
  </si>
  <si>
    <t>Windows.EventLogs.Evtx</t>
  </si>
  <si>
    <r>
      <t xml:space="preserve">La detección es válida, pero en este artifact la información útil aparece embebida en </t>
    </r>
    <r>
      <rPr>
        <sz val="11"/>
        <color theme="1"/>
        <rFont val="Aptos Narrow"/>
        <family val="2"/>
        <scheme val="minor"/>
      </rPr>
      <t>Message, no en columnas separadas</t>
    </r>
  </si>
  <si>
    <t>TEC-002</t>
  </si>
  <si>
    <t>Proceso cmd.exe con CommandLine conteniendo el marcador TEC002_OK; ParentCommandLine asociado a C:\Windows\Explorer.EXE; aparición coherente de procesos hijo como conhost.exe y timeout.exe.</t>
  </si>
  <si>
    <t>Ejecución benigna controlada de cmd.exe para crear un fichero temporal mediante echo, incluyendo una variante con timeout para mejorar la observabilidad.</t>
  </si>
  <si>
    <t>Velociraptor registró cmd.exe con la línea de comandos de la prueba y el marcador TEC002_OK, con relación padre-hijo coherente respecto a explorer.exe.</t>
  </si>
  <si>
    <t>Resultado_TEC-002.png</t>
  </si>
  <si>
    <t>Sysmon Event ID 1 — Process Create</t>
  </si>
  <si>
    <r>
      <t xml:space="preserve">La variante con </t>
    </r>
    <r>
      <rPr>
        <sz val="11"/>
        <color theme="1"/>
        <rFont val="Aptos Narrow"/>
        <family val="2"/>
        <scheme val="minor"/>
      </rPr>
      <t>timeout fue más robusta que la ejecución demasiado corta. Resultado válido como prueba base de ejecución vía shell.</t>
    </r>
  </si>
  <si>
    <t>TEC-003</t>
  </si>
  <si>
    <t>Creación de tarea programada TFM-TEC-003, ejecución de schtasks.exe, ejecución de cmd.exe y creación de C:\Users\Public\tec003_ok.txt</t>
  </si>
  <si>
    <t>Creación manual de tarea programada benigna y ejecución forzada con schtasks /run</t>
  </si>
  <si>
    <t>03_TFM_Montado_Configurado</t>
  </si>
  <si>
    <t>Se creó la tarea TFM-TEC-003, se ejecutó manualmente y se generó correctamente el fichero de evidencia</t>
  </si>
  <si>
    <t>Resultado_TEC-003.png</t>
  </si>
  <si>
    <t>Técnica validada correctamente; la ejecución final funcionó al usar comando directo en la tarea programada</t>
  </si>
  <si>
    <t>TEC-004</t>
  </si>
  <si>
    <t>Clave HKCU\Software\Microsoft\Windows\CurrentVersion\Run con valor TFM_T1547_001_test → C:\Windows\System32\calc.exe; procesos reg.exe (add/delete) y ejecución de calc.exe tras logon.</t>
  </si>
  <si>
    <t>VM Windows 10 aislada; usuario estándar seguridad; script batch TFM_T1547_001.bat que crea y elimina persistencia T1547.001 apuntando a calc.exe.</t>
  </si>
  <si>
    <t>04_Antes_de_persistencia</t>
  </si>
  <si>
    <t>Eventos de reg.exe con reg add/delete HKCU\...\Run TFM_T1547_001_test invocados desde cmd.exe (parent Explorer.EXE); presencia temporal del valor Run en StartupItems.</t>
  </si>
  <si>
    <t>Resultado_TEC-004.png</t>
  </si>
  <si>
    <t>Lectura del registro de usuario (HKCU Run).</t>
  </si>
  <si>
    <t>Caso de bajo riesgo usando binario legítimo (calc.exe) como payload benigno; escenario ideal para ilustrar T1547.001 con alta trazabilidad y limpieza sencilla en entorno académico.</t>
  </si>
  <si>
    <t>TEC-005</t>
  </si>
  <si>
    <t>Creacion de servicio temporal TFM_TEC005_20260406_151223 con binPath C:\Windows\System32\cmd.exe /c echo ServicioEjecutado_20260406_151223 &gt; "C:\Users\seguridad\Desktop\TFM\Pruebas\TEC005\TFM_TEC005_20260406_151223.txt"; generacion correcta del fichero de evidencia y posterior borrado del servicio.</t>
  </si>
  <si>
    <t>VM Windows 10 aislada; usuario seguridad; PowerShell como administrador; script sc.ps1 que crea, arranca, verifica y elimina un servicio temporal benigno para T1569.002.</t>
  </si>
  <si>
    <t>Evento 7045 capturado en Velociraptor con nombre de servicio TFM_TEC005_20260406_151223, DisplayName TFM TEC005 Test Service e ImagePath apuntando a cmd.exe /c echo ServicioEjecutado_20260406_151223 &gt; "...TFM_TEC005_20260406_151223.txt"; evidencia host generada correctamente y limpieza final del servicio completada.</t>
  </si>
  <si>
    <t>Resultado_TEC-005.png &amp; Resultado_TEC-005.2.png</t>
  </si>
  <si>
    <t>Log System / Service Control Manager (7045) y evidencia host en fichero de salida.</t>
  </si>
  <si>
    <t>Caso benigno, trazable y de bajo riesgo para ilustrar T1569.002 mediante creacion y ejecucion de un servicio temporal; alta claridad forense y limpieza sencilla para entorno academico.</t>
  </si>
  <si>
    <t>TEC-006</t>
  </si>
  <si>
    <t>Ejecución de powershell.exe con -File TEC006.ps1, powershell.exe con Get-CimInstance -Namespace 'root/SecurityCenter2' -ClassName 'AntivirusProduct', cmd.exe y WMIC.exe con consulta wmic /namespace:\\root\SecurityCenter2 path AntivirusProduct get displayName,productState</t>
  </si>
  <si>
    <t>05_Despues_de_ransom</t>
  </si>
  <si>
    <t>Sysmon Event ID 1 con CommandLine completa de TEC006.ps1, Get-CimInstance y WMIC sobre SecurityCenter2/AntivirusProduct; cadena powershell → cmd → WMIC</t>
  </si>
  <si>
    <t>Resultado_TEC-006.png &amp; Resultado_TEC-006.2.png</t>
  </si>
  <si>
    <t>Sysmon Operational / Event ID 1</t>
  </si>
  <si>
    <t>Se descarta Windows.Events.ProcessCreation como evidencia principal por menor claridad; SysmonLogForward ofrece trazabilidad más sólida</t>
  </si>
  <si>
    <t>TEC-007</t>
  </si>
  <si>
    <t>Ejecución de powershell.exe con Scriptransom.ps1 (Sysmon ID 1), creación/escritura de artefactos asociados al ataque (Sysmon ID 11), presencia final de archivos .aes en TEC-007_LAB, presencia de copias en backups y ausencia final de temp_*.aes. No se observaron eventos ID 23/26 de borrado.</t>
  </si>
  <si>
    <t>Simulación controlada de cifrado AES sobre ficheros dummy, con copia previa a backups, borrado del original y movimiento interno del temporal cifrado a .aes final.</t>
  </si>
  <si>
    <t>Velociraptor detectó la ejecución del script mediante Sysmon ID 1 y mostró eventos ID 11 coherentes con creación/escritura de artefactos del ataque. El estado final del host confirmó la presencia de .aes en la carpeta atacada y de backups del original.</t>
  </si>
  <si>
    <t>Resultado_TEC-007.png &amp; Resultado_TEC-007.2.png &amp; Resultado_TEC-007.3.png &amp; Resultado_TEC-007.4.png &amp; Resultado_TEC-007.5.png &amp; Resultado_TEC-007.6.png &amp; Resultado_TEC-007.7.png</t>
  </si>
  <si>
    <t>Sysmon (Microsoft-Windows-Sysmon/Operational) + estado del sistema de ficheros mediante glob()</t>
  </si>
  <si>
    <t>Detección parcial-fuerte. Se demuestra ejecución e impacto final compatibles con T1486, pero no se observaron eventos FileDelete (ID 23/26) en la configuración activa de Sysmon. El paso temp_*.aes -&gt; *.aes final se interpreta como move/rename interno inferido, no como evento explícito.</t>
  </si>
  <si>
    <t>OB-001</t>
  </si>
  <si>
    <t>Sysmon Event ID 1 asociado a powershell.exe con CommandLine = powershell.exe -Command "Get-Date; Get-Process | Select-Object -First 5" y ParentImage = cmd.exe.</t>
  </si>
  <si>
    <t>Validación de operaciones benignas para evaluación de falsos positivos del artifact</t>
  </si>
  <si>
    <t>06_Validacion_FP_Artifact_Ajustado</t>
  </si>
  <si>
    <t>No detectado</t>
  </si>
  <si>
    <t>Negativo</t>
  </si>
  <si>
    <t>verdadero negativo</t>
  </si>
  <si>
    <t>La operación generó telemetría host normal de creación de proceso, pero el artifact no la clasificó como TEC-001 al no existir flags sospechosos ni marcadores TFM/TEC.</t>
  </si>
  <si>
    <t>No aplica</t>
  </si>
  <si>
    <t>Resultado_OB-001.png</t>
  </si>
  <si>
    <t>Resultado correcto: PowerShell legítimo no fue alertado. Control benigno para TEC-001.</t>
  </si>
  <si>
    <t>Sysmon Event ID 1 asociado a powershell.exe con CommandLine = powershell.exe -Command "Get-CimInstance Win32_OperatingSystem | Select-Object Caption,Version".</t>
  </si>
  <si>
    <t>La consulta CIM/WMI genérica del sistema operativo generó telemetría host, pero no fue clasificada como TEC-006 tras restringir la regla a SecurityCenter2/AntivirusProduct.</t>
  </si>
  <si>
    <t>Resultado_OB-002.png</t>
  </si>
  <si>
    <t>Resultado correcto: WMI/CIM administrativo no sensible no generó alerta de descubrimiento de software de seguridad.</t>
  </si>
  <si>
    <t>Sysmon Event ID 1 asociado a cmd.exe con CommandLine = cmd.exe /c echo prueba benigna &gt; C:\Users\Public\benigno_cmd.txt.</t>
  </si>
  <si>
    <t>La ejecución de cmd.exe creó un fichero de texto benigno sin marcadores TEC002_OK ni TFM_CMD_TEST, por lo que no se generó alerta TEC-002.</t>
  </si>
  <si>
    <t>Resultado_OB-003.png</t>
  </si>
  <si>
    <t>Sysmon Operational / Event ID 1; posible Event ID 11</t>
  </si>
  <si>
    <t>Resultado correcto: cmd.exe /c por sí solo no dispara la regla si no contiene marcadores de laboratorio.</t>
  </si>
  <si>
    <t>Sysmon Event ID 1 asociado a cmd.exe con CommandLine = cmd.exe /c dir C:\Users\Public.</t>
  </si>
  <si>
    <t>El listado de directorio generó telemetría de proceso, pero no coincidió con los criterios de TEC-002.</t>
  </si>
  <si>
    <t>Resultado_OB-004.png</t>
  </si>
  <si>
    <t>Resultado correcto: operación administrativa básica sin alerta.</t>
  </si>
  <si>
    <t>Sysmon Event ID 1 asociado a schtasks.exe con CommandLine = schtasks /query /fo LIST.</t>
  </si>
  <si>
    <t>La enumeración pasiva de tareas programadas no generó alerta CU-TFM-003, al no implicar creación, ejecución ni eliminación de tarea.</t>
  </si>
  <si>
    <t>Resultado_OB-005.png</t>
  </si>
  <si>
    <t>Resultado correcto: se diferencia consulta legítima de manipulación de tareas programadas.</t>
  </si>
  <si>
    <t>Sysmon Event ID 1 asociado a schtasks.exe con CommandLine de creación de tarea Benign_Update_Check y posterior eliminación con schtasks /delete.</t>
  </si>
  <si>
    <t>falso positivo controlado / dual-use</t>
  </si>
  <si>
    <t>El artifact generó alertas CU-TFM-003 ante schtasks /create y schtasks /delete. La actividad es benigna en esta prueba, pero la operación es dual-use y relevante para detección SOC.</t>
  </si>
  <si>
    <t>Resultado_OB-006.png &amp; Resultado_OB-006.2.png</t>
  </si>
  <si>
    <t>Parcial</t>
  </si>
  <si>
    <t>Alerta aceptable como falso positivo controlado: la creación/eliminación de tareas programadas puede ser legítima o maliciosa según contexto.</t>
  </si>
  <si>
    <t>Sysmon Event ID 1 asociado a reg.exe con CommandLine = reg query "HKCU\Software\Microsoft\Windows\CurrentVersion\Run".</t>
  </si>
  <si>
    <t>La consulta pasiva de Run Keys generó telemetría, pero no fue clasificada como TEC-004 al no existir modificación add/delete.</t>
  </si>
  <si>
    <t>Resultado_OB-007.png</t>
  </si>
  <si>
    <t>Resultado correcto tras ajuste: reg query queda excluido para evitar falsos positivos en persistencia.</t>
  </si>
  <si>
    <t>Sysmon Event ID 1 asociado a reg.exe con reg add y reg delete sobre HKCU\Software\TFM_Benigno, sin afectar a CurrentVersion\Run.</t>
  </si>
  <si>
    <t>La modificación de una clave no persistente generó telemetría de registro, pero no cumplió condiciones de TEC-004 al no operar sobre Run Key.</t>
  </si>
  <si>
    <t>Resultado_OB-008.png</t>
  </si>
  <si>
    <t>Resultado correcto: el artifact no detecta cualquier escritura en registro, solo modificación relevante de Run Key con marcador.</t>
  </si>
  <si>
    <t>Sysmon Event ID 1 asociado a sc.exe con CommandLine = sc query Spooler.</t>
  </si>
  <si>
    <t>La consulta de servicio Spooler generó telemetría host, pero no fue clasificada como TEC-005 al no existir create/start/delete ni marcador de servicio TFM.</t>
  </si>
  <si>
    <t>Resultado_OB-009.png</t>
  </si>
  <si>
    <t>Resultado correcto: sc query no se confunde con ejecución o creación de servicio.</t>
  </si>
  <si>
    <t>Sysmon Event ID 1 asociado a sc.exe con CommandLine = sc query wuauserv.</t>
  </si>
  <si>
    <t>La consulta pasiva del servicio Windows Update no generó alerta TEC-005.</t>
  </si>
  <si>
    <t>Resultado_OB-010.png</t>
  </si>
  <si>
    <t>Resultado correcto: se evita alertar consultas administrativas pasivas de servicios.</t>
  </si>
  <si>
    <t>Sysmon Event ID 1 asociado a WMIC.exe con CommandLine = wmic os get Caption,Version.</t>
  </si>
  <si>
    <t>La consulta WMI genérica generó telemetría, pero no coincidió con TEC-006 al no consultar SecurityCenter2 ni AntivirusProduct.</t>
  </si>
  <si>
    <t>Resultado_OB-011.png</t>
  </si>
  <si>
    <t>Resultado correcto tras ajuste: WMIC genérico no se clasifica como descubrimiento de software de seguridad.</t>
  </si>
  <si>
    <t>Sysmon Event ID 1 asociado a cmd.exe y posible Event ID 11 por creación de file1.txt y file2.txt en C:\Users\Public\benign_files.</t>
  </si>
  <si>
    <t>La creación de archivos .txt no cifrados generó actividad de ficheros, pero no coincidió con TEC-007 al no usar .aes ni rutas del laboratorio ransomware.</t>
  </si>
  <si>
    <t>Resultado_OB-012.png</t>
  </si>
  <si>
    <t>Resultado correcto: actividad normal de escritura no se confunde con cifrado tipo ransomware.</t>
  </si>
  <si>
    <t>Sysmon Event ID 1 asociado a cmd.exe/copy y posible Event ID 11 por creación de file1_copy.txt en C:\Users\Public\benign_backup.</t>
  </si>
  <si>
    <t>La copia de archivo benigno generó actividad de lectura/escritura, pero no activó TEC-007 al no usar extensión .aes ni rutas TEC-007_LAB/Ransomware.</t>
  </si>
  <si>
    <t>Resultado_OB-013.png</t>
  </si>
  <si>
    <t>Resultado correcto: operación de backup/copia no fue interpretada como ransomware.</t>
  </si>
  <si>
    <t>Sysmon Event ID 1 asociado a cmd.exe/del y posible Event ID 23/26 por borrado de file1_copy.txt.</t>
  </si>
  <si>
    <t>El borrado de un archivo .txt benigno no generó alerta CU-TFM-007.</t>
  </si>
  <si>
    <t>Resultado_OB-014.png</t>
  </si>
  <si>
    <t>Sysmon Operational / Event ID 1; posible Event ID 23/26</t>
  </si>
  <si>
    <t>Resultado correcto: FileDelete benigno no se confunde con artefactos .aes ni actividad ransomware controlada.</t>
  </si>
  <si>
    <t>Sysmon Event ID 1 asociado a cmd.exe y posible Event ID 11 por creación de file1.bak en C:\Users\Public\benign_files.</t>
  </si>
  <si>
    <t>La creación de un archivo .bak no activó TEC-007, confirmando que la regla no alerta por cualquier extensión no común.</t>
  </si>
  <si>
    <t>Resultado_OB-015.png</t>
  </si>
  <si>
    <t>Resultado correcto: la detección ransomware se mantiene centrada en .aes, rutas controladas y marcadores específicos.</t>
  </si>
  <si>
    <t>1. Significado de columnas</t>
  </si>
  <si>
    <t>Identificador interno único de cada técnica evaluada. Formato habitual: TEC-XXX</t>
  </si>
  <si>
    <t>Resultado real esperado de la prueba.
Indica si, en teoría, la técnica debía ser detectada o no.</t>
  </si>
  <si>
    <t>Clasificación final del resultado comparando la detección observada con el resultado esperado.
Valores típicos: VP, FN, FP, VN</t>
  </si>
  <si>
    <t>Impacto_Rendimiento</t>
  </si>
  <si>
    <t>Nivel cualitativo del impacto de la configuración o prueba sobre el sistema.
Se basa en el efecto observado en métricas como CPU, RAM o I/O.</t>
  </si>
  <si>
    <t>2. Prefijos</t>
  </si>
  <si>
    <t>TEC-XXX</t>
  </si>
  <si>
    <t>Identificador de técnica interna.</t>
  </si>
  <si>
    <t>BENCH-XXX</t>
  </si>
  <si>
    <t>Identificador de ejecución de benchmark o medición de rendimiento.</t>
  </si>
  <si>
    <t>VR-CONF-XXX</t>
  </si>
  <si>
    <t>Identificador de configuración de Velociraptor utilizada en la prueba.</t>
  </si>
  <si>
    <t>SNAP-XXX</t>
  </si>
  <si>
    <t>Identificador del snapshot o estado base de la máquina virtual.</t>
  </si>
  <si>
    <t>3. Valores posibles</t>
  </si>
  <si>
    <t>La evidencia o comportamiento esperado fue identificado.</t>
  </si>
  <si>
    <t>No se observó la evidencia esperada.</t>
  </si>
  <si>
    <t>La técnica fue detectada solo de forma incompleta o ambigua.</t>
  </si>
  <si>
    <t>No evaluado</t>
  </si>
  <si>
    <t>La prueba no pudo completarse o no dispone de resultado válido.</t>
  </si>
  <si>
    <t>4. Clasificación del resultado</t>
  </si>
  <si>
    <t>Verdadero positivo (VP)</t>
  </si>
  <si>
    <t>La técnica debía ser detectada y fue detectada.</t>
  </si>
  <si>
    <t>Falso negativo (FN)</t>
  </si>
  <si>
    <t>La técnica debía ser detectada y no fue detectada.</t>
  </si>
  <si>
    <t>Falso positivo (FP)</t>
  </si>
  <si>
    <t>La técnica no debía ser detectada, pero se marcó como detectada.</t>
  </si>
  <si>
    <t>Verdadero negativo (VN)</t>
  </si>
  <si>
    <t>La técnica no debía ser detectada y no fue detectada.</t>
  </si>
  <si>
    <t>5. Impacto en rendimiento</t>
  </si>
  <si>
    <t>Nulo / no apreciable</t>
  </si>
  <si>
    <t>Sin impacto observable relevante.</t>
  </si>
  <si>
    <t>Bajo</t>
  </si>
  <si>
    <t>Impacto reducido, asumible en operación normal.</t>
  </si>
  <si>
    <t>Moderado</t>
  </si>
  <si>
    <t>Impacto visible, pero todavía aceptable.</t>
  </si>
  <si>
    <t>Alto</t>
  </si>
  <si>
    <t>Impacto relevante sobre el rendimiento del sistema.</t>
  </si>
  <si>
    <t>6. ¿Cómo se calcula el impacto?</t>
  </si>
  <si>
    <t>El impacto se calcula comparando la condición MEDIDA de cada técnica frente a las tres mediciones BASE en el mismo entorno de laboratorio: misma VM, misma snapshot, misma configuración y Velociraptor activo. Se miden CPU, RAM, I/O lectura e I/O escritura.</t>
  </si>
  <si>
    <t>Fórmulas</t>
  </si>
  <si>
    <t>CPU_Delta_% = CPU_Medida_% - CPU_Base_%
RAM_Delta_MB = RAM_Medida_MB - RAM_Base_MB
IO_Read_Delta = IO_Read_Medida - IO_Read_Base
IO_Write_Delta = IO_Write_Medida - IO_Write_Base</t>
  </si>
  <si>
    <t>Importante sobre RAM</t>
  </si>
  <si>
    <t>La RAM se mide con Memory\Available MBytes:
RAM_Delta_MB &lt; 0 → menos RAM disponible → más consumo real
RAM_Delta_MB &gt; 0 → más RAM disponible → menos consumo real</t>
  </si>
  <si>
    <t>Clasificación de Impacto_Rendimiento</t>
  </si>
  <si>
    <t>No evaluado → si falta CPU_Delta o RAM_Delta
Bajo → si |CPU_Delta_%| &lt; 5 y |RAM_Delta_MB| &lt; 100
Medio → si |CPU_Delta_%| &lt;= 15 y |RAM_Delta_MB| &lt;= 300
Alto → en el resto de casos</t>
  </si>
  <si>
    <t>Nota</t>
  </si>
  <si>
    <t>La etiqueta Impacto_Rendimiento se clasifica con CPU y RAM
I/O se calcula y se grafica, pero no entra en la etiqueta final</t>
  </si>
  <si>
    <t>7. Siglas</t>
  </si>
  <si>
    <t>VR</t>
  </si>
  <si>
    <t>Velociraptor</t>
  </si>
  <si>
    <t>HIDS</t>
  </si>
  <si>
    <t>Host-based Intrusion Detection System</t>
  </si>
  <si>
    <t>MITRE ATT&amp;CK</t>
  </si>
  <si>
    <t>marco de conocimiento de tácticas y técnicas de ataque</t>
  </si>
  <si>
    <t>IO</t>
  </si>
  <si>
    <t>entrada/salida (Input/Output)</t>
  </si>
  <si>
    <t>CPU</t>
  </si>
  <si>
    <t>unidad central de procesamiento</t>
  </si>
  <si>
    <t>RAM</t>
  </si>
  <si>
    <t>memoria de acceso aleatorio</t>
  </si>
  <si>
    <t>Resumen final de evaluación: técnicas MITRE + operaciones benignas</t>
  </si>
  <si>
    <t>Indicador</t>
  </si>
  <si>
    <t>Valor</t>
  </si>
  <si>
    <t>Interpretación</t>
  </si>
  <si>
    <t>Lectura técnica para la memoria</t>
  </si>
  <si>
    <t>Total de pruebas</t>
  </si>
  <si>
    <t>TEC + OB evaluadas</t>
  </si>
  <si>
    <t>1</t>
  </si>
  <si>
    <t>La cobertura de detección sobre las siete técnicas TEC fue completa: VP = 7 y FN = 0.</t>
  </si>
  <si>
    <t>Técnicas TEC evaluadas</t>
  </si>
  <si>
    <t>Pruebas positivas esperadas</t>
  </si>
  <si>
    <t>2</t>
  </si>
  <si>
    <t>Las operaciones benignas validan discriminación: 14/15 fueron verdaderos negativos.</t>
  </si>
  <si>
    <t>Operaciones benignas OB</t>
  </si>
  <si>
    <t>Pruebas negativas esperadas</t>
  </si>
  <si>
    <t>3</t>
  </si>
  <si>
    <t>El único falso positivo corresponde a OB-006, una creación/eliminación de tarea programada; se clasifica como dual-use controlado.</t>
  </si>
  <si>
    <t>Verdaderos positivos (VP)</t>
  </si>
  <si>
    <t>Técnicas detectadas correctamente</t>
  </si>
  <si>
    <t>4</t>
  </si>
  <si>
    <t>La tasa de FP por operación benigna queda acotada y es coherente con un artifact SOC-style orientado a superficie de exposición.</t>
  </si>
  <si>
    <t>Verdaderos negativos (VN)</t>
  </si>
  <si>
    <t>Operaciones benignas no alertadas</t>
  </si>
  <si>
    <t>Falsos positivos (FP)</t>
  </si>
  <si>
    <t>OB que generaron alerta</t>
  </si>
  <si>
    <t>Reglas de clasificación usadas en la hoja</t>
  </si>
  <si>
    <t>Falsos negativos (FN)</t>
  </si>
  <si>
    <t>TEC no detectadas</t>
  </si>
  <si>
    <t>VP</t>
  </si>
  <si>
    <t>Ground_Truth = Positivo y Resultado_Detección = Detectado.</t>
  </si>
  <si>
    <t>Tasa detección TEC</t>
  </si>
  <si>
    <t>VP / TEC</t>
  </si>
  <si>
    <t>FN</t>
  </si>
  <si>
    <t>Ground_Truth = Positivo y Resultado_Detección distinto de Detectado.</t>
  </si>
  <si>
    <t>Tasa FP OB</t>
  </si>
  <si>
    <t>FP / OB</t>
  </si>
  <si>
    <t>VN</t>
  </si>
  <si>
    <t>Ground_Truth = Negativo y Resultado_Detección distinto de Detectado.</t>
  </si>
  <si>
    <t>Exactitud global</t>
  </si>
  <si>
    <t>(VP + VN) / Total</t>
  </si>
  <si>
    <t>FP</t>
  </si>
  <si>
    <t>Ground_Truth = Negativo y Resultado_Detección = Detectado.</t>
  </si>
  <si>
    <t>Alertas dual-use controladas</t>
  </si>
  <si>
    <t>FP esperable por comportamiento dual-use</t>
  </si>
  <si>
    <t>Dual-use</t>
  </si>
  <si>
    <t>Clasificación o comentario contiene dual-use/controlado; se conserva como FP, pero se interpreta con contexto SOC.</t>
  </si>
  <si>
    <t>Exactitud operativa ajustada</t>
  </si>
  <si>
    <t>(VP + VN + dual-use) / Total</t>
  </si>
  <si>
    <t>Tipo</t>
  </si>
  <si>
    <t>Grupo/Operación</t>
  </si>
  <si>
    <t>MITRE/Técnica</t>
  </si>
  <si>
    <t>Clase_Normalizada</t>
  </si>
  <si>
    <t>Detectado_Bin</t>
  </si>
  <si>
    <t>GroundTruth_Bin</t>
  </si>
  <si>
    <t>Correcto_Bin</t>
  </si>
  <si>
    <t>VP_Bin</t>
  </si>
  <si>
    <t>VN_Bin</t>
  </si>
  <si>
    <t>FP_Bin</t>
  </si>
  <si>
    <t>FN_Bin</t>
  </si>
  <si>
    <t>DualUse_Bin</t>
  </si>
  <si>
    <t>Ref_Captura</t>
  </si>
  <si>
    <t>Comentario_TFM</t>
  </si>
  <si>
    <t>Panel gráfico de resultados: detección, falsos positivos y cobertura MITRE</t>
  </si>
  <si>
    <t>Row Labels</t>
  </si>
  <si>
    <t>Cuenta de Clasificacion_Resultado</t>
  </si>
  <si>
    <t>Grand Total</t>
  </si>
  <si>
    <t>6. Métricas resumen añadidas</t>
  </si>
  <si>
    <t>Verdadero positivo: técnica positiva detectada correctamente.</t>
  </si>
  <si>
    <t>Verdadero negativo: operación benigna no alertada.</t>
  </si>
  <si>
    <t>Falso positivo: operación benigna que genera alerta.</t>
  </si>
  <si>
    <t>Falso negativo: técnica positiva no detectada.</t>
  </si>
  <si>
    <t>Dual-use controlado</t>
  </si>
  <si>
    <t>Actividad benigna que comparte comportamiento con técnica MITRE y requiere triage contextual.</t>
  </si>
  <si>
    <t>VP / total de técnicas TEC evaluadas.</t>
  </si>
  <si>
    <t>FP / total de operaciones benignas evaluadas.</t>
  </si>
  <si>
    <t>(VP + VN) / total de pruebas.</t>
  </si>
  <si>
    <t>(VP + VN + dual-use contextualizado) / total de pruebas.</t>
  </si>
  <si>
    <t>Fuente</t>
  </si>
  <si>
    <t>Hoja 04_Resumen + 05_Datos_Graficos.</t>
  </si>
  <si>
    <t>Datos auxiliares para gráficos - generados desde 04_Resumen</t>
  </si>
  <si>
    <t>Total</t>
  </si>
  <si>
    <t>Detectados</t>
  </si>
  <si>
    <t>Correctos</t>
  </si>
  <si>
    <t>TEC</t>
  </si>
  <si>
    <t>OB</t>
  </si>
  <si>
    <t>Clase</t>
  </si>
  <si>
    <t>N</t>
  </si>
  <si>
    <t>Tasa</t>
  </si>
  <si>
    <t>Táctica TEC</t>
  </si>
  <si>
    <t>Detección TEC</t>
  </si>
  <si>
    <t>Falsos positivos OB</t>
  </si>
  <si>
    <t>Exactitud ajustada dual-use</t>
  </si>
  <si>
    <t>ID</t>
  </si>
  <si>
    <t>Correcto</t>
  </si>
  <si>
    <t>DualUse</t>
  </si>
  <si>
    <t>GRÁFICAS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</si>
</sst>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 Unicode MS"/>
    </font>
    <font>
      <sz val="11"/>
      <color theme="1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name val="Carlito"/>
    </font>
    <font>
      <sz val="10"/>
      <color theme="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22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49995422223578601"/>
        <bgColor indexed="65"/>
      </patternFill>
    </fill>
    <fill>
      <patternFill patternType="solid">
        <fgColor theme="9" tint="-0.4999542222357860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rgb="FF2F6338"/>
      </patternFill>
    </fill>
    <fill>
      <patternFill patternType="solid">
        <fgColor rgb="FF1F4E78"/>
      </patternFill>
    </fill>
    <fill>
      <patternFill patternType="solid">
        <fgColor rgb="FFF3FAEF"/>
      </patternFill>
    </fill>
    <fill>
      <patternFill patternType="solid">
        <fgColor rgb="FF6AA84F"/>
      </patternFill>
    </fill>
    <fill>
      <patternFill patternType="solid">
        <fgColor rgb="FFE2F0D9"/>
      </patternFill>
    </fill>
    <fill>
      <patternFill patternType="solid">
        <fgColor rgb="FF93C47D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8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9" fillId="0" borderId="0" xfId="2" applyFont="1" applyAlignment="1">
      <alignment horizontal="center" vertical="center"/>
    </xf>
    <xf numFmtId="0" fontId="8" fillId="0" borderId="0" xfId="0" applyFont="1"/>
    <xf numFmtId="0" fontId="10" fillId="8" borderId="0" xfId="0" applyFont="1" applyFill="1"/>
    <xf numFmtId="0" fontId="11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wrapText="1"/>
    </xf>
    <xf numFmtId="0" fontId="12" fillId="13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wrapText="1"/>
    </xf>
    <xf numFmtId="0" fontId="8" fillId="10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/>
    </xf>
    <xf numFmtId="0" fontId="8" fillId="14" borderId="13" xfId="0" applyFont="1" applyFill="1" applyBorder="1" applyAlignment="1">
      <alignment vertical="top" wrapText="1"/>
    </xf>
    <xf numFmtId="0" fontId="8" fillId="14" borderId="14" xfId="0" applyFont="1" applyFill="1" applyBorder="1" applyAlignment="1">
      <alignment vertical="top" wrapText="1"/>
    </xf>
    <xf numFmtId="0" fontId="8" fillId="14" borderId="14" xfId="0" applyFont="1" applyFill="1" applyBorder="1" applyAlignment="1">
      <alignment horizontal="center" vertical="top" wrapText="1"/>
    </xf>
    <xf numFmtId="1" fontId="8" fillId="14" borderId="14" xfId="0" applyNumberFormat="1" applyFont="1" applyFill="1" applyBorder="1" applyAlignment="1">
      <alignment vertical="top" wrapText="1"/>
    </xf>
    <xf numFmtId="0" fontId="8" fillId="14" borderId="15" xfId="0" applyFont="1" applyFill="1" applyBorder="1" applyAlignment="1">
      <alignment vertical="top" wrapText="1"/>
    </xf>
    <xf numFmtId="0" fontId="8" fillId="14" borderId="16" xfId="0" applyFont="1" applyFill="1" applyBorder="1" applyAlignment="1">
      <alignment vertical="top" wrapText="1"/>
    </xf>
    <xf numFmtId="0" fontId="8" fillId="14" borderId="17" xfId="0" applyFont="1" applyFill="1" applyBorder="1" applyAlignment="1">
      <alignment vertical="top" wrapText="1"/>
    </xf>
    <xf numFmtId="0" fontId="8" fillId="14" borderId="17" xfId="0" applyFont="1" applyFill="1" applyBorder="1" applyAlignment="1">
      <alignment horizontal="center" vertical="top" wrapText="1"/>
    </xf>
    <xf numFmtId="1" fontId="8" fillId="14" borderId="17" xfId="0" applyNumberFormat="1" applyFont="1" applyFill="1" applyBorder="1" applyAlignment="1">
      <alignment vertical="top" wrapText="1"/>
    </xf>
    <xf numFmtId="0" fontId="8" fillId="14" borderId="18" xfId="0" applyFont="1" applyFill="1" applyBorder="1" applyAlignment="1">
      <alignment vertical="top" wrapText="1"/>
    </xf>
    <xf numFmtId="0" fontId="8" fillId="14" borderId="19" xfId="0" applyFont="1" applyFill="1" applyBorder="1" applyAlignment="1">
      <alignment vertical="top" wrapText="1"/>
    </xf>
    <xf numFmtId="0" fontId="8" fillId="14" borderId="20" xfId="0" applyFont="1" applyFill="1" applyBorder="1" applyAlignment="1">
      <alignment vertical="top" wrapText="1"/>
    </xf>
    <xf numFmtId="0" fontId="8" fillId="14" borderId="20" xfId="0" applyFont="1" applyFill="1" applyBorder="1" applyAlignment="1">
      <alignment horizontal="center" vertical="top" wrapText="1"/>
    </xf>
    <xf numFmtId="1" fontId="8" fillId="14" borderId="20" xfId="0" applyNumberFormat="1" applyFont="1" applyFill="1" applyBorder="1" applyAlignment="1">
      <alignment vertical="top" wrapText="1"/>
    </xf>
    <xf numFmtId="0" fontId="8" fillId="14" borderId="21" xfId="0" applyFont="1" applyFill="1" applyBorder="1" applyAlignment="1">
      <alignment vertical="top" wrapText="1"/>
    </xf>
    <xf numFmtId="0" fontId="11" fillId="9" borderId="13" xfId="0" applyFont="1" applyFill="1" applyBorder="1" applyAlignment="1">
      <alignment horizontal="center" wrapText="1"/>
    </xf>
    <xf numFmtId="0" fontId="11" fillId="9" borderId="14" xfId="0" applyFont="1" applyFill="1" applyBorder="1" applyAlignment="1">
      <alignment horizontal="center" wrapText="1"/>
    </xf>
    <xf numFmtId="0" fontId="11" fillId="9" borderId="15" xfId="0" applyFont="1" applyFill="1" applyBorder="1" applyAlignment="1">
      <alignment horizontal="center" wrapText="1"/>
    </xf>
    <xf numFmtId="0" fontId="8" fillId="0" borderId="16" xfId="0" applyFont="1" applyBorder="1" applyAlignment="1">
      <alignment wrapText="1"/>
    </xf>
    <xf numFmtId="0" fontId="8" fillId="0" borderId="17" xfId="0" applyFont="1" applyBorder="1" applyAlignment="1">
      <alignment wrapText="1"/>
    </xf>
    <xf numFmtId="0" fontId="8" fillId="0" borderId="18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8" fillId="0" borderId="21" xfId="0" applyFont="1" applyBorder="1" applyAlignment="1">
      <alignment wrapText="1"/>
    </xf>
    <xf numFmtId="10" fontId="8" fillId="0" borderId="18" xfId="0" applyNumberFormat="1" applyFont="1" applyBorder="1" applyAlignment="1">
      <alignment wrapText="1"/>
    </xf>
    <xf numFmtId="10" fontId="8" fillId="0" borderId="21" xfId="0" applyNumberFormat="1" applyFont="1" applyBorder="1" applyAlignment="1">
      <alignment wrapText="1"/>
    </xf>
    <xf numFmtId="0" fontId="8" fillId="0" borderId="0" xfId="0" applyFont="1" applyAlignment="1">
      <alignment horizontal="left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9" fillId="0" borderId="0" xfId="2" applyFont="1" applyAlignment="1">
      <alignment horizontal="left" vertical="center"/>
    </xf>
    <xf numFmtId="0" fontId="11" fillId="15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vertical="center" wrapText="1"/>
    </xf>
    <xf numFmtId="0" fontId="8" fillId="10" borderId="10" xfId="0" applyFont="1" applyFill="1" applyBorder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10" fontId="8" fillId="10" borderId="8" xfId="0" applyNumberFormat="1" applyFont="1" applyFill="1" applyBorder="1" applyAlignment="1">
      <alignment horizontal="center" vertical="center" wrapText="1"/>
    </xf>
    <xf numFmtId="10" fontId="8" fillId="10" borderId="11" xfId="0" applyNumberFormat="1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2" fillId="12" borderId="3" xfId="0" applyFont="1" applyFill="1" applyBorder="1"/>
    <xf numFmtId="0" fontId="0" fillId="0" borderId="3" xfId="0" applyBorder="1" applyAlignment="1">
      <alignment wrapText="1"/>
    </xf>
  </cellXfs>
  <cellStyles count="3">
    <cellStyle name="Hipervínculo" xfId="1" xr:uid="{00000000-0005-0000-0000-000000000000}"/>
    <cellStyle name="Normal" xfId="0" builtinId="0"/>
    <cellStyle name="Normal 2" xfId="2" xr:uid="{00000000-0005-0000-0000-000002000000}"/>
  </cellStyles>
  <dxfs count="7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ill>
        <patternFill patternType="solid">
          <fgColor indexed="64"/>
          <bgColor theme="1"/>
        </patternFill>
      </fill>
    </dxf>
    <dxf>
      <alignment horizontal="left" vertical="center" textRotation="0" wrapText="0" indent="0" justifyLastLine="0" shrinkToFit="0" readingOrder="0"/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'05_Datos_Graficos'!$A$9:$A$12</c:f>
              <c:strCache>
                <c:ptCount val="4"/>
                <c:pt idx="0">
                  <c:v>VP</c:v>
                </c:pt>
                <c:pt idx="1">
                  <c:v>VN</c:v>
                </c:pt>
                <c:pt idx="2">
                  <c:v>FP</c:v>
                </c:pt>
                <c:pt idx="3">
                  <c:v>FN</c:v>
                </c:pt>
              </c:strCache>
            </c:strRef>
          </c:cat>
          <c:val>
            <c:numRef>
              <c:f>'05_Datos_Graficos'!$B$9:$B$12</c:f>
              <c:numCache>
                <c:formatCode>General</c:formatCode>
                <c:ptCount val="4"/>
                <c:pt idx="0">
                  <c:v>7</c:v>
                </c:pt>
                <c:pt idx="1">
                  <c:v>14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8-4E67-AF49-5E6AB180F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Nº de pruebas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'05_Datos_Graficos'!$B$4:$B$5</c:f>
              <c:numCache>
                <c:formatCode>General</c:formatCode>
                <c:ptCount val="2"/>
                <c:pt idx="0">
                  <c:v>7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4-46FB-9EB2-A91DEE0C10A7}"/>
            </c:ext>
          </c:extLst>
        </c:ser>
        <c:ser>
          <c:idx val="1"/>
          <c:order val="1"/>
          <c:tx>
            <c:v>Detectados</c:v>
          </c:tx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'05_Datos_Graficos'!$C$4:$C$5</c:f>
              <c:numCache>
                <c:formatCode>General</c:formatCode>
                <c:ptCount val="2"/>
                <c:pt idx="0">
                  <c:v>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04-46FB-9EB2-A91DEE0C10A7}"/>
            </c:ext>
          </c:extLst>
        </c:ser>
        <c:ser>
          <c:idx val="2"/>
          <c:order val="2"/>
          <c:tx>
            <c:v>Correctos</c:v>
          </c:tx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'05_Datos_Graficos'!$D$4:$D$5</c:f>
              <c:numCache>
                <c:formatCode>General</c:formatCode>
                <c:ptCount val="2"/>
                <c:pt idx="0">
                  <c:v>7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04-46FB-9EB2-A91DEE0C10A7}"/>
            </c:ext>
          </c:extLst>
        </c:ser>
        <c:ser>
          <c:idx val="3"/>
          <c:order val="3"/>
          <c:tx>
            <c:v>FP</c:v>
          </c:tx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'05_Datos_Graficos'!$G$4:$G$5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04-46FB-9EB2-A91DEE0C10A7}"/>
            </c:ext>
          </c:extLst>
        </c:ser>
        <c:ser>
          <c:idx val="4"/>
          <c:order val="4"/>
          <c:tx>
            <c:v>FN</c:v>
          </c:tx>
          <c:invertIfNegative val="1"/>
          <c:cat>
            <c:strRef>
              <c:f>'05_Datos_Graficos'!$A$4:$A$5</c:f>
              <c:strCache>
                <c:ptCount val="2"/>
                <c:pt idx="0">
                  <c:v>TEC</c:v>
                </c:pt>
                <c:pt idx="1">
                  <c:v>OB</c:v>
                </c:pt>
              </c:strCache>
            </c:strRef>
          </c:cat>
          <c:val>
            <c:numRef>
              <c:f>'05_Datos_Graficos'!$H$4:$H$5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04-46FB-9EB2-A91DEE0C1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Nº de pruebas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</c:v>
          </c:tx>
          <c:invertIfNegative val="1"/>
          <c:cat>
            <c:strRef>
              <c:f>'05_Datos_Graficos'!$D$9:$D$12</c:f>
              <c:strCache>
                <c:ptCount val="4"/>
                <c:pt idx="0">
                  <c:v>Detección TEC</c:v>
                </c:pt>
                <c:pt idx="1">
                  <c:v>Falsos positivos OB</c:v>
                </c:pt>
                <c:pt idx="2">
                  <c:v>Exactitud global</c:v>
                </c:pt>
                <c:pt idx="3">
                  <c:v>Exactitud ajustada dual-use</c:v>
                </c:pt>
              </c:strCache>
            </c:strRef>
          </c:cat>
          <c:val>
            <c:numRef>
              <c:f>'05_Datos_Graficos'!$E$9:$E$12</c:f>
              <c:numCache>
                <c:formatCode>0.00%</c:formatCode>
                <c:ptCount val="4"/>
                <c:pt idx="0">
                  <c:v>1</c:v>
                </c:pt>
                <c:pt idx="1">
                  <c:v>6.6666666666666666E-2</c:v>
                </c:pt>
                <c:pt idx="2">
                  <c:v>0.95454545454545459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B-4EF6-87C6-90ACB5B45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Porcentaje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</c:v>
          </c:tx>
          <c:invertIfNegative val="1"/>
          <c:cat>
            <c:strRef>
              <c:f>'05_Datos_Graficos'!$G$9:$G$12</c:f>
              <c:strCache>
                <c:ptCount val="4"/>
                <c:pt idx="0">
                  <c:v>Execution</c:v>
                </c:pt>
                <c:pt idx="1">
                  <c:v>Persistence</c:v>
                </c:pt>
                <c:pt idx="2">
                  <c:v>Discovery</c:v>
                </c:pt>
                <c:pt idx="3">
                  <c:v>Impact</c:v>
                </c:pt>
              </c:strCache>
            </c:strRef>
          </c:cat>
          <c:val>
            <c:numRef>
              <c:f>'05_Datos_Graficos'!$H$9:$H$12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1-4931-AA49-C2B2479B5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Nº técnicas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Correcto</c:v>
          </c:tx>
          <c:invertIfNegative val="1"/>
          <c:cat>
            <c:strRef>
              <c:f>'05_Datos_Graficos'!$A$17:$A$38</c:f>
              <c:strCache>
                <c:ptCount val="22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OB-001</c:v>
                </c:pt>
                <c:pt idx="8">
                  <c:v>OB-002</c:v>
                </c:pt>
                <c:pt idx="9">
                  <c:v>OB-003</c:v>
                </c:pt>
                <c:pt idx="10">
                  <c:v>OB-004</c:v>
                </c:pt>
                <c:pt idx="11">
                  <c:v>OB-005</c:v>
                </c:pt>
                <c:pt idx="12">
                  <c:v>OB-006</c:v>
                </c:pt>
                <c:pt idx="13">
                  <c:v>OB-007</c:v>
                </c:pt>
                <c:pt idx="14">
                  <c:v>OB-008</c:v>
                </c:pt>
                <c:pt idx="15">
                  <c:v>OB-009</c:v>
                </c:pt>
                <c:pt idx="16">
                  <c:v>OB-010</c:v>
                </c:pt>
                <c:pt idx="17">
                  <c:v>OB-011</c:v>
                </c:pt>
                <c:pt idx="18">
                  <c:v>OB-012</c:v>
                </c:pt>
                <c:pt idx="19">
                  <c:v>OB-013</c:v>
                </c:pt>
                <c:pt idx="20">
                  <c:v>OB-014</c:v>
                </c:pt>
                <c:pt idx="21">
                  <c:v>OB-015</c:v>
                </c:pt>
              </c:strCache>
            </c:strRef>
          </c:cat>
          <c:val>
            <c:numRef>
              <c:f>'05_Datos_Graficos'!$D$17:$D$38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2-42BA-A58E-E3FBD406B71A}"/>
            </c:ext>
          </c:extLst>
        </c:ser>
        <c:ser>
          <c:idx val="1"/>
          <c:order val="1"/>
          <c:tx>
            <c:v>FP</c:v>
          </c:tx>
          <c:invertIfNegative val="1"/>
          <c:cat>
            <c:strRef>
              <c:f>'05_Datos_Graficos'!$A$17:$A$38</c:f>
              <c:strCache>
                <c:ptCount val="22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OB-001</c:v>
                </c:pt>
                <c:pt idx="8">
                  <c:v>OB-002</c:v>
                </c:pt>
                <c:pt idx="9">
                  <c:v>OB-003</c:v>
                </c:pt>
                <c:pt idx="10">
                  <c:v>OB-004</c:v>
                </c:pt>
                <c:pt idx="11">
                  <c:v>OB-005</c:v>
                </c:pt>
                <c:pt idx="12">
                  <c:v>OB-006</c:v>
                </c:pt>
                <c:pt idx="13">
                  <c:v>OB-007</c:v>
                </c:pt>
                <c:pt idx="14">
                  <c:v>OB-008</c:v>
                </c:pt>
                <c:pt idx="15">
                  <c:v>OB-009</c:v>
                </c:pt>
                <c:pt idx="16">
                  <c:v>OB-010</c:v>
                </c:pt>
                <c:pt idx="17">
                  <c:v>OB-011</c:v>
                </c:pt>
                <c:pt idx="18">
                  <c:v>OB-012</c:v>
                </c:pt>
                <c:pt idx="19">
                  <c:v>OB-013</c:v>
                </c:pt>
                <c:pt idx="20">
                  <c:v>OB-014</c:v>
                </c:pt>
                <c:pt idx="21">
                  <c:v>OB-015</c:v>
                </c:pt>
              </c:strCache>
            </c:strRef>
          </c:cat>
          <c:val>
            <c:numRef>
              <c:f>'05_Datos_Graficos'!$E$17:$E$38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2-42BA-A58E-E3FBD406B71A}"/>
            </c:ext>
          </c:extLst>
        </c:ser>
        <c:ser>
          <c:idx val="2"/>
          <c:order val="2"/>
          <c:tx>
            <c:v>FN</c:v>
          </c:tx>
          <c:invertIfNegative val="1"/>
          <c:cat>
            <c:strRef>
              <c:f>'05_Datos_Graficos'!$A$17:$A$38</c:f>
              <c:strCache>
                <c:ptCount val="22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OB-001</c:v>
                </c:pt>
                <c:pt idx="8">
                  <c:v>OB-002</c:v>
                </c:pt>
                <c:pt idx="9">
                  <c:v>OB-003</c:v>
                </c:pt>
                <c:pt idx="10">
                  <c:v>OB-004</c:v>
                </c:pt>
                <c:pt idx="11">
                  <c:v>OB-005</c:v>
                </c:pt>
                <c:pt idx="12">
                  <c:v>OB-006</c:v>
                </c:pt>
                <c:pt idx="13">
                  <c:v>OB-007</c:v>
                </c:pt>
                <c:pt idx="14">
                  <c:v>OB-008</c:v>
                </c:pt>
                <c:pt idx="15">
                  <c:v>OB-009</c:v>
                </c:pt>
                <c:pt idx="16">
                  <c:v>OB-010</c:v>
                </c:pt>
                <c:pt idx="17">
                  <c:v>OB-011</c:v>
                </c:pt>
                <c:pt idx="18">
                  <c:v>OB-012</c:v>
                </c:pt>
                <c:pt idx="19">
                  <c:v>OB-013</c:v>
                </c:pt>
                <c:pt idx="20">
                  <c:v>OB-014</c:v>
                </c:pt>
                <c:pt idx="21">
                  <c:v>OB-015</c:v>
                </c:pt>
              </c:strCache>
            </c:strRef>
          </c:cat>
          <c:val>
            <c:numRef>
              <c:f>'05_Datos_Graficos'!$F$17:$F$38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F2-42BA-A58E-E3FBD406B71A}"/>
            </c:ext>
          </c:extLst>
        </c:ser>
        <c:ser>
          <c:idx val="3"/>
          <c:order val="3"/>
          <c:tx>
            <c:v>Dual-use</c:v>
          </c:tx>
          <c:invertIfNegative val="1"/>
          <c:cat>
            <c:strRef>
              <c:f>'05_Datos_Graficos'!$A$17:$A$38</c:f>
              <c:strCache>
                <c:ptCount val="22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OB-001</c:v>
                </c:pt>
                <c:pt idx="8">
                  <c:v>OB-002</c:v>
                </c:pt>
                <c:pt idx="9">
                  <c:v>OB-003</c:v>
                </c:pt>
                <c:pt idx="10">
                  <c:v>OB-004</c:v>
                </c:pt>
                <c:pt idx="11">
                  <c:v>OB-005</c:v>
                </c:pt>
                <c:pt idx="12">
                  <c:v>OB-006</c:v>
                </c:pt>
                <c:pt idx="13">
                  <c:v>OB-007</c:v>
                </c:pt>
                <c:pt idx="14">
                  <c:v>OB-008</c:v>
                </c:pt>
                <c:pt idx="15">
                  <c:v>OB-009</c:v>
                </c:pt>
                <c:pt idx="16">
                  <c:v>OB-010</c:v>
                </c:pt>
                <c:pt idx="17">
                  <c:v>OB-011</c:v>
                </c:pt>
                <c:pt idx="18">
                  <c:v>OB-012</c:v>
                </c:pt>
                <c:pt idx="19">
                  <c:v>OB-013</c:v>
                </c:pt>
                <c:pt idx="20">
                  <c:v>OB-014</c:v>
                </c:pt>
                <c:pt idx="21">
                  <c:v>OB-015</c:v>
                </c:pt>
              </c:strCache>
            </c:strRef>
          </c:cat>
          <c:val>
            <c:numRef>
              <c:f>'05_Datos_Graficos'!$G$17:$G$38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F2-42BA-A58E-E3FBD406B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Indicador binario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Detectado</c:v>
          </c:tx>
          <c:invertIfNegative val="1"/>
          <c:cat>
            <c:strRef>
              <c:f>'05_Datos_Graficos'!$A$17:$A$38</c:f>
              <c:strCache>
                <c:ptCount val="22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OB-001</c:v>
                </c:pt>
                <c:pt idx="8">
                  <c:v>OB-002</c:v>
                </c:pt>
                <c:pt idx="9">
                  <c:v>OB-003</c:v>
                </c:pt>
                <c:pt idx="10">
                  <c:v>OB-004</c:v>
                </c:pt>
                <c:pt idx="11">
                  <c:v>OB-005</c:v>
                </c:pt>
                <c:pt idx="12">
                  <c:v>OB-006</c:v>
                </c:pt>
                <c:pt idx="13">
                  <c:v>OB-007</c:v>
                </c:pt>
                <c:pt idx="14">
                  <c:v>OB-008</c:v>
                </c:pt>
                <c:pt idx="15">
                  <c:v>OB-009</c:v>
                </c:pt>
                <c:pt idx="16">
                  <c:v>OB-010</c:v>
                </c:pt>
                <c:pt idx="17">
                  <c:v>OB-011</c:v>
                </c:pt>
                <c:pt idx="18">
                  <c:v>OB-012</c:v>
                </c:pt>
                <c:pt idx="19">
                  <c:v>OB-013</c:v>
                </c:pt>
                <c:pt idx="20">
                  <c:v>OB-014</c:v>
                </c:pt>
                <c:pt idx="21">
                  <c:v>OB-015</c:v>
                </c:pt>
              </c:strCache>
            </c:strRef>
          </c:cat>
          <c:val>
            <c:numRef>
              <c:f>'05_Datos_Graficos'!$C$17:$C$38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5-4047-B327-6F06C2F47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/>
                  <a:t>Detectado =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17</xdr:col>
      <xdr:colOff>0</xdr:colOff>
      <xdr:row>64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17</xdr:col>
      <xdr:colOff>0</xdr:colOff>
      <xdr:row>86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Tecnicas" displayName="tblTecnicas" ref="A1:O8">
  <autoFilter ref="A1:O8" xr:uid="{00000000-0009-0000-0100-000003000000}"/>
  <tableColumns count="15">
    <tableColumn id="1" xr3:uid="{00000000-0010-0000-0000-000001000000}" name="ID_Tecnica_Interna"/>
    <tableColumn id="2" xr3:uid="{00000000-0010-0000-0000-000002000000}" name="Táctica_MITRE"/>
    <tableColumn id="3" xr3:uid="{00000000-0010-0000-0000-000003000000}" name="ID_Táctica"/>
    <tableColumn id="4" xr3:uid="{00000000-0010-0000-0000-000004000000}" name="Técnica_MITRE"/>
    <tableColumn id="5" xr3:uid="{00000000-0010-0000-0000-000005000000}" name="ID_Técnica"/>
    <tableColumn id="6" xr3:uid="{00000000-0010-0000-0000-000006000000}" name="Subtécnica"/>
    <tableColumn id="7" xr3:uid="{00000000-0010-0000-0000-000007000000}" name="ID_Subtécnica"/>
    <tableColumn id="8" xr3:uid="{00000000-0010-0000-0000-000008000000}" name="Descripción"/>
    <tableColumn id="9" xr3:uid="{00000000-0010-0000-0000-000009000000}" name="Justificación_selección"/>
    <tableColumn id="10" xr3:uid="{00000000-0010-0000-0000-00000A000000}" name="Observable_en_HOST"/>
    <tableColumn id="11" xr3:uid="{00000000-0010-0000-0000-00000B000000}" name="Tipo_de_Evidencia_Host_Esperada"/>
    <tableColumn id="12" xr3:uid="{00000000-0010-0000-0000-00000C000000}" name="Procedimiento_de_Prueba"/>
    <tableColumn id="14" xr3:uid="{00000000-0010-0000-0000-00000E000000}" name="Criterio_de_Éxito"/>
    <tableColumn id="15" xr3:uid="{00000000-0010-0000-0000-00000F000000}" name="Notas_Tecnicas"/>
    <tableColumn id="16" xr3:uid="{00000000-0010-0000-0000-000010000000}" name="Enlace_Refer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peraciones_Benignas" displayName="Operaciones_Benignas" ref="A1:J16">
  <autoFilter ref="A1:J16" xr:uid="{00000000-0009-0000-0100-000001000000}"/>
  <tableColumns count="10">
    <tableColumn id="1" xr3:uid="{00000000-0010-0000-0100-000001000000}" name="ID_Operación_Benigna"/>
    <tableColumn id="2" xr3:uid="{00000000-0010-0000-0100-000002000000}" name="Operación benigna"/>
    <tableColumn id="3" xr3:uid="{00000000-0010-0000-0100-000003000000}" name="Descripción"/>
    <tableColumn id="4" xr3:uid="{00000000-0010-0000-0100-000004000000}" name="Justificación_selección"/>
    <tableColumn id="5" xr3:uid="{00000000-0010-0000-0100-000005000000}" name="Observable_en_HOST"/>
    <tableColumn id="6" xr3:uid="{00000000-0010-0000-0100-000006000000}" name="Tipo_de_Evidencia_Host_Esperada"/>
    <tableColumn id="7" xr3:uid="{00000000-0010-0000-0100-000007000000}" name="Procedimiento_de_Prueba"/>
    <tableColumn id="8" xr3:uid="{00000000-0010-0000-0100-000008000000}" name="Criterio_de_Éxito"/>
    <tableColumn id="9" xr3:uid="{00000000-0010-0000-0100-000009000000}" name="Notas_Tecnicas"/>
    <tableColumn id="10" xr3:uid="{00000000-0010-0000-0100-00000A000000}" name="Código_usad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EvaluaciónVR" displayName="EvaluaciónVR" ref="B1:S23">
  <autoFilter ref="B1:S23" xr:uid="{00000000-0009-0000-0100-000004000000}"/>
  <tableColumns count="18">
    <tableColumn id="4" xr3:uid="{00000000-0010-0000-0200-000004000000}" name="ID_Interna"/>
    <tableColumn id="5" xr3:uid="{00000000-0010-0000-0200-000005000000}" name="Evidencia_Host_Observada"/>
    <tableColumn id="6" xr3:uid="{00000000-0010-0000-0200-000006000000}" name="Escenario_Prueba"/>
    <tableColumn id="16385" xr3:uid="{00000000-0010-0000-0200-000001400000}" name="VM_Snapshot_ID"/>
    <tableColumn id="2" xr3:uid="{00000000-0010-0000-0200-000002000000}" name="Version_Velociraptor"/>
    <tableColumn id="7" xr3:uid="{00000000-0010-0000-0200-000007000000}" name="Artefacto_VR_Usado"/>
    <tableColumn id="8" xr3:uid="{00000000-0010-0000-0200-000008000000}" name="Tipo_Artefacto"/>
    <tableColumn id="9" xr3:uid="{00000000-0010-0000-0200-000009000000}" name="Modo_Ejecución"/>
    <tableColumn id="10" xr3:uid="{00000000-0010-0000-0200-00000A000000}" name="Resultado_Detección"/>
    <tableColumn id="11" xr3:uid="{00000000-0010-0000-0200-00000B000000}" name="Ground_Truth"/>
    <tableColumn id="12" xr3:uid="{00000000-0010-0000-0200-00000C000000}" name="Clasificacion_Resultado"/>
    <tableColumn id="13" xr3:uid="{00000000-0010-0000-0200-00000D000000}" name="Resumen_Evidencia"/>
    <tableColumn id="14" xr3:uid="{00000000-0010-0000-0200-00000E000000}" name="Tiempo_Hasta_Evidencia"/>
    <tableColumn id="15" xr3:uid="{00000000-0010-0000-0200-00000F000000}" name="Replicable"/>
    <tableColumn id="16" xr3:uid="{00000000-0010-0000-0200-000010000000}" name="Ref_Captura_Log_Anexo"/>
    <tableColumn id="17" xr3:uid="{00000000-0010-0000-0200-000011000000}" name="Fuente_Telemetria_Host"/>
    <tableColumn id="19" xr3:uid="{00000000-0010-0000-0200-000013000000}" name="Deteccion_VR_OK"/>
    <tableColumn id="20" xr3:uid="{00000000-0010-0000-0200-000014000000}" name="Comentario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ResumenTFMTable" displayName="ResumenTFMTable" ref="A20:U42" headerRowDxfId="1">
  <tableColumns count="21">
    <tableColumn id="1" xr3:uid="{00000000-0010-0000-0300-000001000000}" name="ID_Prueba"/>
    <tableColumn id="2" xr3:uid="{00000000-0010-0000-0300-000002000000}" name="ID_Interna"/>
    <tableColumn id="3" xr3:uid="{00000000-0010-0000-0300-000003000000}" name="Tipo"/>
    <tableColumn id="4" xr3:uid="{00000000-0010-0000-0300-000004000000}" name="Grupo/Operación"/>
    <tableColumn id="5" xr3:uid="{00000000-0010-0000-0300-000005000000}" name="MITRE/Técnica"/>
    <tableColumn id="6" xr3:uid="{00000000-0010-0000-0300-000006000000}" name="Resultado_Detección"/>
    <tableColumn id="7" xr3:uid="{00000000-0010-0000-0300-000007000000}" name="Ground_Truth"/>
    <tableColumn id="8" xr3:uid="{00000000-0010-0000-0300-000008000000}" name="Clasificacion_Resultado"/>
    <tableColumn id="9" xr3:uid="{00000000-0010-0000-0300-000009000000}" name="Clase_Normalizada" dataDxfId="0"/>
    <tableColumn id="10" xr3:uid="{00000000-0010-0000-0300-00000A000000}" name="Detectado_Bin"/>
    <tableColumn id="11" xr3:uid="{00000000-0010-0000-0300-00000B000000}" name="GroundTruth_Bin"/>
    <tableColumn id="12" xr3:uid="{00000000-0010-0000-0300-00000C000000}" name="Correcto_Bin"/>
    <tableColumn id="13" xr3:uid="{00000000-0010-0000-0300-00000D000000}" name="VP_Bin"/>
    <tableColumn id="14" xr3:uid="{00000000-0010-0000-0300-00000E000000}" name="VN_Bin"/>
    <tableColumn id="15" xr3:uid="{00000000-0010-0000-0300-00000F000000}" name="FP_Bin"/>
    <tableColumn id="16" xr3:uid="{00000000-0010-0000-0300-000010000000}" name="FN_Bin"/>
    <tableColumn id="17" xr3:uid="{00000000-0010-0000-0300-000011000000}" name="DualUse_Bin"/>
    <tableColumn id="18" xr3:uid="{00000000-0010-0000-0300-000012000000}" name="Replicable"/>
    <tableColumn id="19" xr3:uid="{00000000-0010-0000-0300-000013000000}" name="Deteccion_VR_OK"/>
    <tableColumn id="20" xr3:uid="{00000000-0010-0000-0300-000014000000}" name="Ref_Captura"/>
    <tableColumn id="21" xr3:uid="{00000000-0010-0000-0300-000015000000}" name="Comentario_TFM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workbookViewId="0">
      <selection activeCell="A9" sqref="A9:A101"/>
    </sheetView>
  </sheetViews>
  <sheetFormatPr baseColWidth="10" defaultColWidth="0" defaultRowHeight="15"/>
  <cols>
    <col min="1" max="1" width="20" style="6" customWidth="1"/>
    <col min="2" max="2" width="19.28515625" customWidth="1"/>
    <col min="3" max="3" width="11.42578125" customWidth="1"/>
    <col min="4" max="4" width="32.85546875" customWidth="1"/>
    <col min="5" max="5" width="12.85546875" customWidth="1"/>
    <col min="6" max="6" width="26.7109375" customWidth="1"/>
    <col min="7" max="7" width="15.5703125" customWidth="1"/>
    <col min="8" max="8" width="14.85546875" customWidth="1"/>
    <col min="9" max="9" width="23.28515625" customWidth="1"/>
    <col min="10" max="10" width="22.28515625" customWidth="1"/>
    <col min="11" max="11" width="33.7109375" customWidth="1"/>
    <col min="12" max="12" width="26.85546875" customWidth="1"/>
    <col min="13" max="13" width="18.5703125" customWidth="1"/>
    <col min="14" max="14" width="16.7109375" customWidth="1"/>
    <col min="15" max="15" width="44.28515625" customWidth="1"/>
    <col min="16" max="25" width="9.140625" customWidth="1"/>
    <col min="26" max="26" width="0" hidden="1" customWidth="1"/>
    <col min="27" max="16384" width="9.140625" hidden="1"/>
  </cols>
  <sheetData>
    <row r="1" spans="1:15" s="8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</row>
    <row r="2" spans="1:15">
      <c r="A2" s="3" t="str">
        <f t="array" ref="A2">"TEC-"&amp;TEXT(ROW()-ROW(tblTecnicas[#Headers]),"000")</f>
        <v>TEC-001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5" t="s">
        <v>28</v>
      </c>
    </row>
    <row r="3" spans="1:15">
      <c r="A3" s="6" t="str">
        <f t="array" ref="A3">"TEC-"&amp;TEXT(ROW()-ROW(tblTecnicas[#Headers]),"000")</f>
        <v>TEC-002</v>
      </c>
      <c r="B3" t="s">
        <v>15</v>
      </c>
      <c r="C3" t="s">
        <v>16</v>
      </c>
      <c r="D3" t="s">
        <v>17</v>
      </c>
      <c r="E3" t="s">
        <v>18</v>
      </c>
      <c r="F3" t="s">
        <v>29</v>
      </c>
      <c r="G3" t="s">
        <v>30</v>
      </c>
      <c r="H3" t="s">
        <v>31</v>
      </c>
      <c r="I3" t="s">
        <v>32</v>
      </c>
      <c r="J3" t="s">
        <v>23</v>
      </c>
      <c r="K3" t="s">
        <v>24</v>
      </c>
      <c r="L3" t="s">
        <v>33</v>
      </c>
      <c r="M3" t="s">
        <v>34</v>
      </c>
      <c r="N3" t="s">
        <v>35</v>
      </c>
      <c r="O3" s="5" t="s">
        <v>36</v>
      </c>
    </row>
    <row r="4" spans="1:15">
      <c r="A4" s="6" t="str">
        <f t="array" ref="A4">"TEC-"&amp;TEXT(ROW()-ROW(tblTecnicas[#Headers]),"000")</f>
        <v>TEC-003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23</v>
      </c>
      <c r="K4" t="s">
        <v>24</v>
      </c>
      <c r="L4" t="s">
        <v>45</v>
      </c>
      <c r="M4" t="s">
        <v>46</v>
      </c>
      <c r="N4" t="s">
        <v>47</v>
      </c>
      <c r="O4" s="5" t="s">
        <v>48</v>
      </c>
    </row>
    <row r="5" spans="1:15" ht="14.25" customHeight="1">
      <c r="A5" s="6" t="str">
        <f t="array" ref="A5">"TEC-"&amp;TEXT(ROW()-ROW(tblTecnicas[#Headers]),"000")</f>
        <v>TEC-004</v>
      </c>
      <c r="B5" t="s">
        <v>37</v>
      </c>
      <c r="C5" t="s">
        <v>38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23</v>
      </c>
      <c r="K5" t="s">
        <v>55</v>
      </c>
      <c r="L5" t="s">
        <v>56</v>
      </c>
      <c r="M5" t="s">
        <v>57</v>
      </c>
      <c r="N5" t="s">
        <v>58</v>
      </c>
      <c r="O5" s="5" t="s">
        <v>59</v>
      </c>
    </row>
    <row r="6" spans="1:15">
      <c r="A6" s="6" t="str">
        <f t="array" ref="A6">"TEC-"&amp;TEXT(ROW()-ROW(tblTecnicas[#Headers]),"000")</f>
        <v>TEC-005</v>
      </c>
      <c r="B6" t="s">
        <v>15</v>
      </c>
      <c r="C6" t="s">
        <v>16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23</v>
      </c>
      <c r="K6" t="s">
        <v>66</v>
      </c>
      <c r="L6" t="s">
        <v>67</v>
      </c>
      <c r="M6" t="s">
        <v>68</v>
      </c>
      <c r="N6" t="s">
        <v>69</v>
      </c>
      <c r="O6" s="5" t="s">
        <v>70</v>
      </c>
    </row>
    <row r="7" spans="1:15">
      <c r="A7" s="6" t="str">
        <f t="array" ref="A7">"TEC-"&amp;TEXT(ROW()-ROW(tblTecnicas[#Headers]),"000")</f>
        <v>TEC-006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23</v>
      </c>
      <c r="K7" t="s">
        <v>24</v>
      </c>
      <c r="L7" t="s">
        <v>79</v>
      </c>
      <c r="M7" t="s">
        <v>80</v>
      </c>
      <c r="N7" t="s">
        <v>81</v>
      </c>
      <c r="O7" s="5" t="s">
        <v>82</v>
      </c>
    </row>
    <row r="8" spans="1:15">
      <c r="A8" s="6" t="str">
        <f t="array" ref="A8">"TEC-"&amp;TEXT(ROW()-ROW(tblTecnicas[#Headers]),"000")</f>
        <v>TEC-007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87</v>
      </c>
      <c r="H8" t="s">
        <v>88</v>
      </c>
      <c r="I8" t="s">
        <v>89</v>
      </c>
      <c r="J8" t="s">
        <v>23</v>
      </c>
      <c r="K8" t="s">
        <v>90</v>
      </c>
      <c r="L8" t="s">
        <v>91</v>
      </c>
      <c r="M8" t="s">
        <v>92</v>
      </c>
      <c r="N8" t="s">
        <v>93</v>
      </c>
      <c r="O8" s="5" t="s">
        <v>94</v>
      </c>
    </row>
  </sheetData>
  <dataValidations count="2">
    <dataValidation type="list" allowBlank="1" showInputMessage="1" showErrorMessage="1" sqref="K12:K1048576 K1:K7" xr:uid="{00000000-0002-0000-0000-000000000000}">
      <formula1>"Process Create, Flite Create, Regisitry, Service, Task, WMI, LOGON, Network, Multiple"</formula1>
    </dataValidation>
    <dataValidation type="list" allowBlank="1" showInputMessage="1" showErrorMessage="1" sqref="J1:J1048576" xr:uid="{00000000-0002-0000-0000-000001000000}">
      <formula1>"Sí,Parcial,No,"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opLeftCell="H1" workbookViewId="0">
      <selection activeCell="A17" sqref="A17:A101"/>
    </sheetView>
  </sheetViews>
  <sheetFormatPr baseColWidth="10" defaultColWidth="83.28515625" defaultRowHeight="12.75"/>
  <cols>
    <col min="1" max="1" width="24.140625" style="18" customWidth="1"/>
    <col min="2" max="2" width="37.5703125" style="22" customWidth="1"/>
    <col min="3" max="9" width="83.28515625" style="22"/>
    <col min="10" max="10" width="141" style="19" customWidth="1"/>
    <col min="11" max="16384" width="83.28515625" style="22"/>
  </cols>
  <sheetData>
    <row r="1" spans="1:10">
      <c r="A1" s="18" t="s">
        <v>95</v>
      </c>
      <c r="B1" s="22" t="s">
        <v>96</v>
      </c>
      <c r="C1" s="22" t="s">
        <v>7</v>
      </c>
      <c r="D1" s="22" t="s">
        <v>8</v>
      </c>
      <c r="E1" s="22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19" t="s">
        <v>97</v>
      </c>
    </row>
    <row r="2" spans="1:10">
      <c r="A2" s="18" t="str">
        <f t="array" ref="A2">"OB-"&amp;TEXT(ROW()-ROW(tblTecnicas[#Headers]),"000")</f>
        <v>OB-001</v>
      </c>
      <c r="B2" s="19" t="s">
        <v>98</v>
      </c>
      <c r="C2" s="19" t="s">
        <v>99</v>
      </c>
      <c r="D2" s="19" t="s">
        <v>100</v>
      </c>
      <c r="E2" s="19" t="s">
        <v>101</v>
      </c>
      <c r="F2" s="19" t="s">
        <v>102</v>
      </c>
      <c r="G2" s="19" t="s">
        <v>103</v>
      </c>
      <c r="H2" s="19" t="s">
        <v>104</v>
      </c>
      <c r="I2" s="19" t="s">
        <v>105</v>
      </c>
      <c r="J2" s="19" t="s">
        <v>106</v>
      </c>
    </row>
    <row r="3" spans="1:10">
      <c r="A3" s="18" t="s">
        <v>107</v>
      </c>
      <c r="B3" s="19" t="s">
        <v>108</v>
      </c>
      <c r="C3" s="19" t="s">
        <v>109</v>
      </c>
      <c r="D3" s="19" t="s">
        <v>110</v>
      </c>
      <c r="E3" s="19" t="s">
        <v>101</v>
      </c>
      <c r="F3" s="19" t="s">
        <v>102</v>
      </c>
      <c r="G3" s="19" t="s">
        <v>111</v>
      </c>
      <c r="H3" s="19" t="s">
        <v>112</v>
      </c>
      <c r="I3" s="19" t="s">
        <v>113</v>
      </c>
      <c r="J3" s="19" t="s">
        <v>114</v>
      </c>
    </row>
    <row r="4" spans="1:10">
      <c r="A4" s="18" t="s">
        <v>115</v>
      </c>
      <c r="B4" s="19" t="s">
        <v>116</v>
      </c>
      <c r="C4" s="19" t="s">
        <v>117</v>
      </c>
      <c r="D4" s="19" t="s">
        <v>118</v>
      </c>
      <c r="E4" s="19" t="s">
        <v>119</v>
      </c>
      <c r="F4" s="19" t="s">
        <v>120</v>
      </c>
      <c r="G4" s="19" t="s">
        <v>121</v>
      </c>
      <c r="H4" s="19" t="s">
        <v>122</v>
      </c>
      <c r="I4" s="19" t="s">
        <v>123</v>
      </c>
      <c r="J4" s="19" t="s">
        <v>124</v>
      </c>
    </row>
    <row r="5" spans="1:10">
      <c r="A5" s="18" t="s">
        <v>125</v>
      </c>
      <c r="B5" s="19" t="s">
        <v>126</v>
      </c>
      <c r="C5" s="19" t="s">
        <v>127</v>
      </c>
      <c r="D5" s="19" t="s">
        <v>128</v>
      </c>
      <c r="E5" s="19" t="s">
        <v>119</v>
      </c>
      <c r="F5" s="19" t="s">
        <v>102</v>
      </c>
      <c r="G5" s="19" t="s">
        <v>129</v>
      </c>
      <c r="H5" s="19" t="s">
        <v>122</v>
      </c>
      <c r="I5" s="19" t="s">
        <v>130</v>
      </c>
      <c r="J5" s="19" t="s">
        <v>131</v>
      </c>
    </row>
    <row r="6" spans="1:10">
      <c r="A6" s="18" t="s">
        <v>132</v>
      </c>
      <c r="B6" s="19" t="s">
        <v>133</v>
      </c>
      <c r="C6" s="19" t="s">
        <v>134</v>
      </c>
      <c r="D6" s="19" t="s">
        <v>135</v>
      </c>
      <c r="E6" s="19" t="s">
        <v>136</v>
      </c>
      <c r="F6" s="19" t="s">
        <v>102</v>
      </c>
      <c r="G6" s="19" t="s">
        <v>137</v>
      </c>
      <c r="H6" s="19" t="s">
        <v>138</v>
      </c>
      <c r="I6" s="19" t="s">
        <v>139</v>
      </c>
      <c r="J6" s="19" t="s">
        <v>140</v>
      </c>
    </row>
    <row r="7" spans="1:10">
      <c r="A7" s="18" t="s">
        <v>141</v>
      </c>
      <c r="B7" s="19" t="s">
        <v>142</v>
      </c>
      <c r="C7" s="19" t="s">
        <v>143</v>
      </c>
      <c r="D7" s="19" t="s">
        <v>144</v>
      </c>
      <c r="E7" s="19" t="s">
        <v>136</v>
      </c>
      <c r="F7" s="19" t="s">
        <v>102</v>
      </c>
      <c r="G7" s="19" t="s">
        <v>145</v>
      </c>
      <c r="H7" s="19" t="s">
        <v>146</v>
      </c>
      <c r="I7" s="19" t="s">
        <v>147</v>
      </c>
      <c r="J7" s="19" t="s">
        <v>148</v>
      </c>
    </row>
    <row r="8" spans="1:10">
      <c r="A8" s="18" t="s">
        <v>149</v>
      </c>
      <c r="B8" s="19" t="s">
        <v>150</v>
      </c>
      <c r="C8" s="19" t="s">
        <v>151</v>
      </c>
      <c r="D8" s="19" t="s">
        <v>152</v>
      </c>
      <c r="E8" s="19" t="s">
        <v>153</v>
      </c>
      <c r="F8" s="19" t="s">
        <v>102</v>
      </c>
      <c r="G8" s="19" t="s">
        <v>154</v>
      </c>
      <c r="H8" s="19" t="s">
        <v>155</v>
      </c>
      <c r="I8" s="19" t="s">
        <v>156</v>
      </c>
      <c r="J8" s="19" t="s">
        <v>157</v>
      </c>
    </row>
    <row r="9" spans="1:10">
      <c r="A9" s="18" t="s">
        <v>158</v>
      </c>
      <c r="B9" s="19" t="s">
        <v>159</v>
      </c>
      <c r="C9" s="19" t="s">
        <v>160</v>
      </c>
      <c r="D9" s="19" t="s">
        <v>161</v>
      </c>
      <c r="E9" s="19" t="s">
        <v>153</v>
      </c>
      <c r="F9" s="19" t="s">
        <v>102</v>
      </c>
      <c r="G9" s="19" t="s">
        <v>162</v>
      </c>
      <c r="H9" s="19" t="s">
        <v>155</v>
      </c>
      <c r="I9" s="19" t="s">
        <v>163</v>
      </c>
      <c r="J9" s="19" t="s">
        <v>164</v>
      </c>
    </row>
    <row r="10" spans="1:10">
      <c r="A10" s="18" t="s">
        <v>165</v>
      </c>
      <c r="B10" s="19" t="s">
        <v>166</v>
      </c>
      <c r="C10" s="19" t="s">
        <v>167</v>
      </c>
      <c r="D10" s="19" t="s">
        <v>168</v>
      </c>
      <c r="E10" s="19" t="s">
        <v>169</v>
      </c>
      <c r="F10" s="19" t="s">
        <v>102</v>
      </c>
      <c r="G10" s="19" t="s">
        <v>170</v>
      </c>
      <c r="H10" s="19" t="s">
        <v>171</v>
      </c>
      <c r="I10" s="19" t="s">
        <v>172</v>
      </c>
      <c r="J10" s="19" t="s">
        <v>173</v>
      </c>
    </row>
    <row r="11" spans="1:10">
      <c r="A11" s="18" t="s">
        <v>174</v>
      </c>
      <c r="B11" s="19" t="s">
        <v>175</v>
      </c>
      <c r="C11" s="19" t="s">
        <v>176</v>
      </c>
      <c r="D11" s="19" t="s">
        <v>177</v>
      </c>
      <c r="E11" s="19" t="s">
        <v>169</v>
      </c>
      <c r="F11" s="19" t="s">
        <v>102</v>
      </c>
      <c r="G11" s="19" t="s">
        <v>178</v>
      </c>
      <c r="H11" s="19" t="s">
        <v>171</v>
      </c>
      <c r="I11" s="19" t="s">
        <v>179</v>
      </c>
      <c r="J11" s="19" t="s">
        <v>180</v>
      </c>
    </row>
    <row r="12" spans="1:10">
      <c r="A12" s="18" t="s">
        <v>181</v>
      </c>
      <c r="B12" s="19" t="s">
        <v>182</v>
      </c>
      <c r="C12" s="19" t="s">
        <v>183</v>
      </c>
      <c r="D12" s="19" t="s">
        <v>184</v>
      </c>
      <c r="E12" s="19" t="s">
        <v>185</v>
      </c>
      <c r="F12" s="19" t="s">
        <v>102</v>
      </c>
      <c r="G12" s="19" t="s">
        <v>186</v>
      </c>
      <c r="H12" s="19" t="s">
        <v>112</v>
      </c>
      <c r="I12" s="19" t="s">
        <v>187</v>
      </c>
      <c r="J12" s="19" t="s">
        <v>188</v>
      </c>
    </row>
    <row r="13" spans="1:10">
      <c r="A13" s="18" t="s">
        <v>189</v>
      </c>
      <c r="B13" s="19" t="s">
        <v>190</v>
      </c>
      <c r="C13" s="19" t="s">
        <v>191</v>
      </c>
      <c r="D13" s="19" t="s">
        <v>192</v>
      </c>
      <c r="E13" s="19" t="s">
        <v>193</v>
      </c>
      <c r="F13" s="19" t="s">
        <v>120</v>
      </c>
      <c r="G13" s="19" t="s">
        <v>194</v>
      </c>
      <c r="H13" s="19" t="s">
        <v>195</v>
      </c>
      <c r="I13" s="19" t="s">
        <v>196</v>
      </c>
      <c r="J13" s="19" t="s">
        <v>197</v>
      </c>
    </row>
    <row r="14" spans="1:10">
      <c r="A14" s="18" t="s">
        <v>198</v>
      </c>
      <c r="B14" s="19" t="s">
        <v>199</v>
      </c>
      <c r="C14" s="19" t="s">
        <v>200</v>
      </c>
      <c r="D14" s="19" t="s">
        <v>201</v>
      </c>
      <c r="E14" s="19" t="s">
        <v>202</v>
      </c>
      <c r="F14" s="19" t="s">
        <v>120</v>
      </c>
      <c r="G14" s="19" t="s">
        <v>203</v>
      </c>
      <c r="H14" s="19" t="s">
        <v>195</v>
      </c>
      <c r="I14" s="19" t="s">
        <v>204</v>
      </c>
      <c r="J14" s="19" t="s">
        <v>205</v>
      </c>
    </row>
    <row r="15" spans="1:10">
      <c r="A15" s="18" t="s">
        <v>206</v>
      </c>
      <c r="B15" s="19" t="s">
        <v>207</v>
      </c>
      <c r="C15" s="19" t="s">
        <v>208</v>
      </c>
      <c r="D15" s="19" t="s">
        <v>209</v>
      </c>
      <c r="E15" s="19" t="s">
        <v>210</v>
      </c>
      <c r="F15" s="19" t="s">
        <v>211</v>
      </c>
      <c r="G15" s="19" t="s">
        <v>212</v>
      </c>
      <c r="H15" s="19" t="s">
        <v>195</v>
      </c>
      <c r="I15" s="19" t="s">
        <v>213</v>
      </c>
      <c r="J15" s="19" t="s">
        <v>214</v>
      </c>
    </row>
    <row r="16" spans="1:10">
      <c r="A16" s="18" t="s">
        <v>215</v>
      </c>
      <c r="B16" s="19" t="s">
        <v>216</v>
      </c>
      <c r="C16" s="19" t="s">
        <v>217</v>
      </c>
      <c r="D16" s="19" t="s">
        <v>218</v>
      </c>
      <c r="E16" s="19" t="s">
        <v>219</v>
      </c>
      <c r="F16" s="19" t="s">
        <v>120</v>
      </c>
      <c r="G16" s="19" t="s">
        <v>220</v>
      </c>
      <c r="H16" s="19" t="s">
        <v>195</v>
      </c>
      <c r="I16" s="19" t="s">
        <v>221</v>
      </c>
      <c r="J16" s="19" t="s">
        <v>222</v>
      </c>
    </row>
    <row r="17" spans="5:5">
      <c r="E17" s="20"/>
    </row>
    <row r="18" spans="5:5">
      <c r="E18" s="20"/>
    </row>
    <row r="19" spans="5:5">
      <c r="E19" s="20"/>
    </row>
    <row r="20" spans="5:5">
      <c r="E20" s="20"/>
    </row>
    <row r="21" spans="5:5">
      <c r="E21" s="20"/>
    </row>
    <row r="22" spans="5:5">
      <c r="E22" s="2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topLeftCell="B1" workbookViewId="0">
      <selection activeCell="S19" sqref="S19"/>
    </sheetView>
  </sheetViews>
  <sheetFormatPr baseColWidth="10" defaultColWidth="0" defaultRowHeight="15"/>
  <cols>
    <col min="1" max="1" width="0" style="3" hidden="1" customWidth="1"/>
    <col min="2" max="2" width="17.140625" style="3" customWidth="1"/>
    <col min="3" max="3" width="43.28515625" style="3" customWidth="1"/>
    <col min="4" max="4" width="23.7109375" style="3" customWidth="1"/>
    <col min="5" max="5" width="35.42578125" style="3" customWidth="1"/>
    <col min="6" max="6" width="23.85546875" style="3" customWidth="1"/>
    <col min="7" max="7" width="31.28515625" style="3" customWidth="1"/>
    <col min="8" max="8" width="23.140625" style="3" customWidth="1"/>
    <col min="9" max="9" width="21" style="3" customWidth="1"/>
    <col min="10" max="10" width="24.140625" style="3" customWidth="1"/>
    <col min="11" max="11" width="22.42578125" style="3" customWidth="1"/>
    <col min="12" max="12" width="28.28515625" style="3" customWidth="1"/>
    <col min="13" max="13" width="29.5703125" style="3" customWidth="1"/>
    <col min="14" max="16" width="31.28515625" style="3" customWidth="1"/>
    <col min="17" max="17" width="33.85546875" style="3" customWidth="1"/>
    <col min="18" max="18" width="31.28515625" style="3" customWidth="1"/>
    <col min="19" max="19" width="255.5703125" style="3" customWidth="1"/>
    <col min="20" max="20" width="25.5703125" style="3" customWidth="1"/>
    <col min="21" max="21" width="21.42578125" style="3" customWidth="1"/>
    <col min="22" max="22" width="18.28515625" style="3" customWidth="1"/>
    <col min="23" max="23" width="12.7109375" style="3" customWidth="1"/>
    <col min="24" max="25" width="11.42578125" style="3" customWidth="1"/>
    <col min="26" max="26" width="0" style="3" hidden="1" customWidth="1"/>
    <col min="27" max="16384" width="11.42578125" style="3" hidden="1"/>
  </cols>
  <sheetData>
    <row r="1" spans="1:19" s="2" customFormat="1" ht="20.100000000000001" customHeight="1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</row>
    <row r="2" spans="1:19" ht="20.100000000000001" customHeight="1">
      <c r="A2" s="3" t="str">
        <f t="shared" ref="A2:A33" si="0">"PR-"&amp;TEXT(ROW()-1,"000")</f>
        <v>PR-001</v>
      </c>
      <c r="B2" s="3" t="s">
        <v>242</v>
      </c>
      <c r="C2" s="3" t="s">
        <v>243</v>
      </c>
      <c r="D2" s="3" t="s">
        <v>244</v>
      </c>
      <c r="E2" s="3" t="s">
        <v>245</v>
      </c>
      <c r="F2" s="3" t="s">
        <v>246</v>
      </c>
      <c r="G2" s="21" t="s">
        <v>247</v>
      </c>
      <c r="H2" s="3" t="s">
        <v>248</v>
      </c>
      <c r="I2" s="3" t="s">
        <v>249</v>
      </c>
      <c r="J2" s="3" t="s">
        <v>250</v>
      </c>
      <c r="K2" s="3" t="s">
        <v>251</v>
      </c>
      <c r="L2" s="3" t="s">
        <v>252</v>
      </c>
      <c r="M2" s="3" t="s">
        <v>253</v>
      </c>
      <c r="N2" s="3" t="s">
        <v>254</v>
      </c>
      <c r="O2" s="3" t="s">
        <v>23</v>
      </c>
      <c r="P2" s="3" t="s">
        <v>255</v>
      </c>
      <c r="Q2" s="3" t="s">
        <v>256</v>
      </c>
      <c r="R2" s="3" t="s">
        <v>23</v>
      </c>
      <c r="S2" s="4" t="s">
        <v>257</v>
      </c>
    </row>
    <row r="3" spans="1:19" ht="20.100000000000001" customHeight="1">
      <c r="A3" s="3" t="str">
        <f t="shared" si="0"/>
        <v>PR-002</v>
      </c>
      <c r="B3" s="3" t="s">
        <v>258</v>
      </c>
      <c r="C3" s="3" t="s">
        <v>259</v>
      </c>
      <c r="D3" s="3" t="s">
        <v>260</v>
      </c>
      <c r="E3" s="3" t="s">
        <v>245</v>
      </c>
      <c r="F3" s="3" t="s">
        <v>246</v>
      </c>
      <c r="G3" s="21" t="s">
        <v>247</v>
      </c>
      <c r="H3" s="3" t="s">
        <v>248</v>
      </c>
      <c r="I3" s="3" t="s">
        <v>249</v>
      </c>
      <c r="J3" s="3" t="s">
        <v>250</v>
      </c>
      <c r="K3" s="3" t="s">
        <v>251</v>
      </c>
      <c r="L3" s="3" t="s">
        <v>252</v>
      </c>
      <c r="M3" s="3" t="s">
        <v>261</v>
      </c>
      <c r="N3" s="3" t="s">
        <v>254</v>
      </c>
      <c r="O3" s="3" t="s">
        <v>23</v>
      </c>
      <c r="P3" s="3" t="s">
        <v>262</v>
      </c>
      <c r="Q3" s="3" t="s">
        <v>263</v>
      </c>
      <c r="R3" s="3" t="s">
        <v>23</v>
      </c>
      <c r="S3" s="4" t="s">
        <v>264</v>
      </c>
    </row>
    <row r="4" spans="1:19" ht="20.100000000000001" customHeight="1">
      <c r="A4" s="3" t="str">
        <f t="shared" si="0"/>
        <v>PR-003</v>
      </c>
      <c r="B4" s="3" t="s">
        <v>265</v>
      </c>
      <c r="C4" s="3" t="s">
        <v>266</v>
      </c>
      <c r="D4" s="3" t="s">
        <v>267</v>
      </c>
      <c r="E4" s="3" t="s">
        <v>268</v>
      </c>
      <c r="F4" s="3" t="s">
        <v>246</v>
      </c>
      <c r="G4" s="21" t="s">
        <v>247</v>
      </c>
      <c r="H4" s="3" t="s">
        <v>248</v>
      </c>
      <c r="I4" s="3" t="s">
        <v>249</v>
      </c>
      <c r="J4" s="3" t="s">
        <v>250</v>
      </c>
      <c r="K4" s="3" t="s">
        <v>251</v>
      </c>
      <c r="L4" s="3" t="s">
        <v>252</v>
      </c>
      <c r="M4" s="3" t="s">
        <v>269</v>
      </c>
      <c r="N4" s="3" t="s">
        <v>254</v>
      </c>
      <c r="O4" s="3" t="s">
        <v>23</v>
      </c>
      <c r="P4" s="3" t="s">
        <v>270</v>
      </c>
      <c r="Q4" s="3" t="s">
        <v>263</v>
      </c>
      <c r="R4" s="3" t="s">
        <v>23</v>
      </c>
      <c r="S4" s="4" t="s">
        <v>271</v>
      </c>
    </row>
    <row r="5" spans="1:19" ht="20.100000000000001" customHeight="1">
      <c r="A5" s="3" t="str">
        <f t="shared" si="0"/>
        <v>PR-004</v>
      </c>
      <c r="B5" s="3" t="s">
        <v>272</v>
      </c>
      <c r="C5" s="3" t="s">
        <v>273</v>
      </c>
      <c r="D5" s="3" t="s">
        <v>274</v>
      </c>
      <c r="E5" s="3" t="s">
        <v>275</v>
      </c>
      <c r="F5" s="3" t="s">
        <v>246</v>
      </c>
      <c r="G5" s="21" t="s">
        <v>247</v>
      </c>
      <c r="H5" s="3" t="s">
        <v>248</v>
      </c>
      <c r="I5" s="3" t="s">
        <v>249</v>
      </c>
      <c r="J5" s="3" t="s">
        <v>250</v>
      </c>
      <c r="K5" s="3" t="s">
        <v>251</v>
      </c>
      <c r="L5" s="3" t="s">
        <v>252</v>
      </c>
      <c r="M5" s="3" t="s">
        <v>276</v>
      </c>
      <c r="N5" s="3" t="s">
        <v>254</v>
      </c>
      <c r="O5" s="3" t="s">
        <v>23</v>
      </c>
      <c r="P5" s="3" t="s">
        <v>277</v>
      </c>
      <c r="Q5" s="3" t="s">
        <v>278</v>
      </c>
      <c r="R5" s="3" t="s">
        <v>23</v>
      </c>
      <c r="S5" s="4" t="s">
        <v>279</v>
      </c>
    </row>
    <row r="6" spans="1:19" ht="20.100000000000001" customHeight="1">
      <c r="A6" s="3" t="str">
        <f t="shared" si="0"/>
        <v>PR-005</v>
      </c>
      <c r="B6" s="3" t="s">
        <v>280</v>
      </c>
      <c r="C6" s="3" t="s">
        <v>281</v>
      </c>
      <c r="D6" s="3" t="s">
        <v>282</v>
      </c>
      <c r="E6" s="3" t="s">
        <v>275</v>
      </c>
      <c r="F6" s="3" t="s">
        <v>246</v>
      </c>
      <c r="G6" s="21" t="s">
        <v>247</v>
      </c>
      <c r="H6" s="3" t="s">
        <v>248</v>
      </c>
      <c r="I6" s="3" t="s">
        <v>249</v>
      </c>
      <c r="J6" s="3" t="s">
        <v>250</v>
      </c>
      <c r="K6" s="3" t="s">
        <v>251</v>
      </c>
      <c r="L6" s="3" t="s">
        <v>252</v>
      </c>
      <c r="M6" s="3" t="s">
        <v>283</v>
      </c>
      <c r="N6" s="3" t="s">
        <v>254</v>
      </c>
      <c r="O6" s="3" t="s">
        <v>23</v>
      </c>
      <c r="P6" s="3" t="s">
        <v>284</v>
      </c>
      <c r="Q6" s="3" t="s">
        <v>285</v>
      </c>
      <c r="R6" s="3" t="s">
        <v>23</v>
      </c>
      <c r="S6" s="4" t="s">
        <v>286</v>
      </c>
    </row>
    <row r="7" spans="1:19" ht="20.100000000000001" customHeight="1">
      <c r="A7" s="3" t="str">
        <f t="shared" si="0"/>
        <v>PR-006</v>
      </c>
      <c r="B7" s="3" t="s">
        <v>287</v>
      </c>
      <c r="C7" s="3" t="s">
        <v>288</v>
      </c>
      <c r="D7" s="3" t="s">
        <v>282</v>
      </c>
      <c r="E7" s="3" t="s">
        <v>289</v>
      </c>
      <c r="F7" s="3" t="s">
        <v>246</v>
      </c>
      <c r="G7" s="21" t="s">
        <v>247</v>
      </c>
      <c r="H7" s="3" t="s">
        <v>248</v>
      </c>
      <c r="I7" s="3" t="s">
        <v>249</v>
      </c>
      <c r="J7" s="3" t="s">
        <v>250</v>
      </c>
      <c r="K7" s="3" t="s">
        <v>251</v>
      </c>
      <c r="L7" s="3" t="s">
        <v>252</v>
      </c>
      <c r="M7" s="3" t="s">
        <v>290</v>
      </c>
      <c r="N7" s="3" t="s">
        <v>254</v>
      </c>
      <c r="O7" s="3" t="s">
        <v>23</v>
      </c>
      <c r="P7" s="3" t="s">
        <v>291</v>
      </c>
      <c r="Q7" s="3" t="s">
        <v>292</v>
      </c>
      <c r="R7" s="3" t="s">
        <v>23</v>
      </c>
      <c r="S7" s="4" t="s">
        <v>293</v>
      </c>
    </row>
    <row r="8" spans="1:19" ht="20.100000000000001" customHeight="1">
      <c r="A8" s="3" t="str">
        <f t="shared" si="0"/>
        <v>PR-007</v>
      </c>
      <c r="B8" s="3" t="s">
        <v>294</v>
      </c>
      <c r="C8" s="3" t="s">
        <v>295</v>
      </c>
      <c r="D8" s="3" t="s">
        <v>296</v>
      </c>
      <c r="E8" s="3" t="s">
        <v>289</v>
      </c>
      <c r="F8" s="3" t="s">
        <v>246</v>
      </c>
      <c r="G8" s="21" t="s">
        <v>247</v>
      </c>
      <c r="H8" s="3" t="s">
        <v>248</v>
      </c>
      <c r="I8" s="3" t="s">
        <v>249</v>
      </c>
      <c r="J8" s="3" t="s">
        <v>250</v>
      </c>
      <c r="K8" s="3" t="s">
        <v>251</v>
      </c>
      <c r="L8" s="3" t="s">
        <v>252</v>
      </c>
      <c r="M8" s="3" t="s">
        <v>297</v>
      </c>
      <c r="N8" s="3" t="s">
        <v>254</v>
      </c>
      <c r="O8" s="3" t="s">
        <v>23</v>
      </c>
      <c r="P8" s="3" t="s">
        <v>298</v>
      </c>
      <c r="Q8" s="3" t="s">
        <v>299</v>
      </c>
      <c r="R8" s="3" t="s">
        <v>23</v>
      </c>
      <c r="S8" s="4" t="s">
        <v>300</v>
      </c>
    </row>
    <row r="9" spans="1:19" ht="20.100000000000001" customHeight="1">
      <c r="A9" s="3" t="str">
        <f t="shared" si="0"/>
        <v>PR-008</v>
      </c>
      <c r="B9" s="21" t="s">
        <v>301</v>
      </c>
      <c r="C9" s="21" t="s">
        <v>302</v>
      </c>
      <c r="D9" s="21" t="s">
        <v>303</v>
      </c>
      <c r="E9" s="21" t="s">
        <v>304</v>
      </c>
      <c r="F9" s="21" t="s">
        <v>246</v>
      </c>
      <c r="G9" s="21" t="s">
        <v>247</v>
      </c>
      <c r="H9" s="21" t="s">
        <v>248</v>
      </c>
      <c r="I9" s="21" t="s">
        <v>249</v>
      </c>
      <c r="J9" s="21" t="s">
        <v>305</v>
      </c>
      <c r="K9" s="21" t="s">
        <v>306</v>
      </c>
      <c r="L9" s="21" t="s">
        <v>307</v>
      </c>
      <c r="M9" s="21" t="s">
        <v>308</v>
      </c>
      <c r="N9" s="21" t="s">
        <v>309</v>
      </c>
      <c r="O9" s="21" t="s">
        <v>23</v>
      </c>
      <c r="P9" s="21" t="s">
        <v>310</v>
      </c>
      <c r="Q9" s="21" t="s">
        <v>292</v>
      </c>
      <c r="R9" s="21" t="s">
        <v>23</v>
      </c>
      <c r="S9" s="64" t="s">
        <v>311</v>
      </c>
    </row>
    <row r="10" spans="1:19" ht="20.100000000000001" customHeight="1">
      <c r="A10" s="3" t="str">
        <f t="shared" si="0"/>
        <v>PR-009</v>
      </c>
      <c r="B10" s="21" t="s">
        <v>107</v>
      </c>
      <c r="C10" s="21" t="s">
        <v>312</v>
      </c>
      <c r="D10" s="21" t="s">
        <v>303</v>
      </c>
      <c r="E10" s="21" t="s">
        <v>304</v>
      </c>
      <c r="F10" s="21" t="s">
        <v>246</v>
      </c>
      <c r="G10" s="21" t="s">
        <v>247</v>
      </c>
      <c r="H10" s="21" t="s">
        <v>248</v>
      </c>
      <c r="I10" s="21" t="s">
        <v>249</v>
      </c>
      <c r="J10" s="21" t="s">
        <v>305</v>
      </c>
      <c r="K10" s="21" t="s">
        <v>306</v>
      </c>
      <c r="L10" s="21" t="s">
        <v>307</v>
      </c>
      <c r="M10" s="21" t="s">
        <v>313</v>
      </c>
      <c r="N10" s="21" t="s">
        <v>309</v>
      </c>
      <c r="O10" s="21" t="s">
        <v>23</v>
      </c>
      <c r="P10" s="21" t="s">
        <v>314</v>
      </c>
      <c r="Q10" s="21" t="s">
        <v>292</v>
      </c>
      <c r="R10" s="21" t="s">
        <v>23</v>
      </c>
      <c r="S10" s="64" t="s">
        <v>315</v>
      </c>
    </row>
    <row r="11" spans="1:19" ht="20.100000000000001" customHeight="1">
      <c r="A11" s="3" t="str">
        <f t="shared" si="0"/>
        <v>PR-010</v>
      </c>
      <c r="B11" s="21" t="s">
        <v>115</v>
      </c>
      <c r="C11" s="21" t="s">
        <v>316</v>
      </c>
      <c r="D11" s="21" t="s">
        <v>303</v>
      </c>
      <c r="E11" s="21" t="s">
        <v>304</v>
      </c>
      <c r="F11" s="21" t="s">
        <v>246</v>
      </c>
      <c r="G11" s="21" t="s">
        <v>247</v>
      </c>
      <c r="H11" s="21" t="s">
        <v>248</v>
      </c>
      <c r="I11" s="21" t="s">
        <v>249</v>
      </c>
      <c r="J11" s="21" t="s">
        <v>305</v>
      </c>
      <c r="K11" s="21" t="s">
        <v>306</v>
      </c>
      <c r="L11" s="21" t="s">
        <v>307</v>
      </c>
      <c r="M11" s="21" t="s">
        <v>317</v>
      </c>
      <c r="N11" s="21" t="s">
        <v>309</v>
      </c>
      <c r="O11" s="21" t="s">
        <v>23</v>
      </c>
      <c r="P11" s="21" t="s">
        <v>318</v>
      </c>
      <c r="Q11" s="21" t="s">
        <v>319</v>
      </c>
      <c r="R11" s="21" t="s">
        <v>23</v>
      </c>
      <c r="S11" s="64" t="s">
        <v>320</v>
      </c>
    </row>
    <row r="12" spans="1:19" ht="20.100000000000001" customHeight="1">
      <c r="A12" s="3" t="str">
        <f t="shared" si="0"/>
        <v>PR-011</v>
      </c>
      <c r="B12" s="21" t="s">
        <v>125</v>
      </c>
      <c r="C12" s="21" t="s">
        <v>321</v>
      </c>
      <c r="D12" s="21" t="s">
        <v>303</v>
      </c>
      <c r="E12" s="21" t="s">
        <v>304</v>
      </c>
      <c r="F12" s="21" t="s">
        <v>246</v>
      </c>
      <c r="G12" s="21" t="s">
        <v>247</v>
      </c>
      <c r="H12" s="21" t="s">
        <v>248</v>
      </c>
      <c r="I12" s="21" t="s">
        <v>249</v>
      </c>
      <c r="J12" s="21" t="s">
        <v>305</v>
      </c>
      <c r="K12" s="21" t="s">
        <v>306</v>
      </c>
      <c r="L12" s="21" t="s">
        <v>307</v>
      </c>
      <c r="M12" s="21" t="s">
        <v>322</v>
      </c>
      <c r="N12" s="21" t="s">
        <v>309</v>
      </c>
      <c r="O12" s="21" t="s">
        <v>23</v>
      </c>
      <c r="P12" s="21" t="s">
        <v>323</v>
      </c>
      <c r="Q12" s="21" t="s">
        <v>292</v>
      </c>
      <c r="R12" s="21" t="s">
        <v>23</v>
      </c>
      <c r="S12" s="64" t="s">
        <v>324</v>
      </c>
    </row>
    <row r="13" spans="1:19" ht="20.100000000000001" customHeight="1">
      <c r="A13" s="3" t="str">
        <f t="shared" si="0"/>
        <v>PR-012</v>
      </c>
      <c r="B13" s="21" t="s">
        <v>132</v>
      </c>
      <c r="C13" s="21" t="s">
        <v>325</v>
      </c>
      <c r="D13" s="21" t="s">
        <v>303</v>
      </c>
      <c r="E13" s="21" t="s">
        <v>304</v>
      </c>
      <c r="F13" s="21" t="s">
        <v>246</v>
      </c>
      <c r="G13" s="21" t="s">
        <v>247</v>
      </c>
      <c r="H13" s="21" t="s">
        <v>248</v>
      </c>
      <c r="I13" s="21" t="s">
        <v>249</v>
      </c>
      <c r="J13" s="21" t="s">
        <v>305</v>
      </c>
      <c r="K13" s="21" t="s">
        <v>306</v>
      </c>
      <c r="L13" s="21" t="s">
        <v>307</v>
      </c>
      <c r="M13" s="21" t="s">
        <v>326</v>
      </c>
      <c r="N13" s="21" t="s">
        <v>309</v>
      </c>
      <c r="O13" s="21" t="s">
        <v>23</v>
      </c>
      <c r="P13" s="21" t="s">
        <v>327</v>
      </c>
      <c r="Q13" s="21" t="s">
        <v>292</v>
      </c>
      <c r="R13" s="21" t="s">
        <v>23</v>
      </c>
      <c r="S13" s="64" t="s">
        <v>328</v>
      </c>
    </row>
    <row r="14" spans="1:19" ht="20.100000000000001" customHeight="1">
      <c r="A14" s="3" t="str">
        <f t="shared" si="0"/>
        <v>PR-013</v>
      </c>
      <c r="B14" s="21" t="s">
        <v>141</v>
      </c>
      <c r="C14" s="21" t="s">
        <v>329</v>
      </c>
      <c r="D14" s="21" t="s">
        <v>303</v>
      </c>
      <c r="E14" s="21" t="s">
        <v>304</v>
      </c>
      <c r="F14" s="21" t="s">
        <v>246</v>
      </c>
      <c r="G14" s="21" t="s">
        <v>247</v>
      </c>
      <c r="H14" s="21" t="s">
        <v>248</v>
      </c>
      <c r="I14" s="21" t="s">
        <v>249</v>
      </c>
      <c r="J14" s="21" t="s">
        <v>250</v>
      </c>
      <c r="K14" s="21" t="s">
        <v>306</v>
      </c>
      <c r="L14" s="21" t="s">
        <v>330</v>
      </c>
      <c r="M14" s="21" t="s">
        <v>331</v>
      </c>
      <c r="N14" s="21" t="s">
        <v>254</v>
      </c>
      <c r="O14" s="21" t="s">
        <v>23</v>
      </c>
      <c r="P14" s="21" t="s">
        <v>332</v>
      </c>
      <c r="Q14" s="21" t="s">
        <v>292</v>
      </c>
      <c r="R14" s="21" t="s">
        <v>333</v>
      </c>
      <c r="S14" s="64" t="s">
        <v>334</v>
      </c>
    </row>
    <row r="15" spans="1:19" ht="20.100000000000001" customHeight="1">
      <c r="A15" s="3" t="str">
        <f t="shared" si="0"/>
        <v>PR-014</v>
      </c>
      <c r="B15" s="21" t="s">
        <v>149</v>
      </c>
      <c r="C15" s="21" t="s">
        <v>335</v>
      </c>
      <c r="D15" s="21" t="s">
        <v>303</v>
      </c>
      <c r="E15" s="21" t="s">
        <v>304</v>
      </c>
      <c r="F15" s="21" t="s">
        <v>246</v>
      </c>
      <c r="G15" s="21" t="s">
        <v>247</v>
      </c>
      <c r="H15" s="21" t="s">
        <v>248</v>
      </c>
      <c r="I15" s="21" t="s">
        <v>249</v>
      </c>
      <c r="J15" s="21" t="s">
        <v>305</v>
      </c>
      <c r="K15" s="21" t="s">
        <v>306</v>
      </c>
      <c r="L15" s="21" t="s">
        <v>307</v>
      </c>
      <c r="M15" s="21" t="s">
        <v>336</v>
      </c>
      <c r="N15" s="21" t="s">
        <v>309</v>
      </c>
      <c r="O15" s="21" t="s">
        <v>23</v>
      </c>
      <c r="P15" s="21" t="s">
        <v>337</v>
      </c>
      <c r="Q15" s="21" t="s">
        <v>292</v>
      </c>
      <c r="R15" s="21" t="s">
        <v>23</v>
      </c>
      <c r="S15" s="64" t="s">
        <v>338</v>
      </c>
    </row>
    <row r="16" spans="1:19" ht="20.100000000000001" customHeight="1">
      <c r="A16" s="3" t="str">
        <f t="shared" si="0"/>
        <v>PR-015</v>
      </c>
      <c r="B16" s="21" t="s">
        <v>158</v>
      </c>
      <c r="C16" s="21" t="s">
        <v>339</v>
      </c>
      <c r="D16" s="21" t="s">
        <v>303</v>
      </c>
      <c r="E16" s="21" t="s">
        <v>304</v>
      </c>
      <c r="F16" s="21" t="s">
        <v>246</v>
      </c>
      <c r="G16" s="21" t="s">
        <v>247</v>
      </c>
      <c r="H16" s="21" t="s">
        <v>248</v>
      </c>
      <c r="I16" s="21" t="s">
        <v>249</v>
      </c>
      <c r="J16" s="21" t="s">
        <v>305</v>
      </c>
      <c r="K16" s="21" t="s">
        <v>306</v>
      </c>
      <c r="L16" s="21" t="s">
        <v>307</v>
      </c>
      <c r="M16" s="21" t="s">
        <v>340</v>
      </c>
      <c r="N16" s="21" t="s">
        <v>309</v>
      </c>
      <c r="O16" s="21" t="s">
        <v>23</v>
      </c>
      <c r="P16" s="21" t="s">
        <v>341</v>
      </c>
      <c r="Q16" s="21" t="s">
        <v>292</v>
      </c>
      <c r="R16" s="21" t="s">
        <v>23</v>
      </c>
      <c r="S16" s="64" t="s">
        <v>342</v>
      </c>
    </row>
    <row r="17" spans="1:19" ht="20.100000000000001" customHeight="1">
      <c r="A17" s="3" t="str">
        <f t="shared" si="0"/>
        <v>PR-016</v>
      </c>
      <c r="B17" s="21" t="s">
        <v>165</v>
      </c>
      <c r="C17" s="21" t="s">
        <v>343</v>
      </c>
      <c r="D17" s="21" t="s">
        <v>303</v>
      </c>
      <c r="E17" s="21" t="s">
        <v>304</v>
      </c>
      <c r="F17" s="21" t="s">
        <v>246</v>
      </c>
      <c r="G17" s="21" t="s">
        <v>247</v>
      </c>
      <c r="H17" s="21" t="s">
        <v>248</v>
      </c>
      <c r="I17" s="21" t="s">
        <v>249</v>
      </c>
      <c r="J17" s="21" t="s">
        <v>305</v>
      </c>
      <c r="K17" s="21" t="s">
        <v>306</v>
      </c>
      <c r="L17" s="21" t="s">
        <v>307</v>
      </c>
      <c r="M17" s="21" t="s">
        <v>344</v>
      </c>
      <c r="N17" s="21" t="s">
        <v>309</v>
      </c>
      <c r="O17" s="21" t="s">
        <v>23</v>
      </c>
      <c r="P17" s="21" t="s">
        <v>345</v>
      </c>
      <c r="Q17" s="21" t="s">
        <v>292</v>
      </c>
      <c r="R17" s="21" t="s">
        <v>23</v>
      </c>
      <c r="S17" s="64" t="s">
        <v>346</v>
      </c>
    </row>
    <row r="18" spans="1:19" ht="20.100000000000001" customHeight="1">
      <c r="A18" s="3" t="str">
        <f t="shared" si="0"/>
        <v>PR-017</v>
      </c>
      <c r="B18" s="21" t="s">
        <v>174</v>
      </c>
      <c r="C18" s="21" t="s">
        <v>347</v>
      </c>
      <c r="D18" s="21" t="s">
        <v>303</v>
      </c>
      <c r="E18" s="21" t="s">
        <v>304</v>
      </c>
      <c r="F18" s="21" t="s">
        <v>246</v>
      </c>
      <c r="G18" s="21" t="s">
        <v>247</v>
      </c>
      <c r="H18" s="21" t="s">
        <v>248</v>
      </c>
      <c r="I18" s="21" t="s">
        <v>249</v>
      </c>
      <c r="J18" s="21" t="s">
        <v>305</v>
      </c>
      <c r="K18" s="21" t="s">
        <v>306</v>
      </c>
      <c r="L18" s="21" t="s">
        <v>307</v>
      </c>
      <c r="M18" s="21" t="s">
        <v>348</v>
      </c>
      <c r="N18" s="21" t="s">
        <v>309</v>
      </c>
      <c r="O18" s="21" t="s">
        <v>23</v>
      </c>
      <c r="P18" s="21" t="s">
        <v>349</v>
      </c>
      <c r="Q18" s="21" t="s">
        <v>292</v>
      </c>
      <c r="R18" s="21" t="s">
        <v>23</v>
      </c>
      <c r="S18" s="64" t="s">
        <v>350</v>
      </c>
    </row>
    <row r="19" spans="1:19" ht="20.100000000000001" customHeight="1">
      <c r="A19" s="3" t="str">
        <f t="shared" si="0"/>
        <v>PR-018</v>
      </c>
      <c r="B19" s="21" t="s">
        <v>181</v>
      </c>
      <c r="C19" s="21" t="s">
        <v>351</v>
      </c>
      <c r="D19" s="21" t="s">
        <v>303</v>
      </c>
      <c r="E19" s="21" t="s">
        <v>304</v>
      </c>
      <c r="F19" s="21" t="s">
        <v>246</v>
      </c>
      <c r="G19" s="21" t="s">
        <v>247</v>
      </c>
      <c r="H19" s="21" t="s">
        <v>248</v>
      </c>
      <c r="I19" s="21" t="s">
        <v>249</v>
      </c>
      <c r="J19" s="21" t="s">
        <v>305</v>
      </c>
      <c r="K19" s="21" t="s">
        <v>306</v>
      </c>
      <c r="L19" s="21" t="s">
        <v>307</v>
      </c>
      <c r="M19" s="21" t="s">
        <v>352</v>
      </c>
      <c r="N19" s="21" t="s">
        <v>309</v>
      </c>
      <c r="O19" s="21" t="s">
        <v>23</v>
      </c>
      <c r="P19" s="21" t="s">
        <v>353</v>
      </c>
      <c r="Q19" s="21" t="s">
        <v>292</v>
      </c>
      <c r="R19" s="21" t="s">
        <v>23</v>
      </c>
      <c r="S19" s="64" t="s">
        <v>354</v>
      </c>
    </row>
    <row r="20" spans="1:19" ht="20.100000000000001" customHeight="1">
      <c r="A20" s="3" t="str">
        <f t="shared" si="0"/>
        <v>PR-019</v>
      </c>
      <c r="B20" s="21" t="s">
        <v>189</v>
      </c>
      <c r="C20" s="21" t="s">
        <v>355</v>
      </c>
      <c r="D20" s="21" t="s">
        <v>303</v>
      </c>
      <c r="E20" s="21" t="s">
        <v>304</v>
      </c>
      <c r="F20" s="21" t="s">
        <v>246</v>
      </c>
      <c r="G20" s="21" t="s">
        <v>247</v>
      </c>
      <c r="H20" s="21" t="s">
        <v>248</v>
      </c>
      <c r="I20" s="21" t="s">
        <v>249</v>
      </c>
      <c r="J20" s="21" t="s">
        <v>305</v>
      </c>
      <c r="K20" s="21" t="s">
        <v>306</v>
      </c>
      <c r="L20" s="21" t="s">
        <v>307</v>
      </c>
      <c r="M20" s="21" t="s">
        <v>356</v>
      </c>
      <c r="N20" s="21" t="s">
        <v>309</v>
      </c>
      <c r="O20" s="21" t="s">
        <v>23</v>
      </c>
      <c r="P20" s="21" t="s">
        <v>357</v>
      </c>
      <c r="Q20" s="21" t="s">
        <v>319</v>
      </c>
      <c r="R20" s="21" t="s">
        <v>23</v>
      </c>
      <c r="S20" s="64" t="s">
        <v>358</v>
      </c>
    </row>
    <row r="21" spans="1:19" ht="20.100000000000001" customHeight="1">
      <c r="A21" s="3" t="str">
        <f t="shared" si="0"/>
        <v>PR-020</v>
      </c>
      <c r="B21" s="21" t="s">
        <v>198</v>
      </c>
      <c r="C21" s="21" t="s">
        <v>359</v>
      </c>
      <c r="D21" s="21" t="s">
        <v>303</v>
      </c>
      <c r="E21" s="21" t="s">
        <v>304</v>
      </c>
      <c r="F21" s="21" t="s">
        <v>246</v>
      </c>
      <c r="G21" s="21" t="s">
        <v>247</v>
      </c>
      <c r="H21" s="21" t="s">
        <v>248</v>
      </c>
      <c r="I21" s="21" t="s">
        <v>249</v>
      </c>
      <c r="J21" s="21" t="s">
        <v>305</v>
      </c>
      <c r="K21" s="21" t="s">
        <v>306</v>
      </c>
      <c r="L21" s="21" t="s">
        <v>307</v>
      </c>
      <c r="M21" s="21" t="s">
        <v>360</v>
      </c>
      <c r="N21" s="21" t="s">
        <v>309</v>
      </c>
      <c r="O21" s="21" t="s">
        <v>23</v>
      </c>
      <c r="P21" s="21" t="s">
        <v>361</v>
      </c>
      <c r="Q21" s="21" t="s">
        <v>319</v>
      </c>
      <c r="R21" s="21" t="s">
        <v>23</v>
      </c>
      <c r="S21" s="64" t="s">
        <v>362</v>
      </c>
    </row>
    <row r="22" spans="1:19" ht="20.100000000000001" customHeight="1">
      <c r="A22" s="3" t="str">
        <f t="shared" si="0"/>
        <v>PR-021</v>
      </c>
      <c r="B22" s="21" t="s">
        <v>206</v>
      </c>
      <c r="C22" s="21" t="s">
        <v>363</v>
      </c>
      <c r="D22" s="21" t="s">
        <v>303</v>
      </c>
      <c r="E22" s="21" t="s">
        <v>304</v>
      </c>
      <c r="F22" s="21" t="s">
        <v>246</v>
      </c>
      <c r="G22" s="21" t="s">
        <v>247</v>
      </c>
      <c r="H22" s="21" t="s">
        <v>248</v>
      </c>
      <c r="I22" s="21" t="s">
        <v>249</v>
      </c>
      <c r="J22" s="21" t="s">
        <v>305</v>
      </c>
      <c r="K22" s="21" t="s">
        <v>306</v>
      </c>
      <c r="L22" s="21" t="s">
        <v>307</v>
      </c>
      <c r="M22" s="21" t="s">
        <v>364</v>
      </c>
      <c r="N22" s="21" t="s">
        <v>309</v>
      </c>
      <c r="O22" s="21" t="s">
        <v>23</v>
      </c>
      <c r="P22" s="21" t="s">
        <v>365</v>
      </c>
      <c r="Q22" s="21" t="s">
        <v>366</v>
      </c>
      <c r="R22" s="21" t="s">
        <v>23</v>
      </c>
      <c r="S22" s="64" t="s">
        <v>367</v>
      </c>
    </row>
    <row r="23" spans="1:19" ht="20.100000000000001" customHeight="1">
      <c r="A23" s="3" t="str">
        <f t="shared" si="0"/>
        <v>PR-022</v>
      </c>
      <c r="B23" s="21" t="s">
        <v>215</v>
      </c>
      <c r="C23" s="21" t="s">
        <v>368</v>
      </c>
      <c r="D23" s="21" t="s">
        <v>303</v>
      </c>
      <c r="E23" s="21" t="s">
        <v>304</v>
      </c>
      <c r="F23" s="21" t="s">
        <v>246</v>
      </c>
      <c r="G23" s="21" t="s">
        <v>247</v>
      </c>
      <c r="H23" s="21" t="s">
        <v>248</v>
      </c>
      <c r="I23" s="21" t="s">
        <v>249</v>
      </c>
      <c r="J23" s="21" t="s">
        <v>305</v>
      </c>
      <c r="K23" s="21" t="s">
        <v>306</v>
      </c>
      <c r="L23" s="21" t="s">
        <v>307</v>
      </c>
      <c r="M23" s="21" t="s">
        <v>369</v>
      </c>
      <c r="N23" s="21" t="s">
        <v>309</v>
      </c>
      <c r="O23" s="21" t="s">
        <v>23</v>
      </c>
      <c r="P23" s="21" t="s">
        <v>370</v>
      </c>
      <c r="Q23" s="21" t="s">
        <v>319</v>
      </c>
      <c r="R23" s="21" t="s">
        <v>23</v>
      </c>
      <c r="S23" s="64" t="s">
        <v>371</v>
      </c>
    </row>
    <row r="24" spans="1:19" ht="20.100000000000001" customHeight="1">
      <c r="A24" s="3" t="str">
        <f t="shared" si="0"/>
        <v>PR-023</v>
      </c>
    </row>
    <row r="25" spans="1:19" ht="20.100000000000001" customHeight="1">
      <c r="A25" s="3" t="str">
        <f t="shared" si="0"/>
        <v>PR-024</v>
      </c>
    </row>
    <row r="26" spans="1:19" ht="20.100000000000001" customHeight="1">
      <c r="A26" s="3" t="str">
        <f t="shared" si="0"/>
        <v>PR-025</v>
      </c>
    </row>
    <row r="27" spans="1:19" ht="20.100000000000001" customHeight="1">
      <c r="A27" s="3" t="str">
        <f t="shared" si="0"/>
        <v>PR-026</v>
      </c>
    </row>
    <row r="28" spans="1:19" ht="20.100000000000001" customHeight="1">
      <c r="A28" s="3" t="str">
        <f t="shared" si="0"/>
        <v>PR-027</v>
      </c>
    </row>
    <row r="29" spans="1:19" ht="20.100000000000001" customHeight="1">
      <c r="A29" s="3" t="str">
        <f t="shared" si="0"/>
        <v>PR-028</v>
      </c>
    </row>
    <row r="30" spans="1:19" ht="20.100000000000001" customHeight="1">
      <c r="A30" s="3" t="str">
        <f t="shared" si="0"/>
        <v>PR-029</v>
      </c>
    </row>
    <row r="31" spans="1:19" ht="20.100000000000001" customHeight="1">
      <c r="A31" s="3" t="str">
        <f t="shared" si="0"/>
        <v>PR-030</v>
      </c>
    </row>
    <row r="32" spans="1:19" ht="20.100000000000001" customHeight="1">
      <c r="A32" s="3" t="str">
        <f t="shared" si="0"/>
        <v>PR-031</v>
      </c>
    </row>
    <row r="33" spans="1:1" ht="20.100000000000001" customHeight="1">
      <c r="A33" s="3" t="str">
        <f t="shared" si="0"/>
        <v>PR-032</v>
      </c>
    </row>
    <row r="34" spans="1:1" ht="20.100000000000001" customHeight="1">
      <c r="A34" s="3" t="str">
        <f t="shared" ref="A34:A65" si="1">"PR-"&amp;TEXT(ROW()-1,"000")</f>
        <v>PR-033</v>
      </c>
    </row>
    <row r="35" spans="1:1" ht="20.100000000000001" customHeight="1">
      <c r="A35" s="3" t="str">
        <f t="shared" si="1"/>
        <v>PR-034</v>
      </c>
    </row>
    <row r="36" spans="1:1" ht="20.100000000000001" customHeight="1">
      <c r="A36" s="3" t="str">
        <f t="shared" si="1"/>
        <v>PR-035</v>
      </c>
    </row>
    <row r="37" spans="1:1" ht="20.100000000000001" customHeight="1">
      <c r="A37" s="3" t="str">
        <f t="shared" si="1"/>
        <v>PR-036</v>
      </c>
    </row>
    <row r="38" spans="1:1" ht="20.100000000000001" customHeight="1">
      <c r="A38" s="3" t="str">
        <f t="shared" si="1"/>
        <v>PR-037</v>
      </c>
    </row>
    <row r="39" spans="1:1" ht="20.100000000000001" customHeight="1">
      <c r="A39" s="3" t="str">
        <f t="shared" si="1"/>
        <v>PR-038</v>
      </c>
    </row>
    <row r="40" spans="1:1" ht="20.100000000000001" customHeight="1">
      <c r="A40" s="3" t="str">
        <f t="shared" si="1"/>
        <v>PR-039</v>
      </c>
    </row>
    <row r="41" spans="1:1" ht="20.100000000000001" customHeight="1">
      <c r="A41" s="3" t="str">
        <f t="shared" si="1"/>
        <v>PR-040</v>
      </c>
    </row>
    <row r="42" spans="1:1" ht="20.100000000000001" customHeight="1">
      <c r="A42" s="3" t="str">
        <f t="shared" si="1"/>
        <v>PR-041</v>
      </c>
    </row>
    <row r="43" spans="1:1" ht="20.100000000000001" customHeight="1">
      <c r="A43" s="3" t="str">
        <f t="shared" si="1"/>
        <v>PR-042</v>
      </c>
    </row>
    <row r="44" spans="1:1" ht="20.100000000000001" customHeight="1">
      <c r="A44" s="3" t="str">
        <f t="shared" si="1"/>
        <v>PR-043</v>
      </c>
    </row>
    <row r="45" spans="1:1" ht="20.100000000000001" customHeight="1">
      <c r="A45" s="3" t="str">
        <f t="shared" si="1"/>
        <v>PR-044</v>
      </c>
    </row>
    <row r="46" spans="1:1" ht="20.100000000000001" customHeight="1">
      <c r="A46" s="3" t="str">
        <f t="shared" si="1"/>
        <v>PR-045</v>
      </c>
    </row>
    <row r="47" spans="1:1" ht="20.100000000000001" customHeight="1">
      <c r="A47" s="3" t="str">
        <f t="shared" si="1"/>
        <v>PR-046</v>
      </c>
    </row>
    <row r="48" spans="1:1" ht="20.100000000000001" customHeight="1">
      <c r="A48" s="3" t="str">
        <f t="shared" si="1"/>
        <v>PR-047</v>
      </c>
    </row>
    <row r="49" spans="1:1" ht="20.100000000000001" customHeight="1">
      <c r="A49" s="3" t="str">
        <f t="shared" si="1"/>
        <v>PR-048</v>
      </c>
    </row>
    <row r="50" spans="1:1" ht="20.100000000000001" customHeight="1">
      <c r="A50" s="3" t="str">
        <f t="shared" si="1"/>
        <v>PR-049</v>
      </c>
    </row>
    <row r="51" spans="1:1" ht="20.100000000000001" customHeight="1">
      <c r="A51" s="3" t="str">
        <f t="shared" si="1"/>
        <v>PR-050</v>
      </c>
    </row>
    <row r="52" spans="1:1" ht="20.100000000000001" customHeight="1">
      <c r="A52" s="3" t="str">
        <f t="shared" si="1"/>
        <v>PR-051</v>
      </c>
    </row>
    <row r="53" spans="1:1" ht="20.100000000000001" customHeight="1">
      <c r="A53" s="3" t="str">
        <f t="shared" si="1"/>
        <v>PR-052</v>
      </c>
    </row>
    <row r="54" spans="1:1" ht="20.100000000000001" customHeight="1">
      <c r="A54" s="3" t="str">
        <f t="shared" si="1"/>
        <v>PR-053</v>
      </c>
    </row>
    <row r="55" spans="1:1" ht="20.100000000000001" customHeight="1">
      <c r="A55" s="3" t="str">
        <f t="shared" si="1"/>
        <v>PR-054</v>
      </c>
    </row>
    <row r="56" spans="1:1" ht="20.100000000000001" customHeight="1">
      <c r="A56" s="3" t="str">
        <f t="shared" si="1"/>
        <v>PR-055</v>
      </c>
    </row>
    <row r="57" spans="1:1" ht="20.100000000000001" customHeight="1">
      <c r="A57" s="3" t="str">
        <f t="shared" si="1"/>
        <v>PR-056</v>
      </c>
    </row>
    <row r="58" spans="1:1" ht="20.100000000000001" customHeight="1">
      <c r="A58" s="3" t="str">
        <f t="shared" si="1"/>
        <v>PR-057</v>
      </c>
    </row>
    <row r="59" spans="1:1" ht="20.100000000000001" customHeight="1">
      <c r="A59" s="3" t="str">
        <f t="shared" si="1"/>
        <v>PR-058</v>
      </c>
    </row>
    <row r="60" spans="1:1" ht="20.100000000000001" customHeight="1">
      <c r="A60" s="3" t="str">
        <f t="shared" si="1"/>
        <v>PR-059</v>
      </c>
    </row>
    <row r="61" spans="1:1" ht="20.100000000000001" customHeight="1">
      <c r="A61" s="3" t="str">
        <f t="shared" si="1"/>
        <v>PR-060</v>
      </c>
    </row>
    <row r="62" spans="1:1" ht="20.100000000000001" customHeight="1">
      <c r="A62" s="3" t="str">
        <f t="shared" si="1"/>
        <v>PR-061</v>
      </c>
    </row>
    <row r="63" spans="1:1" ht="20.100000000000001" customHeight="1">
      <c r="A63" s="3" t="str">
        <f t="shared" si="1"/>
        <v>PR-062</v>
      </c>
    </row>
    <row r="64" spans="1:1" ht="20.100000000000001" customHeight="1">
      <c r="A64" s="3" t="str">
        <f t="shared" si="1"/>
        <v>PR-063</v>
      </c>
    </row>
    <row r="65" spans="1:1" ht="20.100000000000001" customHeight="1">
      <c r="A65" s="3" t="str">
        <f t="shared" si="1"/>
        <v>PR-064</v>
      </c>
    </row>
    <row r="66" spans="1:1" ht="20.100000000000001" customHeight="1">
      <c r="A66" s="3" t="str">
        <f t="shared" ref="A66:A100" si="2">"PR-"&amp;TEXT(ROW()-1,"000")</f>
        <v>PR-065</v>
      </c>
    </row>
    <row r="67" spans="1:1" ht="20.100000000000001" customHeight="1">
      <c r="A67" s="3" t="str">
        <f t="shared" si="2"/>
        <v>PR-066</v>
      </c>
    </row>
    <row r="68" spans="1:1" ht="20.100000000000001" customHeight="1">
      <c r="A68" s="3" t="str">
        <f t="shared" si="2"/>
        <v>PR-067</v>
      </c>
    </row>
    <row r="69" spans="1:1" ht="20.100000000000001" customHeight="1">
      <c r="A69" s="3" t="str">
        <f t="shared" si="2"/>
        <v>PR-068</v>
      </c>
    </row>
    <row r="70" spans="1:1" ht="20.100000000000001" customHeight="1">
      <c r="A70" s="3" t="str">
        <f t="shared" si="2"/>
        <v>PR-069</v>
      </c>
    </row>
    <row r="71" spans="1:1" ht="20.100000000000001" customHeight="1">
      <c r="A71" s="3" t="str">
        <f t="shared" si="2"/>
        <v>PR-070</v>
      </c>
    </row>
    <row r="72" spans="1:1" ht="20.100000000000001" customHeight="1">
      <c r="A72" s="3" t="str">
        <f t="shared" si="2"/>
        <v>PR-071</v>
      </c>
    </row>
    <row r="73" spans="1:1" ht="20.100000000000001" customHeight="1">
      <c r="A73" s="3" t="str">
        <f t="shared" si="2"/>
        <v>PR-072</v>
      </c>
    </row>
    <row r="74" spans="1:1" ht="20.100000000000001" customHeight="1">
      <c r="A74" s="3" t="str">
        <f t="shared" si="2"/>
        <v>PR-073</v>
      </c>
    </row>
    <row r="75" spans="1:1" ht="20.100000000000001" customHeight="1">
      <c r="A75" s="3" t="str">
        <f t="shared" si="2"/>
        <v>PR-074</v>
      </c>
    </row>
    <row r="76" spans="1:1" ht="20.100000000000001" customHeight="1">
      <c r="A76" s="3" t="str">
        <f t="shared" si="2"/>
        <v>PR-075</v>
      </c>
    </row>
    <row r="77" spans="1:1" ht="20.100000000000001" customHeight="1">
      <c r="A77" s="3" t="str">
        <f t="shared" si="2"/>
        <v>PR-076</v>
      </c>
    </row>
    <row r="78" spans="1:1" ht="20.100000000000001" customHeight="1">
      <c r="A78" s="3" t="str">
        <f t="shared" si="2"/>
        <v>PR-077</v>
      </c>
    </row>
    <row r="79" spans="1:1" ht="20.100000000000001" customHeight="1">
      <c r="A79" s="3" t="str">
        <f t="shared" si="2"/>
        <v>PR-078</v>
      </c>
    </row>
    <row r="80" spans="1:1" ht="20.100000000000001" customHeight="1">
      <c r="A80" s="3" t="str">
        <f t="shared" si="2"/>
        <v>PR-079</v>
      </c>
    </row>
    <row r="81" spans="1:1" ht="20.100000000000001" customHeight="1">
      <c r="A81" s="3" t="str">
        <f t="shared" si="2"/>
        <v>PR-080</v>
      </c>
    </row>
    <row r="82" spans="1:1" ht="20.100000000000001" customHeight="1">
      <c r="A82" s="3" t="str">
        <f t="shared" si="2"/>
        <v>PR-081</v>
      </c>
    </row>
    <row r="83" spans="1:1" ht="20.100000000000001" customHeight="1">
      <c r="A83" s="3" t="str">
        <f t="shared" si="2"/>
        <v>PR-082</v>
      </c>
    </row>
    <row r="84" spans="1:1" ht="20.100000000000001" customHeight="1">
      <c r="A84" s="3" t="str">
        <f t="shared" si="2"/>
        <v>PR-083</v>
      </c>
    </row>
    <row r="85" spans="1:1" ht="20.100000000000001" customHeight="1">
      <c r="A85" s="3" t="str">
        <f t="shared" si="2"/>
        <v>PR-084</v>
      </c>
    </row>
    <row r="86" spans="1:1" ht="20.100000000000001" customHeight="1">
      <c r="A86" s="3" t="str">
        <f t="shared" si="2"/>
        <v>PR-085</v>
      </c>
    </row>
    <row r="87" spans="1:1" ht="20.100000000000001" customHeight="1">
      <c r="A87" s="3" t="str">
        <f t="shared" si="2"/>
        <v>PR-086</v>
      </c>
    </row>
    <row r="88" spans="1:1" ht="20.100000000000001" customHeight="1">
      <c r="A88" s="3" t="str">
        <f t="shared" si="2"/>
        <v>PR-087</v>
      </c>
    </row>
    <row r="89" spans="1:1" ht="20.100000000000001" customHeight="1">
      <c r="A89" s="3" t="str">
        <f t="shared" si="2"/>
        <v>PR-088</v>
      </c>
    </row>
    <row r="90" spans="1:1" ht="20.100000000000001" customHeight="1">
      <c r="A90" s="3" t="str">
        <f t="shared" si="2"/>
        <v>PR-089</v>
      </c>
    </row>
    <row r="91" spans="1:1" ht="20.100000000000001" customHeight="1">
      <c r="A91" s="3" t="str">
        <f t="shared" si="2"/>
        <v>PR-090</v>
      </c>
    </row>
    <row r="92" spans="1:1" ht="20.100000000000001" customHeight="1">
      <c r="A92" s="3" t="str">
        <f t="shared" si="2"/>
        <v>PR-091</v>
      </c>
    </row>
    <row r="93" spans="1:1" ht="20.100000000000001" customHeight="1">
      <c r="A93" s="3" t="str">
        <f t="shared" si="2"/>
        <v>PR-092</v>
      </c>
    </row>
    <row r="94" spans="1:1" ht="20.100000000000001" customHeight="1">
      <c r="A94" s="3" t="str">
        <f t="shared" si="2"/>
        <v>PR-093</v>
      </c>
    </row>
    <row r="95" spans="1:1" ht="20.100000000000001" customHeight="1">
      <c r="A95" s="3" t="str">
        <f t="shared" si="2"/>
        <v>PR-094</v>
      </c>
    </row>
    <row r="96" spans="1:1" ht="20.100000000000001" customHeight="1">
      <c r="A96" s="3" t="str">
        <f t="shared" si="2"/>
        <v>PR-095</v>
      </c>
    </row>
    <row r="97" spans="1:1" ht="20.100000000000001" customHeight="1">
      <c r="A97" s="3" t="str">
        <f t="shared" si="2"/>
        <v>PR-096</v>
      </c>
    </row>
    <row r="98" spans="1:1" ht="20.100000000000001" customHeight="1">
      <c r="A98" s="3" t="str">
        <f t="shared" si="2"/>
        <v>PR-097</v>
      </c>
    </row>
    <row r="99" spans="1:1" ht="20.100000000000001" customHeight="1">
      <c r="A99" s="3" t="str">
        <f t="shared" si="2"/>
        <v>PR-098</v>
      </c>
    </row>
    <row r="100" spans="1:1" ht="20.100000000000001" customHeight="1">
      <c r="A100" s="3" t="str">
        <f t="shared" si="2"/>
        <v>PR-099</v>
      </c>
    </row>
  </sheetData>
  <dataValidations count="10">
    <dataValidation type="list" allowBlank="1" showInputMessage="1" showErrorMessage="1" sqref="G1" xr:uid="{00000000-0002-0000-0200-000000000000}">
      <formula1>"Windows.Event.Logs,Custom.VQL,Notebook,Hunt,Parser,Elastic.Sysmon,Multiple"</formula1>
    </dataValidation>
    <dataValidation type="list" allowBlank="1" showInputMessage="1" showErrorMessage="1" sqref="F1:F1048576" xr:uid="{00000000-0002-0000-0200-000001000000}">
      <formula1>"0.75.6"</formula1>
    </dataValidation>
    <dataValidation type="list" allowBlank="1" showInputMessage="1" showErrorMessage="1" sqref="I1:I1048576" xr:uid="{00000000-0002-0000-0200-000002000000}">
      <formula1>"Manual,Hunt,Mixta,Programada,Client Event"</formula1>
    </dataValidation>
    <dataValidation type="list" allowBlank="1" showInputMessage="1" showErrorMessage="1" sqref="J1:J1048576" xr:uid="{00000000-0002-0000-0200-000003000000}">
      <formula1>"Detectado,Parcial,No detectado"</formula1>
    </dataValidation>
    <dataValidation type="list" allowBlank="1" showInputMessage="1" showErrorMessage="1" sqref="K1:K1048576" xr:uid="{00000000-0002-0000-0200-000004000000}">
      <formula1>"Positivo,Negativo"</formula1>
    </dataValidation>
    <dataValidation type="list" allowBlank="1" showInputMessage="1" showErrorMessage="1" sqref="L1:L1048576" xr:uid="{00000000-0002-0000-0200-000005000000}">
      <formula1>"verdadero positivo,falso negativo,falso positivo,verdadero negativo"</formula1>
    </dataValidation>
    <dataValidation type="list" allowBlank="1" showInputMessage="1" showErrorMessage="1" sqref="R1:R1048576 O1:O1048576" xr:uid="{00000000-0002-0000-0200-000006000000}">
      <formula1>"Sí,Parcial,No"</formula1>
    </dataValidation>
    <dataValidation type="list" allowBlank="1" showInputMessage="1" showErrorMessage="1" sqref="Q1:Q1048576" xr:uid="{00000000-0002-0000-0200-000007000000}">
      <formula1>"Sysmon,Security Event Log,Registry,Filesystem,WMI,Task Scheduler,Services,Multiple"</formula1>
    </dataValidation>
    <dataValidation type="list" allowBlank="1" showInputMessage="1" showErrorMessage="1" sqref="D1 F1" xr:uid="{00000000-0002-0000-0200-000008000000}">
      <formula1>"Atomic Red Team,Manual controlado,Script propio,Emulación benigna"</formula1>
    </dataValidation>
    <dataValidation type="list" allowBlank="1" showInputMessage="1" showErrorMessage="1" sqref="H1:H1048576" xr:uid="{00000000-0002-0000-0200-000009000000}">
      <formula1>"Event artifact"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0"/>
  <sheetViews>
    <sheetView topLeftCell="A14" workbookViewId="0">
      <selection activeCell="H32" sqref="H32"/>
    </sheetView>
  </sheetViews>
  <sheetFormatPr baseColWidth="10" defaultRowHeight="15"/>
  <cols>
    <col min="1" max="2" width="12" style="3" customWidth="1"/>
    <col min="3" max="3" width="14.28515625" style="3" customWidth="1"/>
    <col min="4" max="4" width="22" style="3" customWidth="1"/>
    <col min="5" max="6" width="16" style="3" customWidth="1"/>
    <col min="7" max="7" width="13" style="3" customWidth="1"/>
    <col min="8" max="8" width="24" style="3" customWidth="1"/>
    <col min="9" max="9" width="14" style="3" customWidth="1"/>
    <col min="10" max="11" width="10" style="3" customWidth="1"/>
    <col min="12" max="17" width="10" customWidth="1"/>
    <col min="18" max="19" width="12" customWidth="1"/>
    <col min="20" max="20" width="28" customWidth="1"/>
    <col min="21" max="21" width="54" customWidth="1"/>
    <col min="22" max="16384" width="11.42578125" style="3"/>
  </cols>
  <sheetData>
    <row r="1" spans="1:21" ht="15" customHeight="1">
      <c r="A1" s="60" t="s">
        <v>434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</row>
    <row r="2" spans="1:21" ht="15" customHeight="1">
      <c r="A2" s="18"/>
      <c r="B2" s="18"/>
      <c r="C2" s="18"/>
      <c r="D2" s="18"/>
      <c r="E2" s="19"/>
      <c r="F2" s="19"/>
      <c r="G2" s="18"/>
      <c r="H2" s="18"/>
      <c r="I2" s="18"/>
      <c r="J2" s="18"/>
      <c r="K2" s="19"/>
      <c r="L2" s="22"/>
      <c r="M2" s="22"/>
      <c r="N2" s="22"/>
      <c r="O2" s="22"/>
      <c r="P2" s="22"/>
      <c r="Q2" s="22"/>
      <c r="R2" s="22"/>
      <c r="S2" s="22"/>
      <c r="T2" s="22"/>
      <c r="U2" s="22"/>
    </row>
    <row r="3" spans="1:21" ht="15" customHeight="1">
      <c r="A3" s="74" t="s">
        <v>435</v>
      </c>
      <c r="B3" s="66" t="s">
        <v>436</v>
      </c>
      <c r="C3" s="66" t="s">
        <v>437</v>
      </c>
      <c r="D3" s="18"/>
      <c r="E3" s="61" t="s">
        <v>438</v>
      </c>
      <c r="F3" s="61"/>
      <c r="G3" s="61"/>
      <c r="H3" s="61"/>
      <c r="I3" s="61"/>
      <c r="J3" s="61"/>
      <c r="K3" s="61"/>
      <c r="L3" s="62"/>
      <c r="M3" s="62"/>
      <c r="N3" s="62"/>
      <c r="O3" s="62"/>
      <c r="P3" s="62"/>
      <c r="Q3" s="62"/>
      <c r="R3" s="62"/>
      <c r="S3" s="62"/>
      <c r="T3" s="62"/>
      <c r="U3" s="62"/>
    </row>
    <row r="4" spans="1:21" ht="60" customHeight="1">
      <c r="A4" s="75" t="s">
        <v>439</v>
      </c>
      <c r="B4" s="67">
        <f>COUNTA($A$21:$A$42)</f>
        <v>22</v>
      </c>
      <c r="C4" s="68" t="s">
        <v>440</v>
      </c>
      <c r="D4" s="18"/>
      <c r="E4" s="24" t="s">
        <v>441</v>
      </c>
      <c r="F4" s="25" t="s">
        <v>442</v>
      </c>
      <c r="G4" s="26"/>
      <c r="H4" s="26"/>
      <c r="I4" s="26"/>
      <c r="J4" s="26"/>
      <c r="K4" s="25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1" ht="60" customHeight="1">
      <c r="A5" s="72" t="s">
        <v>443</v>
      </c>
      <c r="B5" s="69">
        <f>COUNTIF($C$21:$C$42,"TEC")</f>
        <v>7</v>
      </c>
      <c r="C5" s="70" t="s">
        <v>444</v>
      </c>
      <c r="D5" s="18"/>
      <c r="E5" s="24" t="s">
        <v>445</v>
      </c>
      <c r="F5" s="25" t="s">
        <v>446</v>
      </c>
      <c r="G5" s="26"/>
      <c r="H5" s="26"/>
      <c r="I5" s="26"/>
      <c r="J5" s="26"/>
      <c r="K5" s="25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ht="84" customHeight="1">
      <c r="A6" s="72" t="s">
        <v>447</v>
      </c>
      <c r="B6" s="69">
        <f>COUNTIF($C$21:$C$42,"OB")</f>
        <v>15</v>
      </c>
      <c r="C6" s="70" t="s">
        <v>448</v>
      </c>
      <c r="D6" s="18"/>
      <c r="E6" s="24" t="s">
        <v>449</v>
      </c>
      <c r="F6" s="25" t="s">
        <v>450</v>
      </c>
      <c r="G6" s="26"/>
      <c r="H6" s="26"/>
      <c r="I6" s="26"/>
      <c r="J6" s="26"/>
      <c r="K6" s="25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ht="84" customHeight="1">
      <c r="A7" s="72" t="s">
        <v>451</v>
      </c>
      <c r="B7" s="69">
        <f>SUM($M$21:$M$42)</f>
        <v>7</v>
      </c>
      <c r="C7" s="70" t="s">
        <v>452</v>
      </c>
      <c r="D7" s="18"/>
      <c r="E7" s="24" t="s">
        <v>453</v>
      </c>
      <c r="F7" s="25" t="s">
        <v>454</v>
      </c>
      <c r="G7" s="26"/>
      <c r="H7" s="26"/>
      <c r="I7" s="26"/>
      <c r="J7" s="26"/>
      <c r="K7" s="25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pans="1:21" ht="45" customHeight="1">
      <c r="A8" s="72" t="s">
        <v>455</v>
      </c>
      <c r="B8" s="69">
        <f>SUM($N$21:$N$42)</f>
        <v>14</v>
      </c>
      <c r="C8" s="70" t="s">
        <v>456</v>
      </c>
      <c r="D8" s="18"/>
      <c r="E8" s="19"/>
      <c r="F8" s="19"/>
      <c r="G8" s="18"/>
      <c r="H8" s="18"/>
      <c r="I8" s="18"/>
      <c r="J8" s="18"/>
      <c r="K8" s="19"/>
      <c r="L8" s="22"/>
      <c r="M8" s="22"/>
      <c r="N8" s="22"/>
      <c r="O8" s="22"/>
      <c r="P8" s="22"/>
      <c r="Q8" s="22"/>
      <c r="R8" s="22"/>
      <c r="S8" s="22"/>
      <c r="T8" s="22"/>
      <c r="U8" s="22"/>
    </row>
    <row r="9" spans="1:21" ht="33.75" customHeight="1">
      <c r="A9" s="72" t="s">
        <v>457</v>
      </c>
      <c r="B9" s="69">
        <f>SUM($O$21:$O$42)</f>
        <v>1</v>
      </c>
      <c r="C9" s="70" t="s">
        <v>458</v>
      </c>
      <c r="D9" s="18"/>
      <c r="E9" s="61" t="s">
        <v>459</v>
      </c>
      <c r="F9" s="61"/>
      <c r="G9" s="62"/>
      <c r="H9" s="62"/>
      <c r="I9" s="61"/>
      <c r="J9" s="62"/>
      <c r="K9" s="61"/>
      <c r="L9" s="62"/>
      <c r="M9" s="62"/>
      <c r="N9" s="62"/>
      <c r="O9" s="62"/>
      <c r="P9" s="62"/>
      <c r="Q9" s="62"/>
      <c r="R9" s="62"/>
      <c r="S9" s="62"/>
      <c r="T9" s="62"/>
      <c r="U9" s="62"/>
    </row>
    <row r="10" spans="1:21" ht="48" customHeight="1">
      <c r="A10" s="72" t="s">
        <v>460</v>
      </c>
      <c r="B10" s="69">
        <f>SUM($P$21:$P$42)</f>
        <v>0</v>
      </c>
      <c r="C10" s="70" t="s">
        <v>461</v>
      </c>
      <c r="D10" s="18"/>
      <c r="E10" s="28" t="s">
        <v>462</v>
      </c>
      <c r="F10" s="29" t="s">
        <v>463</v>
      </c>
      <c r="G10" s="30"/>
      <c r="H10" s="30"/>
      <c r="I10" s="31"/>
      <c r="J10" s="30"/>
      <c r="K10" s="29"/>
      <c r="L10" s="30"/>
      <c r="M10" s="30"/>
      <c r="N10" s="30"/>
      <c r="O10" s="30"/>
      <c r="P10" s="30"/>
      <c r="Q10" s="30"/>
      <c r="R10" s="30"/>
      <c r="S10" s="30"/>
      <c r="T10" s="30"/>
      <c r="U10" s="30"/>
    </row>
    <row r="11" spans="1:21" ht="48" customHeight="1">
      <c r="A11" s="72" t="s">
        <v>464</v>
      </c>
      <c r="B11" s="76">
        <f>IF(B5=0,0,B7/B5)</f>
        <v>1</v>
      </c>
      <c r="C11" s="70" t="s">
        <v>465</v>
      </c>
      <c r="D11" s="18"/>
      <c r="E11" s="28" t="s">
        <v>466</v>
      </c>
      <c r="F11" s="29" t="s">
        <v>467</v>
      </c>
      <c r="G11" s="30"/>
      <c r="H11" s="30"/>
      <c r="I11" s="31"/>
      <c r="J11" s="30"/>
      <c r="K11" s="29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spans="1:21" ht="29.25" customHeight="1">
      <c r="A12" s="72" t="s">
        <v>468</v>
      </c>
      <c r="B12" s="76">
        <f>IF(B6=0,0,B9/B6)</f>
        <v>6.6666666666666666E-2</v>
      </c>
      <c r="C12" s="70" t="s">
        <v>469</v>
      </c>
      <c r="D12" s="22"/>
      <c r="E12" s="32" t="s">
        <v>470</v>
      </c>
      <c r="F12" s="30" t="s">
        <v>471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</row>
    <row r="13" spans="1:21" ht="48" customHeight="1">
      <c r="A13" s="72" t="s">
        <v>472</v>
      </c>
      <c r="B13" s="76">
        <f>IF(B4=0,0,(B7+B8)/B4)</f>
        <v>0.95454545454545459</v>
      </c>
      <c r="C13" s="70" t="s">
        <v>473</v>
      </c>
      <c r="D13" s="18"/>
      <c r="E13" s="28" t="s">
        <v>474</v>
      </c>
      <c r="F13" s="31" t="s">
        <v>475</v>
      </c>
      <c r="G13" s="30"/>
      <c r="H13" s="30"/>
      <c r="I13" s="31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  <row r="14" spans="1:21" ht="52.5" customHeight="1">
      <c r="A14" s="72" t="s">
        <v>476</v>
      </c>
      <c r="B14" s="69">
        <f>SUM($Q$21:$Q$42)</f>
        <v>1</v>
      </c>
      <c r="C14" s="70" t="s">
        <v>477</v>
      </c>
      <c r="D14" s="18"/>
      <c r="E14" s="28" t="s">
        <v>478</v>
      </c>
      <c r="F14" s="31" t="s">
        <v>479</v>
      </c>
      <c r="G14" s="30"/>
      <c r="H14" s="30"/>
      <c r="I14" s="31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</row>
    <row r="15" spans="1:21" ht="47.25" customHeight="1">
      <c r="A15" s="73" t="s">
        <v>480</v>
      </c>
      <c r="B15" s="77">
        <f>IF(B4=0,0,(B7+B8+B14)/B4)</f>
        <v>1</v>
      </c>
      <c r="C15" s="71" t="s">
        <v>481</v>
      </c>
      <c r="D15" s="18"/>
      <c r="E15" s="18"/>
      <c r="F15" s="18"/>
      <c r="G15" s="22"/>
      <c r="H15" s="22"/>
      <c r="I15" s="18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1:21" ht="15" customHeight="1">
      <c r="A16" s="22"/>
      <c r="B16" s="22"/>
      <c r="C16" s="18"/>
      <c r="D16" s="18"/>
      <c r="E16" s="18"/>
      <c r="F16" s="18"/>
      <c r="G16" s="22"/>
      <c r="H16" s="22"/>
      <c r="I16" s="18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15" customHeight="1">
      <c r="A17" s="22"/>
      <c r="B17" s="22"/>
      <c r="C17" s="18"/>
      <c r="D17" s="18"/>
      <c r="E17" s="18"/>
      <c r="F17" s="18"/>
      <c r="G17" s="22"/>
      <c r="H17" s="22"/>
      <c r="I17" s="18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22"/>
      <c r="B18" s="22"/>
      <c r="C18" s="18"/>
      <c r="D18" s="18"/>
      <c r="E18" s="18"/>
      <c r="F18" s="18"/>
      <c r="G18" s="22"/>
      <c r="H18" s="22"/>
      <c r="I18" s="18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1:21" ht="15" customHeight="1">
      <c r="A19" s="22"/>
      <c r="B19" s="22"/>
      <c r="C19" s="18"/>
      <c r="D19" s="18"/>
      <c r="E19" s="18"/>
      <c r="F19" s="18"/>
      <c r="G19" s="22"/>
      <c r="H19" s="22"/>
      <c r="I19" s="18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ht="24" customHeight="1">
      <c r="A20" s="65" t="s">
        <v>223</v>
      </c>
      <c r="B20" s="65" t="s">
        <v>224</v>
      </c>
      <c r="C20" s="65" t="s">
        <v>482</v>
      </c>
      <c r="D20" s="65" t="s">
        <v>483</v>
      </c>
      <c r="E20" s="65" t="s">
        <v>484</v>
      </c>
      <c r="F20" s="65" t="s">
        <v>232</v>
      </c>
      <c r="G20" s="65" t="s">
        <v>233</v>
      </c>
      <c r="H20" s="65" t="s">
        <v>234</v>
      </c>
      <c r="I20" s="65" t="s">
        <v>485</v>
      </c>
      <c r="J20" s="65" t="s">
        <v>486</v>
      </c>
      <c r="K20" s="65" t="s">
        <v>487</v>
      </c>
      <c r="L20" s="65" t="s">
        <v>488</v>
      </c>
      <c r="M20" s="65" t="s">
        <v>489</v>
      </c>
      <c r="N20" s="65" t="s">
        <v>490</v>
      </c>
      <c r="O20" s="65" t="s">
        <v>491</v>
      </c>
      <c r="P20" s="65" t="s">
        <v>492</v>
      </c>
      <c r="Q20" s="65" t="s">
        <v>493</v>
      </c>
      <c r="R20" s="65" t="s">
        <v>237</v>
      </c>
      <c r="S20" s="65" t="s">
        <v>240</v>
      </c>
      <c r="T20" s="65" t="s">
        <v>494</v>
      </c>
      <c r="U20" s="65" t="s">
        <v>495</v>
      </c>
    </row>
    <row r="21" spans="1:21" ht="24" customHeight="1">
      <c r="A21" s="33" t="str">
        <f>'03_Evaluacion_VR'!A2</f>
        <v>PR-001</v>
      </c>
      <c r="B21" s="34" t="str">
        <f>'03_Evaluacion_VR'!B2</f>
        <v>TEC-001</v>
      </c>
      <c r="C21" s="35" t="str">
        <f t="shared" ref="C21:C42" si="0">IF(LEFT(B21,3)="TEC","TEC",IF(LEFT(B21,2)="OB","OB",""))</f>
        <v>TEC</v>
      </c>
      <c r="D21" s="35" t="str">
        <f>IF(C21="TEC",INDEX('01_Seleccion_Tecnicas'!$B:$B,MATCH(B21,'01_Seleccion_Tecnicas'!$A:$A,0)),INDEX('02_Operaciones_Benignas'!$B:$B,MATCH(B21,'02_Operaciones_Benignas'!$A:$A,0)))</f>
        <v>Execution</v>
      </c>
      <c r="E21" s="35" t="str">
        <f>IF(C21="TEC",INDEX('01_Seleccion_Tecnicas'!$G:$G,MATCH(B21,'01_Seleccion_Tecnicas'!$A:$A,0)),INDEX('02_Operaciones_Benignas'!$B:$B,MATCH(B21,'02_Operaciones_Benignas'!$A:$A,0)))</f>
        <v>T1059.001</v>
      </c>
      <c r="F21" s="35" t="str">
        <f>'03_Evaluacion_VR'!J2</f>
        <v>Detectado</v>
      </c>
      <c r="G21" s="34" t="str">
        <f>'03_Evaluacion_VR'!K2</f>
        <v>Positivo</v>
      </c>
      <c r="H21" s="34" t="str">
        <f>'03_Evaluacion_VR'!L2</f>
        <v>verdadero positivo</v>
      </c>
      <c r="I21" s="35" t="str">
        <f t="shared" ref="I21:I42" si="1">IF(AND(G21="Positivo",F21="Detectado"),"VP",IF(AND(G21="Positivo",F21&lt;&gt;"Detectado"),"FN",IF(AND(G21="Negativo",F21="Detectado"),"FP",IF(AND(G21="Negativo",F21&lt;&gt;"Detectado"),"VN","NE"))))</f>
        <v>VP</v>
      </c>
      <c r="J21" s="36">
        <f t="shared" ref="J21:J42" si="2">IF(F21="Detectado",1,0)</f>
        <v>1</v>
      </c>
      <c r="K21" s="36">
        <f t="shared" ref="K21:K42" si="3">IF(G21="Positivo",1,0)</f>
        <v>1</v>
      </c>
      <c r="L21" s="36">
        <f t="shared" ref="L21:L42" si="4">IF(OR(I21="VP",I21="VN"),1,0)</f>
        <v>1</v>
      </c>
      <c r="M21" s="36">
        <f t="shared" ref="M21:M42" si="5">IF(I21="VP",1,0)</f>
        <v>1</v>
      </c>
      <c r="N21" s="36">
        <f t="shared" ref="N21:N42" si="6">IF(I21="VN",1,0)</f>
        <v>0</v>
      </c>
      <c r="O21" s="36">
        <f t="shared" ref="O21:O42" si="7">IF(I21="FP",1,0)</f>
        <v>0</v>
      </c>
      <c r="P21" s="36">
        <f t="shared" ref="P21:P42" si="8">IF(I21="FN",1,0)</f>
        <v>0</v>
      </c>
      <c r="Q21" s="36">
        <f t="shared" ref="Q21:Q42" si="9">IF(ISNUMBER(SEARCH("dual",LOWER(H21&amp;" "&amp;U21))),1,0)</f>
        <v>0</v>
      </c>
      <c r="R21" s="34" t="str">
        <f>'03_Evaluacion_VR'!O2</f>
        <v>Sí</v>
      </c>
      <c r="S21" s="34" t="str">
        <f>'03_Evaluacion_VR'!R2</f>
        <v>Sí</v>
      </c>
      <c r="T21" s="34" t="str">
        <f>'03_Evaluacion_VR'!P2</f>
        <v>Resultado_TEC-001.png</v>
      </c>
      <c r="U21" s="37" t="str">
        <f>'03_Evaluacion_VR'!S2</f>
        <v>La detección es válida, pero en este artifact la información útil aparece embebida en Message, no en columnas separadas</v>
      </c>
    </row>
    <row r="22" spans="1:21" ht="24" customHeight="1">
      <c r="A22" s="38" t="str">
        <f>'03_Evaluacion_VR'!A3</f>
        <v>PR-002</v>
      </c>
      <c r="B22" s="39" t="str">
        <f>'03_Evaluacion_VR'!B3</f>
        <v>TEC-002</v>
      </c>
      <c r="C22" s="40" t="str">
        <f t="shared" si="0"/>
        <v>TEC</v>
      </c>
      <c r="D22" s="40" t="str">
        <f>IF(C22="TEC",INDEX('01_Seleccion_Tecnicas'!$B:$B,MATCH(B22,'01_Seleccion_Tecnicas'!$A:$A,0)),INDEX('02_Operaciones_Benignas'!$B:$B,MATCH(B22,'02_Operaciones_Benignas'!$A:$A,0)))</f>
        <v>Execution</v>
      </c>
      <c r="E22" s="40" t="str">
        <f>IF(C22="TEC",INDEX('01_Seleccion_Tecnicas'!$G:$G,MATCH(B22,'01_Seleccion_Tecnicas'!$A:$A,0)),INDEX('02_Operaciones_Benignas'!$B:$B,MATCH(B22,'02_Operaciones_Benignas'!$A:$A,0)))</f>
        <v>T1059.003</v>
      </c>
      <c r="F22" s="40" t="str">
        <f>'03_Evaluacion_VR'!J3</f>
        <v>Detectado</v>
      </c>
      <c r="G22" s="39" t="str">
        <f>'03_Evaluacion_VR'!K3</f>
        <v>Positivo</v>
      </c>
      <c r="H22" s="39" t="str">
        <f>'03_Evaluacion_VR'!L3</f>
        <v>verdadero positivo</v>
      </c>
      <c r="I22" s="40" t="str">
        <f t="shared" si="1"/>
        <v>VP</v>
      </c>
      <c r="J22" s="41">
        <f t="shared" si="2"/>
        <v>1</v>
      </c>
      <c r="K22" s="41">
        <f t="shared" si="3"/>
        <v>1</v>
      </c>
      <c r="L22" s="41">
        <f t="shared" si="4"/>
        <v>1</v>
      </c>
      <c r="M22" s="41">
        <f t="shared" si="5"/>
        <v>1</v>
      </c>
      <c r="N22" s="41">
        <f t="shared" si="6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  <c r="R22" s="39" t="str">
        <f>'03_Evaluacion_VR'!O3</f>
        <v>Sí</v>
      </c>
      <c r="S22" s="39" t="str">
        <f>'03_Evaluacion_VR'!R3</f>
        <v>Sí</v>
      </c>
      <c r="T22" s="39" t="str">
        <f>'03_Evaluacion_VR'!P3</f>
        <v>Resultado_TEC-002.png</v>
      </c>
      <c r="U22" s="42" t="str">
        <f>'03_Evaluacion_VR'!S3</f>
        <v>La variante con timeout fue más robusta que la ejecución demasiado corta. Resultado válido como prueba base de ejecución vía shell.</v>
      </c>
    </row>
    <row r="23" spans="1:21" ht="24" customHeight="1">
      <c r="A23" s="38" t="str">
        <f>'03_Evaluacion_VR'!A4</f>
        <v>PR-003</v>
      </c>
      <c r="B23" s="39" t="str">
        <f>'03_Evaluacion_VR'!B4</f>
        <v>TEC-003</v>
      </c>
      <c r="C23" s="40" t="str">
        <f t="shared" si="0"/>
        <v>TEC</v>
      </c>
      <c r="D23" s="40" t="str">
        <f>IF(C23="TEC",INDEX('01_Seleccion_Tecnicas'!$B:$B,MATCH(B23,'01_Seleccion_Tecnicas'!$A:$A,0)),INDEX('02_Operaciones_Benignas'!$B:$B,MATCH(B23,'02_Operaciones_Benignas'!$A:$A,0)))</f>
        <v>Persistence</v>
      </c>
      <c r="E23" s="40" t="str">
        <f>IF(C23="TEC",INDEX('01_Seleccion_Tecnicas'!$G:$G,MATCH(B23,'01_Seleccion_Tecnicas'!$A:$A,0)),INDEX('02_Operaciones_Benignas'!$B:$B,MATCH(B23,'02_Operaciones_Benignas'!$A:$A,0)))</f>
        <v>T1053.005</v>
      </c>
      <c r="F23" s="40" t="str">
        <f>'03_Evaluacion_VR'!J4</f>
        <v>Detectado</v>
      </c>
      <c r="G23" s="39" t="str">
        <f>'03_Evaluacion_VR'!K4</f>
        <v>Positivo</v>
      </c>
      <c r="H23" s="39" t="str">
        <f>'03_Evaluacion_VR'!L4</f>
        <v>verdadero positivo</v>
      </c>
      <c r="I23" s="40" t="str">
        <f t="shared" si="1"/>
        <v>VP</v>
      </c>
      <c r="J23" s="41">
        <f t="shared" si="2"/>
        <v>1</v>
      </c>
      <c r="K23" s="41">
        <f t="shared" si="3"/>
        <v>1</v>
      </c>
      <c r="L23" s="41">
        <f t="shared" si="4"/>
        <v>1</v>
      </c>
      <c r="M23" s="41">
        <f t="shared" si="5"/>
        <v>1</v>
      </c>
      <c r="N23" s="41">
        <f t="shared" si="6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  <c r="R23" s="39" t="str">
        <f>'03_Evaluacion_VR'!O4</f>
        <v>Sí</v>
      </c>
      <c r="S23" s="39" t="str">
        <f>'03_Evaluacion_VR'!R4</f>
        <v>Sí</v>
      </c>
      <c r="T23" s="39" t="str">
        <f>'03_Evaluacion_VR'!P4</f>
        <v>Resultado_TEC-003.png</v>
      </c>
      <c r="U23" s="42" t="str">
        <f>'03_Evaluacion_VR'!S4</f>
        <v>Técnica validada correctamente; la ejecución final funcionó al usar comando directo en la tarea programada</v>
      </c>
    </row>
    <row r="24" spans="1:21" ht="36" customHeight="1">
      <c r="A24" s="38" t="str">
        <f>'03_Evaluacion_VR'!A5</f>
        <v>PR-004</v>
      </c>
      <c r="B24" s="39" t="str">
        <f>'03_Evaluacion_VR'!B5</f>
        <v>TEC-004</v>
      </c>
      <c r="C24" s="40" t="str">
        <f t="shared" si="0"/>
        <v>TEC</v>
      </c>
      <c r="D24" s="40" t="str">
        <f>IF(C24="TEC",INDEX('01_Seleccion_Tecnicas'!$B:$B,MATCH(B24,'01_Seleccion_Tecnicas'!$A:$A,0)),INDEX('02_Operaciones_Benignas'!$B:$B,MATCH(B24,'02_Operaciones_Benignas'!$A:$A,0)))</f>
        <v>Persistence</v>
      </c>
      <c r="E24" s="40" t="str">
        <f>IF(C24="TEC",INDEX('01_Seleccion_Tecnicas'!$G:$G,MATCH(B24,'01_Seleccion_Tecnicas'!$A:$A,0)),INDEX('02_Operaciones_Benignas'!$B:$B,MATCH(B24,'02_Operaciones_Benignas'!$A:$A,0)))</f>
        <v>T1547.001</v>
      </c>
      <c r="F24" s="40" t="str">
        <f>'03_Evaluacion_VR'!J5</f>
        <v>Detectado</v>
      </c>
      <c r="G24" s="39" t="str">
        <f>'03_Evaluacion_VR'!K5</f>
        <v>Positivo</v>
      </c>
      <c r="H24" s="39" t="str">
        <f>'03_Evaluacion_VR'!L5</f>
        <v>verdadero positivo</v>
      </c>
      <c r="I24" s="40" t="str">
        <f t="shared" si="1"/>
        <v>VP</v>
      </c>
      <c r="J24" s="41">
        <f t="shared" si="2"/>
        <v>1</v>
      </c>
      <c r="K24" s="41">
        <f t="shared" si="3"/>
        <v>1</v>
      </c>
      <c r="L24" s="41">
        <f t="shared" si="4"/>
        <v>1</v>
      </c>
      <c r="M24" s="41">
        <f t="shared" si="5"/>
        <v>1</v>
      </c>
      <c r="N24" s="41">
        <f t="shared" si="6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  <c r="R24" s="39" t="str">
        <f>'03_Evaluacion_VR'!O5</f>
        <v>Sí</v>
      </c>
      <c r="S24" s="39" t="str">
        <f>'03_Evaluacion_VR'!R5</f>
        <v>Sí</v>
      </c>
      <c r="T24" s="39" t="str">
        <f>'03_Evaluacion_VR'!P5</f>
        <v>Resultado_TEC-004.png</v>
      </c>
      <c r="U24" s="42" t="str">
        <f>'03_Evaluacion_VR'!S5</f>
        <v>Caso de bajo riesgo usando binario legítimo (calc.exe) como payload benigno; escenario ideal para ilustrar T1547.001 con alta trazabilidad y limpieza sencilla en entorno académico.</v>
      </c>
    </row>
    <row r="25" spans="1:21" ht="36" customHeight="1">
      <c r="A25" s="38" t="str">
        <f>'03_Evaluacion_VR'!A6</f>
        <v>PR-005</v>
      </c>
      <c r="B25" s="39" t="str">
        <f>'03_Evaluacion_VR'!B6</f>
        <v>TEC-005</v>
      </c>
      <c r="C25" s="40" t="str">
        <f t="shared" si="0"/>
        <v>TEC</v>
      </c>
      <c r="D25" s="40" t="str">
        <f>IF(C25="TEC",INDEX('01_Seleccion_Tecnicas'!$B:$B,MATCH(B25,'01_Seleccion_Tecnicas'!$A:$A,0)),INDEX('02_Operaciones_Benignas'!$B:$B,MATCH(B25,'02_Operaciones_Benignas'!$A:$A,0)))</f>
        <v>Execution</v>
      </c>
      <c r="E25" s="40" t="str">
        <f>IF(C25="TEC",INDEX('01_Seleccion_Tecnicas'!$G:$G,MATCH(B25,'01_Seleccion_Tecnicas'!$A:$A,0)),INDEX('02_Operaciones_Benignas'!$B:$B,MATCH(B25,'02_Operaciones_Benignas'!$A:$A,0)))</f>
        <v>T1569.002</v>
      </c>
      <c r="F25" s="40" t="str">
        <f>'03_Evaluacion_VR'!J6</f>
        <v>Detectado</v>
      </c>
      <c r="G25" s="39" t="str">
        <f>'03_Evaluacion_VR'!K6</f>
        <v>Positivo</v>
      </c>
      <c r="H25" s="39" t="str">
        <f>'03_Evaluacion_VR'!L6</f>
        <v>verdadero positivo</v>
      </c>
      <c r="I25" s="40" t="str">
        <f t="shared" si="1"/>
        <v>VP</v>
      </c>
      <c r="J25" s="41">
        <f t="shared" si="2"/>
        <v>1</v>
      </c>
      <c r="K25" s="41">
        <f t="shared" si="3"/>
        <v>1</v>
      </c>
      <c r="L25" s="41">
        <f t="shared" si="4"/>
        <v>1</v>
      </c>
      <c r="M25" s="41">
        <f t="shared" si="5"/>
        <v>1</v>
      </c>
      <c r="N25" s="41">
        <f t="shared" si="6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  <c r="R25" s="39" t="str">
        <f>'03_Evaluacion_VR'!O6</f>
        <v>Sí</v>
      </c>
      <c r="S25" s="39" t="str">
        <f>'03_Evaluacion_VR'!R6</f>
        <v>Sí</v>
      </c>
      <c r="T25" s="39" t="str">
        <f>'03_Evaluacion_VR'!P6</f>
        <v>Resultado_TEC-005.png &amp; Resultado_TEC-005.2.png</v>
      </c>
      <c r="U25" s="42" t="str">
        <f>'03_Evaluacion_VR'!S6</f>
        <v>Caso benigno, trazable y de bajo riesgo para ilustrar T1569.002 mediante creacion y ejecucion de un servicio temporal; alta claridad forense y limpieza sencilla para entorno academico.</v>
      </c>
    </row>
    <row r="26" spans="1:21" ht="24" customHeight="1">
      <c r="A26" s="38" t="str">
        <f>'03_Evaluacion_VR'!A7</f>
        <v>PR-006</v>
      </c>
      <c r="B26" s="39" t="str">
        <f>'03_Evaluacion_VR'!B7</f>
        <v>TEC-006</v>
      </c>
      <c r="C26" s="40" t="str">
        <f t="shared" si="0"/>
        <v>TEC</v>
      </c>
      <c r="D26" s="40" t="str">
        <f>IF(C26="TEC",INDEX('01_Seleccion_Tecnicas'!$B:$B,MATCH(B26,'01_Seleccion_Tecnicas'!$A:$A,0)),INDEX('02_Operaciones_Benignas'!$B:$B,MATCH(B26,'02_Operaciones_Benignas'!$A:$A,0)))</f>
        <v>Discovery</v>
      </c>
      <c r="E26" s="40" t="str">
        <f>IF(C26="TEC",INDEX('01_Seleccion_Tecnicas'!$G:$G,MATCH(B26,'01_Seleccion_Tecnicas'!$A:$A,0)),INDEX('02_Operaciones_Benignas'!$B:$B,MATCH(B26,'02_Operaciones_Benignas'!$A:$A,0)))</f>
        <v>T1518.001</v>
      </c>
      <c r="F26" s="40" t="str">
        <f>'03_Evaluacion_VR'!J7</f>
        <v>Detectado</v>
      </c>
      <c r="G26" s="39" t="str">
        <f>'03_Evaluacion_VR'!K7</f>
        <v>Positivo</v>
      </c>
      <c r="H26" s="39" t="str">
        <f>'03_Evaluacion_VR'!L7</f>
        <v>verdadero positivo</v>
      </c>
      <c r="I26" s="40" t="str">
        <f t="shared" si="1"/>
        <v>VP</v>
      </c>
      <c r="J26" s="41">
        <f t="shared" si="2"/>
        <v>1</v>
      </c>
      <c r="K26" s="41">
        <f t="shared" si="3"/>
        <v>1</v>
      </c>
      <c r="L26" s="41">
        <f t="shared" si="4"/>
        <v>1</v>
      </c>
      <c r="M26" s="41">
        <f t="shared" si="5"/>
        <v>1</v>
      </c>
      <c r="N26" s="41">
        <f t="shared" si="6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  <c r="R26" s="39" t="str">
        <f>'03_Evaluacion_VR'!O7</f>
        <v>Sí</v>
      </c>
      <c r="S26" s="39" t="str">
        <f>'03_Evaluacion_VR'!R7</f>
        <v>Sí</v>
      </c>
      <c r="T26" s="39" t="str">
        <f>'03_Evaluacion_VR'!P7</f>
        <v>Resultado_TEC-006.png &amp; Resultado_TEC-006.2.png</v>
      </c>
      <c r="U26" s="42" t="str">
        <f>'03_Evaluacion_VR'!S7</f>
        <v>Se descarta Windows.Events.ProcessCreation como evidencia principal por menor claridad; SysmonLogForward ofrece trazabilidad más sólida</v>
      </c>
    </row>
    <row r="27" spans="1:21" ht="84" customHeight="1">
      <c r="A27" s="38" t="str">
        <f>'03_Evaluacion_VR'!A8</f>
        <v>PR-007</v>
      </c>
      <c r="B27" s="39" t="str">
        <f>'03_Evaluacion_VR'!B8</f>
        <v>TEC-007</v>
      </c>
      <c r="C27" s="40" t="str">
        <f t="shared" si="0"/>
        <v>TEC</v>
      </c>
      <c r="D27" s="40" t="str">
        <f>IF(C27="TEC",INDEX('01_Seleccion_Tecnicas'!$B:$B,MATCH(B27,'01_Seleccion_Tecnicas'!$A:$A,0)),INDEX('02_Operaciones_Benignas'!$B:$B,MATCH(B27,'02_Operaciones_Benignas'!$A:$A,0)))</f>
        <v>Impact</v>
      </c>
      <c r="E27" s="40" t="str">
        <f>IF(C27="TEC",INDEX('01_Seleccion_Tecnicas'!$G:$G,MATCH(B27,'01_Seleccion_Tecnicas'!$A:$A,0)),INDEX('02_Operaciones_Benignas'!$B:$B,MATCH(B27,'02_Operaciones_Benignas'!$A:$A,0)))</f>
        <v>N/A</v>
      </c>
      <c r="F27" s="40" t="str">
        <f>'03_Evaluacion_VR'!J8</f>
        <v>Detectado</v>
      </c>
      <c r="G27" s="39" t="str">
        <f>'03_Evaluacion_VR'!K8</f>
        <v>Positivo</v>
      </c>
      <c r="H27" s="39" t="str">
        <f>'03_Evaluacion_VR'!L8</f>
        <v>verdadero positivo</v>
      </c>
      <c r="I27" s="40" t="str">
        <f t="shared" si="1"/>
        <v>VP</v>
      </c>
      <c r="J27" s="41">
        <f t="shared" si="2"/>
        <v>1</v>
      </c>
      <c r="K27" s="41">
        <f t="shared" si="3"/>
        <v>1</v>
      </c>
      <c r="L27" s="41">
        <f t="shared" si="4"/>
        <v>1</v>
      </c>
      <c r="M27" s="41">
        <f t="shared" si="5"/>
        <v>1</v>
      </c>
      <c r="N27" s="41">
        <f t="shared" si="6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  <c r="R27" s="39" t="str">
        <f>'03_Evaluacion_VR'!O8</f>
        <v>Sí</v>
      </c>
      <c r="S27" s="39" t="str">
        <f>'03_Evaluacion_VR'!R8</f>
        <v>Sí</v>
      </c>
      <c r="T27" s="39" t="str">
        <f>'03_Evaluacion_VR'!P8</f>
        <v>Resultado_TEC-007.png &amp; Resultado_TEC-007.2.png &amp; Resultado_TEC-007.3.png &amp; Resultado_TEC-007.4.png &amp; Resultado_TEC-007.5.png &amp; Resultado_TEC-007.6.png &amp; Resultado_TEC-007.7.png</v>
      </c>
      <c r="U27" s="42" t="str">
        <f>'03_Evaluacion_VR'!S8</f>
        <v>Detección parcial-fuerte. Se demuestra ejecución e impacto final compatibles con T1486, pero no se observaron eventos FileDelete (ID 23/26) en la configuración activa de Sysmon. El paso temp_*.aes -&gt; *.aes final se interpreta como move/rename interno inferido, no como evento explícito.</v>
      </c>
    </row>
    <row r="28" spans="1:21" ht="24" customHeight="1">
      <c r="A28" s="38" t="str">
        <f>'03_Evaluacion_VR'!A9</f>
        <v>PR-008</v>
      </c>
      <c r="B28" s="39" t="str">
        <f>'03_Evaluacion_VR'!B9</f>
        <v>OB-001</v>
      </c>
      <c r="C28" s="40" t="str">
        <f t="shared" si="0"/>
        <v>OB</v>
      </c>
      <c r="D28" s="40" t="str">
        <f>IF(C28="TEC",INDEX('01_Seleccion_Tecnicas'!$B:$B,MATCH(B28,'01_Seleccion_Tecnicas'!$A:$A,0)),INDEX('02_Operaciones_Benignas'!$B:$B,MATCH(B28,'02_Operaciones_Benignas'!$A:$A,0)))</f>
        <v>PowerShell administrativo básico</v>
      </c>
      <c r="E28" s="40" t="str">
        <f>IF(C28="TEC",INDEX('01_Seleccion_Tecnicas'!$G:$G,MATCH(B28,'01_Seleccion_Tecnicas'!$A:$A,0)),INDEX('02_Operaciones_Benignas'!$B:$B,MATCH(B28,'02_Operaciones_Benignas'!$A:$A,0)))</f>
        <v>PowerShell administrativo básico</v>
      </c>
      <c r="F28" s="40" t="str">
        <f>'03_Evaluacion_VR'!J9</f>
        <v>No detectado</v>
      </c>
      <c r="G28" s="39" t="str">
        <f>'03_Evaluacion_VR'!K9</f>
        <v>Negativo</v>
      </c>
      <c r="H28" s="39" t="str">
        <f>'03_Evaluacion_VR'!L9</f>
        <v>verdadero negativo</v>
      </c>
      <c r="I28" s="40" t="str">
        <f t="shared" si="1"/>
        <v>VN</v>
      </c>
      <c r="J28" s="41">
        <f t="shared" si="2"/>
        <v>0</v>
      </c>
      <c r="K28" s="41">
        <f t="shared" si="3"/>
        <v>0</v>
      </c>
      <c r="L28" s="41">
        <f t="shared" si="4"/>
        <v>1</v>
      </c>
      <c r="M28" s="41">
        <f t="shared" si="5"/>
        <v>0</v>
      </c>
      <c r="N28" s="41">
        <f t="shared" si="6"/>
        <v>1</v>
      </c>
      <c r="O28" s="41">
        <f t="shared" si="7"/>
        <v>0</v>
      </c>
      <c r="P28" s="41">
        <f t="shared" si="8"/>
        <v>0</v>
      </c>
      <c r="Q28" s="41">
        <f t="shared" si="9"/>
        <v>0</v>
      </c>
      <c r="R28" s="39" t="str">
        <f>'03_Evaluacion_VR'!O9</f>
        <v>Sí</v>
      </c>
      <c r="S28" s="39" t="str">
        <f>'03_Evaluacion_VR'!R9</f>
        <v>Sí</v>
      </c>
      <c r="T28" s="39" t="str">
        <f>'03_Evaluacion_VR'!P9</f>
        <v>Resultado_OB-001.png</v>
      </c>
      <c r="U28" s="42" t="str">
        <f>'03_Evaluacion_VR'!S9</f>
        <v>Resultado correcto: PowerShell legítimo no fue alertado. Control benigno para TEC-001.</v>
      </c>
    </row>
    <row r="29" spans="1:21" ht="24" customHeight="1">
      <c r="A29" s="38" t="str">
        <f>'03_Evaluacion_VR'!A10</f>
        <v>PR-009</v>
      </c>
      <c r="B29" s="39" t="str">
        <f>'03_Evaluacion_VR'!B10</f>
        <v>OB-002</v>
      </c>
      <c r="C29" s="40" t="str">
        <f t="shared" si="0"/>
        <v>OB</v>
      </c>
      <c r="D29" s="40" t="str">
        <f>IF(C29="TEC",INDEX('01_Seleccion_Tecnicas'!$B:$B,MATCH(B29,'01_Seleccion_Tecnicas'!$A:$A,0)),INDEX('02_Operaciones_Benignas'!$B:$B,MATCH(B29,'02_Operaciones_Benignas'!$A:$A,0)))</f>
        <v>PowerShell con consulta de sistema</v>
      </c>
      <c r="E29" s="40" t="str">
        <f>IF(C29="TEC",INDEX('01_Seleccion_Tecnicas'!$G:$G,MATCH(B29,'01_Seleccion_Tecnicas'!$A:$A,0)),INDEX('02_Operaciones_Benignas'!$B:$B,MATCH(B29,'02_Operaciones_Benignas'!$A:$A,0)))</f>
        <v>PowerShell con consulta de sistema</v>
      </c>
      <c r="F29" s="40" t="str">
        <f>'03_Evaluacion_VR'!J10</f>
        <v>No detectado</v>
      </c>
      <c r="G29" s="39" t="str">
        <f>'03_Evaluacion_VR'!K10</f>
        <v>Negativo</v>
      </c>
      <c r="H29" s="39" t="str">
        <f>'03_Evaluacion_VR'!L10</f>
        <v>verdadero negativo</v>
      </c>
      <c r="I29" s="40" t="str">
        <f t="shared" si="1"/>
        <v>VN</v>
      </c>
      <c r="J29" s="41">
        <f t="shared" si="2"/>
        <v>0</v>
      </c>
      <c r="K29" s="41">
        <f t="shared" si="3"/>
        <v>0</v>
      </c>
      <c r="L29" s="41">
        <f t="shared" si="4"/>
        <v>1</v>
      </c>
      <c r="M29" s="41">
        <f t="shared" si="5"/>
        <v>0</v>
      </c>
      <c r="N29" s="41">
        <f t="shared" si="6"/>
        <v>1</v>
      </c>
      <c r="O29" s="41">
        <f t="shared" si="7"/>
        <v>0</v>
      </c>
      <c r="P29" s="41">
        <f t="shared" si="8"/>
        <v>0</v>
      </c>
      <c r="Q29" s="41">
        <f t="shared" si="9"/>
        <v>0</v>
      </c>
      <c r="R29" s="39" t="str">
        <f>'03_Evaluacion_VR'!O10</f>
        <v>Sí</v>
      </c>
      <c r="S29" s="39" t="str">
        <f>'03_Evaluacion_VR'!R10</f>
        <v>Sí</v>
      </c>
      <c r="T29" s="39" t="str">
        <f>'03_Evaluacion_VR'!P10</f>
        <v>Resultado_OB-002.png</v>
      </c>
      <c r="U29" s="42" t="str">
        <f>'03_Evaluacion_VR'!S10</f>
        <v>Resultado correcto: WMI/CIM administrativo no sensible no generó alerta de descubrimiento de software de seguridad.</v>
      </c>
    </row>
    <row r="30" spans="1:21" ht="24" customHeight="1">
      <c r="A30" s="38" t="str">
        <f>'03_Evaluacion_VR'!A11</f>
        <v>PR-010</v>
      </c>
      <c r="B30" s="39" t="str">
        <f>'03_Evaluacion_VR'!B11</f>
        <v>OB-003</v>
      </c>
      <c r="C30" s="40" t="str">
        <f t="shared" si="0"/>
        <v>OB</v>
      </c>
      <c r="D30" s="40" t="str">
        <f>IF(C30="TEC",INDEX('01_Seleccion_Tecnicas'!$B:$B,MATCH(B30,'01_Seleccion_Tecnicas'!$A:$A,0)),INDEX('02_Operaciones_Benignas'!$B:$B,MATCH(B30,'02_Operaciones_Benignas'!$A:$A,0)))</f>
        <v>CMD benigno simple</v>
      </c>
      <c r="E30" s="40" t="str">
        <f>IF(C30="TEC",INDEX('01_Seleccion_Tecnicas'!$G:$G,MATCH(B30,'01_Seleccion_Tecnicas'!$A:$A,0)),INDEX('02_Operaciones_Benignas'!$B:$B,MATCH(B30,'02_Operaciones_Benignas'!$A:$A,0)))</f>
        <v>CMD benigno simple</v>
      </c>
      <c r="F30" s="40" t="str">
        <f>'03_Evaluacion_VR'!J11</f>
        <v>No detectado</v>
      </c>
      <c r="G30" s="39" t="str">
        <f>'03_Evaluacion_VR'!K11</f>
        <v>Negativo</v>
      </c>
      <c r="H30" s="39" t="str">
        <f>'03_Evaluacion_VR'!L11</f>
        <v>verdadero negativo</v>
      </c>
      <c r="I30" s="40" t="str">
        <f t="shared" si="1"/>
        <v>VN</v>
      </c>
      <c r="J30" s="41">
        <f t="shared" si="2"/>
        <v>0</v>
      </c>
      <c r="K30" s="41">
        <f t="shared" si="3"/>
        <v>0</v>
      </c>
      <c r="L30" s="41">
        <f t="shared" si="4"/>
        <v>1</v>
      </c>
      <c r="M30" s="41">
        <f t="shared" si="5"/>
        <v>0</v>
      </c>
      <c r="N30" s="41">
        <f t="shared" si="6"/>
        <v>1</v>
      </c>
      <c r="O30" s="41">
        <f t="shared" si="7"/>
        <v>0</v>
      </c>
      <c r="P30" s="41">
        <f t="shared" si="8"/>
        <v>0</v>
      </c>
      <c r="Q30" s="41">
        <f t="shared" si="9"/>
        <v>0</v>
      </c>
      <c r="R30" s="39" t="str">
        <f>'03_Evaluacion_VR'!O11</f>
        <v>Sí</v>
      </c>
      <c r="S30" s="39" t="str">
        <f>'03_Evaluacion_VR'!R11</f>
        <v>Sí</v>
      </c>
      <c r="T30" s="39" t="str">
        <f>'03_Evaluacion_VR'!P11</f>
        <v>Resultado_OB-003.png</v>
      </c>
      <c r="U30" s="42" t="str">
        <f>'03_Evaluacion_VR'!S11</f>
        <v>Resultado correcto: cmd.exe /c por sí solo no dispara la regla si no contiene marcadores de laboratorio.</v>
      </c>
    </row>
    <row r="31" spans="1:21" ht="24" customHeight="1">
      <c r="A31" s="38" t="str">
        <f>'03_Evaluacion_VR'!A12</f>
        <v>PR-011</v>
      </c>
      <c r="B31" s="39" t="str">
        <f>'03_Evaluacion_VR'!B12</f>
        <v>OB-004</v>
      </c>
      <c r="C31" s="40" t="str">
        <f t="shared" si="0"/>
        <v>OB</v>
      </c>
      <c r="D31" s="40" t="str">
        <f>IF(C31="TEC",INDEX('01_Seleccion_Tecnicas'!$B:$B,MATCH(B31,'01_Seleccion_Tecnicas'!$A:$A,0)),INDEX('02_Operaciones_Benignas'!$B:$B,MATCH(B31,'02_Operaciones_Benignas'!$A:$A,0)))</f>
        <v>Consulta de directorio con CMD</v>
      </c>
      <c r="E31" s="40" t="str">
        <f>IF(C31="TEC",INDEX('01_Seleccion_Tecnicas'!$G:$G,MATCH(B31,'01_Seleccion_Tecnicas'!$A:$A,0)),INDEX('02_Operaciones_Benignas'!$B:$B,MATCH(B31,'02_Operaciones_Benignas'!$A:$A,0)))</f>
        <v>Consulta de directorio con CMD</v>
      </c>
      <c r="F31" s="40" t="str">
        <f>'03_Evaluacion_VR'!J12</f>
        <v>No detectado</v>
      </c>
      <c r="G31" s="39" t="str">
        <f>'03_Evaluacion_VR'!K12</f>
        <v>Negativo</v>
      </c>
      <c r="H31" s="39" t="str">
        <f>'03_Evaluacion_VR'!L12</f>
        <v>verdadero negativo</v>
      </c>
      <c r="I31" s="40" t="str">
        <f t="shared" si="1"/>
        <v>VN</v>
      </c>
      <c r="J31" s="41">
        <f t="shared" si="2"/>
        <v>0</v>
      </c>
      <c r="K31" s="41">
        <f t="shared" si="3"/>
        <v>0</v>
      </c>
      <c r="L31" s="41">
        <f t="shared" si="4"/>
        <v>1</v>
      </c>
      <c r="M31" s="41">
        <f t="shared" si="5"/>
        <v>0</v>
      </c>
      <c r="N31" s="41">
        <f t="shared" si="6"/>
        <v>1</v>
      </c>
      <c r="O31" s="41">
        <f t="shared" si="7"/>
        <v>0</v>
      </c>
      <c r="P31" s="41">
        <f t="shared" si="8"/>
        <v>0</v>
      </c>
      <c r="Q31" s="41">
        <f t="shared" si="9"/>
        <v>0</v>
      </c>
      <c r="R31" s="39" t="str">
        <f>'03_Evaluacion_VR'!O12</f>
        <v>Sí</v>
      </c>
      <c r="S31" s="39" t="str">
        <f>'03_Evaluacion_VR'!R12</f>
        <v>Sí</v>
      </c>
      <c r="T31" s="39" t="str">
        <f>'03_Evaluacion_VR'!P12</f>
        <v>Resultado_OB-004.png</v>
      </c>
      <c r="U31" s="42" t="str">
        <f>'03_Evaluacion_VR'!S12</f>
        <v>Resultado correcto: operación administrativa básica sin alerta.</v>
      </c>
    </row>
    <row r="32" spans="1:21" ht="24" customHeight="1">
      <c r="A32" s="38" t="str">
        <f>'03_Evaluacion_VR'!A13</f>
        <v>PR-012</v>
      </c>
      <c r="B32" s="39" t="str">
        <f>'03_Evaluacion_VR'!B13</f>
        <v>OB-005</v>
      </c>
      <c r="C32" s="40" t="str">
        <f t="shared" si="0"/>
        <v>OB</v>
      </c>
      <c r="D32" s="40" t="str">
        <f>IF(C32="TEC",INDEX('01_Seleccion_Tecnicas'!$B:$B,MATCH(B32,'01_Seleccion_Tecnicas'!$A:$A,0)),INDEX('02_Operaciones_Benignas'!$B:$B,MATCH(B32,'02_Operaciones_Benignas'!$A:$A,0)))</f>
        <v>Consulta de tareas programadas</v>
      </c>
      <c r="E32" s="40" t="str">
        <f>IF(C32="TEC",INDEX('01_Seleccion_Tecnicas'!$G:$G,MATCH(B32,'01_Seleccion_Tecnicas'!$A:$A,0)),INDEX('02_Operaciones_Benignas'!$B:$B,MATCH(B32,'02_Operaciones_Benignas'!$A:$A,0)))</f>
        <v>Consulta de tareas programadas</v>
      </c>
      <c r="F32" s="40" t="str">
        <f>'03_Evaluacion_VR'!J13</f>
        <v>No detectado</v>
      </c>
      <c r="G32" s="39" t="str">
        <f>'03_Evaluacion_VR'!K13</f>
        <v>Negativo</v>
      </c>
      <c r="H32" s="39" t="str">
        <f>'03_Evaluacion_VR'!L13</f>
        <v>verdadero negativo</v>
      </c>
      <c r="I32" s="40" t="str">
        <f t="shared" si="1"/>
        <v>VN</v>
      </c>
      <c r="J32" s="41">
        <f t="shared" si="2"/>
        <v>0</v>
      </c>
      <c r="K32" s="41">
        <f t="shared" si="3"/>
        <v>0</v>
      </c>
      <c r="L32" s="41">
        <f t="shared" si="4"/>
        <v>1</v>
      </c>
      <c r="M32" s="41">
        <f t="shared" si="5"/>
        <v>0</v>
      </c>
      <c r="N32" s="41">
        <f t="shared" si="6"/>
        <v>1</v>
      </c>
      <c r="O32" s="41">
        <f t="shared" si="7"/>
        <v>0</v>
      </c>
      <c r="P32" s="41">
        <f t="shared" si="8"/>
        <v>0</v>
      </c>
      <c r="Q32" s="41">
        <f t="shared" si="9"/>
        <v>0</v>
      </c>
      <c r="R32" s="39" t="str">
        <f>'03_Evaluacion_VR'!O13</f>
        <v>Sí</v>
      </c>
      <c r="S32" s="39" t="str">
        <f>'03_Evaluacion_VR'!R13</f>
        <v>Sí</v>
      </c>
      <c r="T32" s="39" t="str">
        <f>'03_Evaluacion_VR'!P13</f>
        <v>Resultado_OB-005.png</v>
      </c>
      <c r="U32" s="42" t="str">
        <f>'03_Evaluacion_VR'!S13</f>
        <v>Resultado correcto: se diferencia consulta legítima de manipulación de tareas programadas.</v>
      </c>
    </row>
    <row r="33" spans="1:21" ht="24" customHeight="1">
      <c r="A33" s="38" t="str">
        <f>'03_Evaluacion_VR'!A14</f>
        <v>PR-013</v>
      </c>
      <c r="B33" s="39" t="str">
        <f>'03_Evaluacion_VR'!B14</f>
        <v>OB-006</v>
      </c>
      <c r="C33" s="40" t="str">
        <f t="shared" si="0"/>
        <v>OB</v>
      </c>
      <c r="D33" s="40" t="str">
        <f>IF(C33="TEC",INDEX('01_Seleccion_Tecnicas'!$B:$B,MATCH(B33,'01_Seleccion_Tecnicas'!$A:$A,0)),INDEX('02_Operaciones_Benignas'!$B:$B,MATCH(B33,'02_Operaciones_Benignas'!$A:$A,0)))</f>
        <v>Creación de tarea programada benigna</v>
      </c>
      <c r="E33" s="40" t="str">
        <f>IF(C33="TEC",INDEX('01_Seleccion_Tecnicas'!$G:$G,MATCH(B33,'01_Seleccion_Tecnicas'!$A:$A,0)),INDEX('02_Operaciones_Benignas'!$B:$B,MATCH(B33,'02_Operaciones_Benignas'!$A:$A,0)))</f>
        <v>Creación de tarea programada benigna</v>
      </c>
      <c r="F33" s="40" t="str">
        <f>'03_Evaluacion_VR'!J14</f>
        <v>Detectado</v>
      </c>
      <c r="G33" s="39" t="str">
        <f>'03_Evaluacion_VR'!K14</f>
        <v>Negativo</v>
      </c>
      <c r="H33" s="39" t="str">
        <f>'03_Evaluacion_VR'!L14</f>
        <v>falso positivo controlado / dual-use</v>
      </c>
      <c r="I33" s="40" t="str">
        <f t="shared" si="1"/>
        <v>FP</v>
      </c>
      <c r="J33" s="41">
        <f t="shared" si="2"/>
        <v>1</v>
      </c>
      <c r="K33" s="41">
        <f t="shared" si="3"/>
        <v>0</v>
      </c>
      <c r="L33" s="41">
        <f t="shared" si="4"/>
        <v>0</v>
      </c>
      <c r="M33" s="41">
        <f t="shared" si="5"/>
        <v>0</v>
      </c>
      <c r="N33" s="41">
        <f t="shared" si="6"/>
        <v>0</v>
      </c>
      <c r="O33" s="41">
        <f t="shared" si="7"/>
        <v>1</v>
      </c>
      <c r="P33" s="41">
        <f t="shared" si="8"/>
        <v>0</v>
      </c>
      <c r="Q33" s="41">
        <f t="shared" si="9"/>
        <v>1</v>
      </c>
      <c r="R33" s="39" t="str">
        <f>'03_Evaluacion_VR'!O14</f>
        <v>Sí</v>
      </c>
      <c r="S33" s="39" t="str">
        <f>'03_Evaluacion_VR'!R14</f>
        <v>Parcial</v>
      </c>
      <c r="T33" s="39" t="str">
        <f>'03_Evaluacion_VR'!P14</f>
        <v>Resultado_OB-006.png &amp; Resultado_OB-006.2.png</v>
      </c>
      <c r="U33" s="42" t="str">
        <f>'03_Evaluacion_VR'!S14</f>
        <v>Alerta aceptable como falso positivo controlado: la creación/eliminación de tareas programadas puede ser legítima o maliciosa según contexto.</v>
      </c>
    </row>
    <row r="34" spans="1:21" ht="24" customHeight="1">
      <c r="A34" s="38" t="str">
        <f>'03_Evaluacion_VR'!A15</f>
        <v>PR-014</v>
      </c>
      <c r="B34" s="39" t="str">
        <f>'03_Evaluacion_VR'!B15</f>
        <v>OB-007</v>
      </c>
      <c r="C34" s="40" t="str">
        <f t="shared" si="0"/>
        <v>OB</v>
      </c>
      <c r="D34" s="40" t="str">
        <f>IF(C34="TEC",INDEX('01_Seleccion_Tecnicas'!$B:$B,MATCH(B34,'01_Seleccion_Tecnicas'!$A:$A,0)),INDEX('02_Operaciones_Benignas'!$B:$B,MATCH(B34,'02_Operaciones_Benignas'!$A:$A,0)))</f>
        <v>Consulta de Run Keys</v>
      </c>
      <c r="E34" s="40" t="str">
        <f>IF(C34="TEC",INDEX('01_Seleccion_Tecnicas'!$G:$G,MATCH(B34,'01_Seleccion_Tecnicas'!$A:$A,0)),INDEX('02_Operaciones_Benignas'!$B:$B,MATCH(B34,'02_Operaciones_Benignas'!$A:$A,0)))</f>
        <v>Consulta de Run Keys</v>
      </c>
      <c r="F34" s="40" t="str">
        <f>'03_Evaluacion_VR'!J15</f>
        <v>No detectado</v>
      </c>
      <c r="G34" s="39" t="str">
        <f>'03_Evaluacion_VR'!K15</f>
        <v>Negativo</v>
      </c>
      <c r="H34" s="39" t="str">
        <f>'03_Evaluacion_VR'!L15</f>
        <v>verdadero negativo</v>
      </c>
      <c r="I34" s="40" t="str">
        <f t="shared" si="1"/>
        <v>VN</v>
      </c>
      <c r="J34" s="41">
        <f t="shared" si="2"/>
        <v>0</v>
      </c>
      <c r="K34" s="41">
        <f t="shared" si="3"/>
        <v>0</v>
      </c>
      <c r="L34" s="41">
        <f t="shared" si="4"/>
        <v>1</v>
      </c>
      <c r="M34" s="41">
        <f t="shared" si="5"/>
        <v>0</v>
      </c>
      <c r="N34" s="41">
        <f t="shared" si="6"/>
        <v>1</v>
      </c>
      <c r="O34" s="41">
        <f t="shared" si="7"/>
        <v>0</v>
      </c>
      <c r="P34" s="41">
        <f t="shared" si="8"/>
        <v>0</v>
      </c>
      <c r="Q34" s="41">
        <f t="shared" si="9"/>
        <v>0</v>
      </c>
      <c r="R34" s="39" t="str">
        <f>'03_Evaluacion_VR'!O15</f>
        <v>Sí</v>
      </c>
      <c r="S34" s="39" t="str">
        <f>'03_Evaluacion_VR'!R15</f>
        <v>Sí</v>
      </c>
      <c r="T34" s="39" t="str">
        <f>'03_Evaluacion_VR'!P15</f>
        <v>Resultado_OB-007.png</v>
      </c>
      <c r="U34" s="42" t="str">
        <f>'03_Evaluacion_VR'!S15</f>
        <v>Resultado correcto tras ajuste: reg query queda excluido para evitar falsos positivos en persistencia.</v>
      </c>
    </row>
    <row r="35" spans="1:21" ht="36" customHeight="1">
      <c r="A35" s="38" t="str">
        <f>'03_Evaluacion_VR'!A16</f>
        <v>PR-015</v>
      </c>
      <c r="B35" s="39" t="str">
        <f>'03_Evaluacion_VR'!B16</f>
        <v>OB-008</v>
      </c>
      <c r="C35" s="40" t="str">
        <f t="shared" si="0"/>
        <v>OB</v>
      </c>
      <c r="D35" s="40" t="str">
        <f>IF(C35="TEC",INDEX('01_Seleccion_Tecnicas'!$B:$B,MATCH(B35,'01_Seleccion_Tecnicas'!$A:$A,0)),INDEX('02_Operaciones_Benignas'!$B:$B,MATCH(B35,'02_Operaciones_Benignas'!$A:$A,0)))</f>
        <v>Modificación benigna de clave no persistente</v>
      </c>
      <c r="E35" s="40" t="str">
        <f>IF(C35="TEC",INDEX('01_Seleccion_Tecnicas'!$G:$G,MATCH(B35,'01_Seleccion_Tecnicas'!$A:$A,0)),INDEX('02_Operaciones_Benignas'!$B:$B,MATCH(B35,'02_Operaciones_Benignas'!$A:$A,0)))</f>
        <v>Modificación benigna de clave no persistente</v>
      </c>
      <c r="F35" s="40" t="str">
        <f>'03_Evaluacion_VR'!J16</f>
        <v>No detectado</v>
      </c>
      <c r="G35" s="39" t="str">
        <f>'03_Evaluacion_VR'!K16</f>
        <v>Negativo</v>
      </c>
      <c r="H35" s="39" t="str">
        <f>'03_Evaluacion_VR'!L16</f>
        <v>verdadero negativo</v>
      </c>
      <c r="I35" s="40" t="str">
        <f t="shared" si="1"/>
        <v>VN</v>
      </c>
      <c r="J35" s="41">
        <f t="shared" si="2"/>
        <v>0</v>
      </c>
      <c r="K35" s="41">
        <f t="shared" si="3"/>
        <v>0</v>
      </c>
      <c r="L35" s="41">
        <f t="shared" si="4"/>
        <v>1</v>
      </c>
      <c r="M35" s="41">
        <f t="shared" si="5"/>
        <v>0</v>
      </c>
      <c r="N35" s="41">
        <f t="shared" si="6"/>
        <v>1</v>
      </c>
      <c r="O35" s="41">
        <f t="shared" si="7"/>
        <v>0</v>
      </c>
      <c r="P35" s="41">
        <f t="shared" si="8"/>
        <v>0</v>
      </c>
      <c r="Q35" s="41">
        <f t="shared" si="9"/>
        <v>0</v>
      </c>
      <c r="R35" s="39" t="str">
        <f>'03_Evaluacion_VR'!O16</f>
        <v>Sí</v>
      </c>
      <c r="S35" s="39" t="str">
        <f>'03_Evaluacion_VR'!R16</f>
        <v>Sí</v>
      </c>
      <c r="T35" s="39" t="str">
        <f>'03_Evaluacion_VR'!P16</f>
        <v>Resultado_OB-008.png</v>
      </c>
      <c r="U35" s="42" t="str">
        <f>'03_Evaluacion_VR'!S16</f>
        <v>Resultado correcto: el artifact no detecta cualquier escritura en registro, solo modificación relevante de Run Key con marcador.</v>
      </c>
    </row>
    <row r="36" spans="1:21" ht="24" customHeight="1">
      <c r="A36" s="38" t="str">
        <f>'03_Evaluacion_VR'!A17</f>
        <v>PR-016</v>
      </c>
      <c r="B36" s="39" t="str">
        <f>'03_Evaluacion_VR'!B17</f>
        <v>OB-009</v>
      </c>
      <c r="C36" s="40" t="str">
        <f t="shared" si="0"/>
        <v>OB</v>
      </c>
      <c r="D36" s="40" t="str">
        <f>IF(C36="TEC",INDEX('01_Seleccion_Tecnicas'!$B:$B,MATCH(B36,'01_Seleccion_Tecnicas'!$A:$A,0)),INDEX('02_Operaciones_Benignas'!$B:$B,MATCH(B36,'02_Operaciones_Benignas'!$A:$A,0)))</f>
        <v>Consulta de servicio Windows</v>
      </c>
      <c r="E36" s="40" t="str">
        <f>IF(C36="TEC",INDEX('01_Seleccion_Tecnicas'!$G:$G,MATCH(B36,'01_Seleccion_Tecnicas'!$A:$A,0)),INDEX('02_Operaciones_Benignas'!$B:$B,MATCH(B36,'02_Operaciones_Benignas'!$A:$A,0)))</f>
        <v>Consulta de servicio Windows</v>
      </c>
      <c r="F36" s="40" t="str">
        <f>'03_Evaluacion_VR'!J17</f>
        <v>No detectado</v>
      </c>
      <c r="G36" s="39" t="str">
        <f>'03_Evaluacion_VR'!K17</f>
        <v>Negativo</v>
      </c>
      <c r="H36" s="39" t="str">
        <f>'03_Evaluacion_VR'!L17</f>
        <v>verdadero negativo</v>
      </c>
      <c r="I36" s="40" t="str">
        <f t="shared" si="1"/>
        <v>VN</v>
      </c>
      <c r="J36" s="41">
        <f t="shared" si="2"/>
        <v>0</v>
      </c>
      <c r="K36" s="41">
        <f t="shared" si="3"/>
        <v>0</v>
      </c>
      <c r="L36" s="41">
        <f t="shared" si="4"/>
        <v>1</v>
      </c>
      <c r="M36" s="41">
        <f t="shared" si="5"/>
        <v>0</v>
      </c>
      <c r="N36" s="41">
        <f t="shared" si="6"/>
        <v>1</v>
      </c>
      <c r="O36" s="41">
        <f t="shared" si="7"/>
        <v>0</v>
      </c>
      <c r="P36" s="41">
        <f t="shared" si="8"/>
        <v>0</v>
      </c>
      <c r="Q36" s="41">
        <f t="shared" si="9"/>
        <v>0</v>
      </c>
      <c r="R36" s="39" t="str">
        <f>'03_Evaluacion_VR'!O17</f>
        <v>Sí</v>
      </c>
      <c r="S36" s="39" t="str">
        <f>'03_Evaluacion_VR'!R17</f>
        <v>Sí</v>
      </c>
      <c r="T36" s="39" t="str">
        <f>'03_Evaluacion_VR'!P17</f>
        <v>Resultado_OB-009.png</v>
      </c>
      <c r="U36" s="42" t="str">
        <f>'03_Evaluacion_VR'!S17</f>
        <v>Resultado correcto: sc query no se confunde con ejecución o creación de servicio.</v>
      </c>
    </row>
    <row r="37" spans="1:21" ht="24" customHeight="1">
      <c r="A37" s="38" t="str">
        <f>'03_Evaluacion_VR'!A18</f>
        <v>PR-017</v>
      </c>
      <c r="B37" s="39" t="str">
        <f>'03_Evaluacion_VR'!B18</f>
        <v>OB-010</v>
      </c>
      <c r="C37" s="40" t="str">
        <f t="shared" si="0"/>
        <v>OB</v>
      </c>
      <c r="D37" s="40" t="str">
        <f>IF(C37="TEC",INDEX('01_Seleccion_Tecnicas'!$B:$B,MATCH(B37,'01_Seleccion_Tecnicas'!$A:$A,0)),INDEX('02_Operaciones_Benignas'!$B:$B,MATCH(B37,'02_Operaciones_Benignas'!$A:$A,0)))</f>
        <v>Consulta de servicio Windows Update</v>
      </c>
      <c r="E37" s="40" t="str">
        <f>IF(C37="TEC",INDEX('01_Seleccion_Tecnicas'!$G:$G,MATCH(B37,'01_Seleccion_Tecnicas'!$A:$A,0)),INDEX('02_Operaciones_Benignas'!$B:$B,MATCH(B37,'02_Operaciones_Benignas'!$A:$A,0)))</f>
        <v>Consulta de servicio Windows Update</v>
      </c>
      <c r="F37" s="40" t="str">
        <f>'03_Evaluacion_VR'!J18</f>
        <v>No detectado</v>
      </c>
      <c r="G37" s="39" t="str">
        <f>'03_Evaluacion_VR'!K18</f>
        <v>Negativo</v>
      </c>
      <c r="H37" s="39" t="str">
        <f>'03_Evaluacion_VR'!L18</f>
        <v>verdadero negativo</v>
      </c>
      <c r="I37" s="40" t="str">
        <f t="shared" si="1"/>
        <v>VN</v>
      </c>
      <c r="J37" s="41">
        <f t="shared" si="2"/>
        <v>0</v>
      </c>
      <c r="K37" s="41">
        <f t="shared" si="3"/>
        <v>0</v>
      </c>
      <c r="L37" s="41">
        <f t="shared" si="4"/>
        <v>1</v>
      </c>
      <c r="M37" s="41">
        <f t="shared" si="5"/>
        <v>0</v>
      </c>
      <c r="N37" s="41">
        <f t="shared" si="6"/>
        <v>1</v>
      </c>
      <c r="O37" s="41">
        <f t="shared" si="7"/>
        <v>0</v>
      </c>
      <c r="P37" s="41">
        <f t="shared" si="8"/>
        <v>0</v>
      </c>
      <c r="Q37" s="41">
        <f t="shared" si="9"/>
        <v>0</v>
      </c>
      <c r="R37" s="39" t="str">
        <f>'03_Evaluacion_VR'!O18</f>
        <v>Sí</v>
      </c>
      <c r="S37" s="39" t="str">
        <f>'03_Evaluacion_VR'!R18</f>
        <v>Sí</v>
      </c>
      <c r="T37" s="39" t="str">
        <f>'03_Evaluacion_VR'!P18</f>
        <v>Resultado_OB-010.png</v>
      </c>
      <c r="U37" s="42" t="str">
        <f>'03_Evaluacion_VR'!S18</f>
        <v>Resultado correcto: se evita alertar consultas administrativas pasivas de servicios.</v>
      </c>
    </row>
    <row r="38" spans="1:21" ht="24" customHeight="1">
      <c r="A38" s="38" t="str">
        <f>'03_Evaluacion_VR'!A19</f>
        <v>PR-018</v>
      </c>
      <c r="B38" s="39" t="str">
        <f>'03_Evaluacion_VR'!B19</f>
        <v>OB-011</v>
      </c>
      <c r="C38" s="40" t="str">
        <f t="shared" si="0"/>
        <v>OB</v>
      </c>
      <c r="D38" s="40" t="str">
        <f>IF(C38="TEC",INDEX('01_Seleccion_Tecnicas'!$B:$B,MATCH(B38,'01_Seleccion_Tecnicas'!$A:$A,0)),INDEX('02_Operaciones_Benignas'!$B:$B,MATCH(B38,'02_Operaciones_Benignas'!$A:$A,0)))</f>
        <v>Consulta WMI no sensible</v>
      </c>
      <c r="E38" s="40" t="str">
        <f>IF(C38="TEC",INDEX('01_Seleccion_Tecnicas'!$G:$G,MATCH(B38,'01_Seleccion_Tecnicas'!$A:$A,0)),INDEX('02_Operaciones_Benignas'!$B:$B,MATCH(B38,'02_Operaciones_Benignas'!$A:$A,0)))</f>
        <v>Consulta WMI no sensible</v>
      </c>
      <c r="F38" s="40" t="str">
        <f>'03_Evaluacion_VR'!J19</f>
        <v>No detectado</v>
      </c>
      <c r="G38" s="39" t="str">
        <f>'03_Evaluacion_VR'!K19</f>
        <v>Negativo</v>
      </c>
      <c r="H38" s="39" t="str">
        <f>'03_Evaluacion_VR'!L19</f>
        <v>verdadero negativo</v>
      </c>
      <c r="I38" s="40" t="str">
        <f t="shared" si="1"/>
        <v>VN</v>
      </c>
      <c r="J38" s="41">
        <f t="shared" si="2"/>
        <v>0</v>
      </c>
      <c r="K38" s="41">
        <f t="shared" si="3"/>
        <v>0</v>
      </c>
      <c r="L38" s="41">
        <f t="shared" si="4"/>
        <v>1</v>
      </c>
      <c r="M38" s="41">
        <f t="shared" si="5"/>
        <v>0</v>
      </c>
      <c r="N38" s="41">
        <f t="shared" si="6"/>
        <v>1</v>
      </c>
      <c r="O38" s="41">
        <f t="shared" si="7"/>
        <v>0</v>
      </c>
      <c r="P38" s="41">
        <f t="shared" si="8"/>
        <v>0</v>
      </c>
      <c r="Q38" s="41">
        <f t="shared" si="9"/>
        <v>0</v>
      </c>
      <c r="R38" s="39" t="str">
        <f>'03_Evaluacion_VR'!O19</f>
        <v>Sí</v>
      </c>
      <c r="S38" s="39" t="str">
        <f>'03_Evaluacion_VR'!R19</f>
        <v>Sí</v>
      </c>
      <c r="T38" s="39" t="str">
        <f>'03_Evaluacion_VR'!P19</f>
        <v>Resultado_OB-011.png</v>
      </c>
      <c r="U38" s="42" t="str">
        <f>'03_Evaluacion_VR'!S19</f>
        <v>Resultado correcto tras ajuste: WMIC genérico no se clasifica como descubrimiento de software de seguridad.</v>
      </c>
    </row>
    <row r="39" spans="1:21" ht="24" customHeight="1">
      <c r="A39" s="38" t="str">
        <f>'03_Evaluacion_VR'!A20</f>
        <v>PR-019</v>
      </c>
      <c r="B39" s="39" t="str">
        <f>'03_Evaluacion_VR'!B20</f>
        <v>OB-012</v>
      </c>
      <c r="C39" s="40" t="str">
        <f t="shared" si="0"/>
        <v>OB</v>
      </c>
      <c r="D39" s="40" t="str">
        <f>IF(C39="TEC",INDEX('01_Seleccion_Tecnicas'!$B:$B,MATCH(B39,'01_Seleccion_Tecnicas'!$A:$A,0)),INDEX('02_Operaciones_Benignas'!$B:$B,MATCH(B39,'02_Operaciones_Benignas'!$A:$A,0)))</f>
        <v>Creación de archivos .txt</v>
      </c>
      <c r="E39" s="40" t="str">
        <f>IF(C39="TEC",INDEX('01_Seleccion_Tecnicas'!$G:$G,MATCH(B39,'01_Seleccion_Tecnicas'!$A:$A,0)),INDEX('02_Operaciones_Benignas'!$B:$B,MATCH(B39,'02_Operaciones_Benignas'!$A:$A,0)))</f>
        <v>Creación de archivos .txt</v>
      </c>
      <c r="F39" s="40" t="str">
        <f>'03_Evaluacion_VR'!J20</f>
        <v>No detectado</v>
      </c>
      <c r="G39" s="39" t="str">
        <f>'03_Evaluacion_VR'!K20</f>
        <v>Negativo</v>
      </c>
      <c r="H39" s="39" t="str">
        <f>'03_Evaluacion_VR'!L20</f>
        <v>verdadero negativo</v>
      </c>
      <c r="I39" s="40" t="str">
        <f t="shared" si="1"/>
        <v>VN</v>
      </c>
      <c r="J39" s="41">
        <f t="shared" si="2"/>
        <v>0</v>
      </c>
      <c r="K39" s="41">
        <f t="shared" si="3"/>
        <v>0</v>
      </c>
      <c r="L39" s="41">
        <f t="shared" si="4"/>
        <v>1</v>
      </c>
      <c r="M39" s="41">
        <f t="shared" si="5"/>
        <v>0</v>
      </c>
      <c r="N39" s="41">
        <f t="shared" si="6"/>
        <v>1</v>
      </c>
      <c r="O39" s="41">
        <f t="shared" si="7"/>
        <v>0</v>
      </c>
      <c r="P39" s="41">
        <f t="shared" si="8"/>
        <v>0</v>
      </c>
      <c r="Q39" s="41">
        <f t="shared" si="9"/>
        <v>0</v>
      </c>
      <c r="R39" s="39" t="str">
        <f>'03_Evaluacion_VR'!O20</f>
        <v>Sí</v>
      </c>
      <c r="S39" s="39" t="str">
        <f>'03_Evaluacion_VR'!R20</f>
        <v>Sí</v>
      </c>
      <c r="T39" s="39" t="str">
        <f>'03_Evaluacion_VR'!P20</f>
        <v>Resultado_OB-012.png</v>
      </c>
      <c r="U39" s="42" t="str">
        <f>'03_Evaluacion_VR'!S20</f>
        <v>Resultado correcto: actividad normal de escritura no se confunde con cifrado tipo ransomware.</v>
      </c>
    </row>
    <row r="40" spans="1:21" ht="24" customHeight="1">
      <c r="A40" s="38" t="str">
        <f>'03_Evaluacion_VR'!A21</f>
        <v>PR-020</v>
      </c>
      <c r="B40" s="39" t="str">
        <f>'03_Evaluacion_VR'!B21</f>
        <v>OB-013</v>
      </c>
      <c r="C40" s="40" t="str">
        <f t="shared" si="0"/>
        <v>OB</v>
      </c>
      <c r="D40" s="40" t="str">
        <f>IF(C40="TEC",INDEX('01_Seleccion_Tecnicas'!$B:$B,MATCH(B40,'01_Seleccion_Tecnicas'!$A:$A,0)),INDEX('02_Operaciones_Benignas'!$B:$B,MATCH(B40,'02_Operaciones_Benignas'!$A:$A,0)))</f>
        <v>Copia de archivos</v>
      </c>
      <c r="E40" s="40" t="str">
        <f>IF(C40="TEC",INDEX('01_Seleccion_Tecnicas'!$G:$G,MATCH(B40,'01_Seleccion_Tecnicas'!$A:$A,0)),INDEX('02_Operaciones_Benignas'!$B:$B,MATCH(B40,'02_Operaciones_Benignas'!$A:$A,0)))</f>
        <v>Copia de archivos</v>
      </c>
      <c r="F40" s="40" t="str">
        <f>'03_Evaluacion_VR'!J21</f>
        <v>No detectado</v>
      </c>
      <c r="G40" s="39" t="str">
        <f>'03_Evaluacion_VR'!K21</f>
        <v>Negativo</v>
      </c>
      <c r="H40" s="39" t="str">
        <f>'03_Evaluacion_VR'!L21</f>
        <v>verdadero negativo</v>
      </c>
      <c r="I40" s="40" t="str">
        <f t="shared" si="1"/>
        <v>VN</v>
      </c>
      <c r="J40" s="41">
        <f t="shared" si="2"/>
        <v>0</v>
      </c>
      <c r="K40" s="41">
        <f t="shared" si="3"/>
        <v>0</v>
      </c>
      <c r="L40" s="41">
        <f t="shared" si="4"/>
        <v>1</v>
      </c>
      <c r="M40" s="41">
        <f t="shared" si="5"/>
        <v>0</v>
      </c>
      <c r="N40" s="41">
        <f t="shared" si="6"/>
        <v>1</v>
      </c>
      <c r="O40" s="41">
        <f t="shared" si="7"/>
        <v>0</v>
      </c>
      <c r="P40" s="41">
        <f t="shared" si="8"/>
        <v>0</v>
      </c>
      <c r="Q40" s="41">
        <f t="shared" si="9"/>
        <v>0</v>
      </c>
      <c r="R40" s="39" t="str">
        <f>'03_Evaluacion_VR'!O21</f>
        <v>Sí</v>
      </c>
      <c r="S40" s="39" t="str">
        <f>'03_Evaluacion_VR'!R21</f>
        <v>Sí</v>
      </c>
      <c r="T40" s="39" t="str">
        <f>'03_Evaluacion_VR'!P21</f>
        <v>Resultado_OB-013.png</v>
      </c>
      <c r="U40" s="42" t="str">
        <f>'03_Evaluacion_VR'!S21</f>
        <v>Resultado correcto: operación de backup/copia no fue interpretada como ransomware.</v>
      </c>
    </row>
    <row r="41" spans="1:21" ht="24" customHeight="1">
      <c r="A41" s="38" t="str">
        <f>'03_Evaluacion_VR'!A22</f>
        <v>PR-021</v>
      </c>
      <c r="B41" s="39" t="str">
        <f>'03_Evaluacion_VR'!B22</f>
        <v>OB-014</v>
      </c>
      <c r="C41" s="40" t="str">
        <f t="shared" si="0"/>
        <v>OB</v>
      </c>
      <c r="D41" s="40" t="str">
        <f>IF(C41="TEC",INDEX('01_Seleccion_Tecnicas'!$B:$B,MATCH(B41,'01_Seleccion_Tecnicas'!$A:$A,0)),INDEX('02_Operaciones_Benignas'!$B:$B,MATCH(B41,'02_Operaciones_Benignas'!$A:$A,0)))</f>
        <v>Borrado de archivo benigno</v>
      </c>
      <c r="E41" s="40" t="str">
        <f>IF(C41="TEC",INDEX('01_Seleccion_Tecnicas'!$G:$G,MATCH(B41,'01_Seleccion_Tecnicas'!$A:$A,0)),INDEX('02_Operaciones_Benignas'!$B:$B,MATCH(B41,'02_Operaciones_Benignas'!$A:$A,0)))</f>
        <v>Borrado de archivo benigno</v>
      </c>
      <c r="F41" s="40" t="str">
        <f>'03_Evaluacion_VR'!J22</f>
        <v>No detectado</v>
      </c>
      <c r="G41" s="39" t="str">
        <f>'03_Evaluacion_VR'!K22</f>
        <v>Negativo</v>
      </c>
      <c r="H41" s="39" t="str">
        <f>'03_Evaluacion_VR'!L22</f>
        <v>verdadero negativo</v>
      </c>
      <c r="I41" s="40" t="str">
        <f t="shared" si="1"/>
        <v>VN</v>
      </c>
      <c r="J41" s="41">
        <f t="shared" si="2"/>
        <v>0</v>
      </c>
      <c r="K41" s="41">
        <f t="shared" si="3"/>
        <v>0</v>
      </c>
      <c r="L41" s="41">
        <f t="shared" si="4"/>
        <v>1</v>
      </c>
      <c r="M41" s="41">
        <f t="shared" si="5"/>
        <v>0</v>
      </c>
      <c r="N41" s="41">
        <f t="shared" si="6"/>
        <v>1</v>
      </c>
      <c r="O41" s="41">
        <f t="shared" si="7"/>
        <v>0</v>
      </c>
      <c r="P41" s="41">
        <f t="shared" si="8"/>
        <v>0</v>
      </c>
      <c r="Q41" s="41">
        <f t="shared" si="9"/>
        <v>0</v>
      </c>
      <c r="R41" s="39" t="str">
        <f>'03_Evaluacion_VR'!O22</f>
        <v>Sí</v>
      </c>
      <c r="S41" s="39" t="str">
        <f>'03_Evaluacion_VR'!R22</f>
        <v>Sí</v>
      </c>
      <c r="T41" s="39" t="str">
        <f>'03_Evaluacion_VR'!P22</f>
        <v>Resultado_OB-014.png</v>
      </c>
      <c r="U41" s="42" t="str">
        <f>'03_Evaluacion_VR'!S22</f>
        <v>Resultado correcto: FileDelete benigno no se confunde con artefactos .aes ni actividad ransomware controlada.</v>
      </c>
    </row>
    <row r="42" spans="1:21" ht="24" customHeight="1">
      <c r="A42" s="43" t="str">
        <f>'03_Evaluacion_VR'!A23</f>
        <v>PR-022</v>
      </c>
      <c r="B42" s="44" t="str">
        <f>'03_Evaluacion_VR'!B23</f>
        <v>OB-015</v>
      </c>
      <c r="C42" s="45" t="str">
        <f t="shared" si="0"/>
        <v>OB</v>
      </c>
      <c r="D42" s="45" t="str">
        <f>IF(C42="TEC",INDEX('01_Seleccion_Tecnicas'!$B:$B,MATCH(B42,'01_Seleccion_Tecnicas'!$A:$A,0)),INDEX('02_Operaciones_Benignas'!$B:$B,MATCH(B42,'02_Operaciones_Benignas'!$A:$A,0)))</f>
        <v>Creación de archivo con extensión no .aes</v>
      </c>
      <c r="E42" s="45" t="str">
        <f>IF(C42="TEC",INDEX('01_Seleccion_Tecnicas'!$G:$G,MATCH(B42,'01_Seleccion_Tecnicas'!$A:$A,0)),INDEX('02_Operaciones_Benignas'!$B:$B,MATCH(B42,'02_Operaciones_Benignas'!$A:$A,0)))</f>
        <v>Creación de archivo con extensión no .aes</v>
      </c>
      <c r="F42" s="45" t="str">
        <f>'03_Evaluacion_VR'!J23</f>
        <v>No detectado</v>
      </c>
      <c r="G42" s="44" t="str">
        <f>'03_Evaluacion_VR'!K23</f>
        <v>Negativo</v>
      </c>
      <c r="H42" s="44" t="str">
        <f>'03_Evaluacion_VR'!L23</f>
        <v>verdadero negativo</v>
      </c>
      <c r="I42" s="45" t="str">
        <f t="shared" si="1"/>
        <v>VN</v>
      </c>
      <c r="J42" s="46">
        <f t="shared" si="2"/>
        <v>0</v>
      </c>
      <c r="K42" s="46">
        <f t="shared" si="3"/>
        <v>0</v>
      </c>
      <c r="L42" s="46">
        <f t="shared" si="4"/>
        <v>1</v>
      </c>
      <c r="M42" s="46">
        <f t="shared" si="5"/>
        <v>0</v>
      </c>
      <c r="N42" s="46">
        <f t="shared" si="6"/>
        <v>1</v>
      </c>
      <c r="O42" s="46">
        <f t="shared" si="7"/>
        <v>0</v>
      </c>
      <c r="P42" s="46">
        <f t="shared" si="8"/>
        <v>0</v>
      </c>
      <c r="Q42" s="46">
        <f t="shared" si="9"/>
        <v>0</v>
      </c>
      <c r="R42" s="44" t="str">
        <f>'03_Evaluacion_VR'!O23</f>
        <v>Sí</v>
      </c>
      <c r="S42" s="44" t="str">
        <f>'03_Evaluacion_VR'!R23</f>
        <v>Sí</v>
      </c>
      <c r="T42" s="44" t="str">
        <f>'03_Evaluacion_VR'!P23</f>
        <v>Resultado_OB-015.png</v>
      </c>
      <c r="U42" s="47" t="str">
        <f>'03_Evaluacion_VR'!S23</f>
        <v>Resultado correcto: la detección ransomware se mantiene centrada en .aes, rutas controladas y marcadores específicos.</v>
      </c>
    </row>
    <row r="43" spans="1:21" ht="15" customHeight="1"/>
    <row r="44" spans="1:21" ht="15" customHeight="1"/>
    <row r="45" spans="1:21" ht="15" customHeight="1"/>
    <row r="46" spans="1:21" ht="15" customHeight="1"/>
    <row r="47" spans="1:21" ht="15" customHeight="1"/>
    <row r="48" spans="1:2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mergeCells count="3">
    <mergeCell ref="A1:U1"/>
    <mergeCell ref="E3:U3"/>
    <mergeCell ref="E9:U9"/>
  </mergeCells>
  <conditionalFormatting sqref="I21:I42">
    <cfRule type="expression" dxfId="6" priority="1">
      <formula>I21="VP"</formula>
    </cfRule>
    <cfRule type="expression" dxfId="5" priority="2">
      <formula>I21="VN"</formula>
    </cfRule>
    <cfRule type="expression" dxfId="4" priority="3">
      <formula>I21="FP"</formula>
    </cfRule>
    <cfRule type="expression" dxfId="3" priority="4">
      <formula>I21="FN"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6"/>
  <sheetViews>
    <sheetView topLeftCell="A7" workbookViewId="0">
      <selection activeCell="A3" sqref="A3:Q4"/>
    </sheetView>
  </sheetViews>
  <sheetFormatPr baseColWidth="10" defaultRowHeight="15"/>
  <cols>
    <col min="1" max="17" width="13" customWidth="1"/>
  </cols>
  <sheetData>
    <row r="1" spans="1:17" ht="15" customHeight="1">
      <c r="A1" s="63" t="s">
        <v>496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7" ht="1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5" customHeight="1">
      <c r="A3" s="78" t="s">
        <v>529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</row>
    <row r="4" spans="1:17" ht="15" customHeight="1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</row>
    <row r="5" spans="1:17" ht="15" customHeight="1">
      <c r="A5" s="59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ht="15" customHeight="1">
      <c r="A6" s="59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ht="15" customHeight="1">
      <c r="A7" s="59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ht="15" customHeight="1">
      <c r="A8" s="59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ht="15" customHeight="1">
      <c r="A9" s="59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ht="1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ht="1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ht="1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ht="1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</row>
    <row r="14" spans="1:17" ht="1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 ht="1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</row>
    <row r="16" spans="1:17" ht="1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ht="1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ht="1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ht="1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1:17" ht="1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1:17" ht="1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</row>
    <row r="23" spans="1:17" ht="1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7" ht="1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1:17" ht="1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7" ht="1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ht="1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1:17" ht="1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17" ht="1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pans="1:17" ht="1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1:17" ht="1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pans="1:17" ht="1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pans="1:17" ht="1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1:17" ht="1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ht="1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ht="15" customHeight="1">
      <c r="A37" s="22" t="s">
        <v>497</v>
      </c>
      <c r="B37" s="22" t="s">
        <v>498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5" customHeight="1">
      <c r="A38" s="59" t="s">
        <v>307</v>
      </c>
      <c r="B38" s="22">
        <v>14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5" customHeight="1">
      <c r="A39" s="59" t="s">
        <v>234</v>
      </c>
      <c r="B39" s="22">
        <v>1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5" customHeight="1">
      <c r="A40" s="22" t="s">
        <v>499</v>
      </c>
      <c r="B40" s="22">
        <v>15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1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ht="1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ht="1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ht="1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ht="1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ht="1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  <row r="51" spans="1:17" ht="1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1:17" ht="1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</row>
    <row r="54" spans="1:17" ht="1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</row>
    <row r="55" spans="1:17" ht="1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1:17" ht="1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spans="1:17" ht="1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</row>
    <row r="58" spans="1:17" ht="1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</row>
    <row r="59" spans="1:17" ht="1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</row>
    <row r="60" spans="1:17" ht="1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</row>
    <row r="61" spans="1:17" ht="1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</row>
    <row r="62" spans="1:17" ht="1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</row>
    <row r="63" spans="1:17" ht="1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</row>
    <row r="64" spans="1:17" ht="1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</row>
    <row r="65" spans="1:17" ht="1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</row>
    <row r="66" spans="1:17" ht="1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</row>
    <row r="67" spans="1:17" ht="1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</row>
    <row r="68" spans="1:17" ht="1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</row>
    <row r="69" spans="1:17" ht="1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</row>
    <row r="70" spans="1:17" ht="1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</row>
    <row r="71" spans="1:17" ht="1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</row>
    <row r="72" spans="1:17" ht="1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</row>
    <row r="73" spans="1:17" ht="1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</row>
    <row r="74" spans="1:17" ht="1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</row>
    <row r="75" spans="1:17" ht="1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</row>
    <row r="76" spans="1:17" ht="1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</row>
    <row r="77" spans="1:17" ht="1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</row>
    <row r="78" spans="1:17" ht="1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</row>
    <row r="79" spans="1:17" ht="1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</row>
    <row r="80" spans="1:17" ht="1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</row>
    <row r="81" spans="1:17" ht="1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</row>
    <row r="82" spans="1:17" ht="1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</row>
    <row r="83" spans="1:17" ht="1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</row>
    <row r="84" spans="1:17" ht="1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</row>
    <row r="85" spans="1:17" ht="1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</row>
    <row r="86" spans="1:17" ht="1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</row>
  </sheetData>
  <mergeCells count="2">
    <mergeCell ref="A1:Q1"/>
    <mergeCell ref="A3:Q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7"/>
  <sheetViews>
    <sheetView workbookViewId="0">
      <selection activeCell="B59" sqref="B59"/>
    </sheetView>
  </sheetViews>
  <sheetFormatPr baseColWidth="10" defaultRowHeight="15.75"/>
  <cols>
    <col min="1" max="1" width="36" style="10" customWidth="1"/>
    <col min="2" max="2" width="76.5703125" style="10" customWidth="1"/>
    <col min="3" max="4" width="23" style="16" customWidth="1"/>
    <col min="5" max="5" width="32.85546875" style="16" customWidth="1"/>
    <col min="6" max="8" width="23" style="16" customWidth="1"/>
    <col min="9" max="16384" width="11.42578125" style="16"/>
  </cols>
  <sheetData>
    <row r="1" spans="1:2">
      <c r="A1" s="9" t="s">
        <v>372</v>
      </c>
      <c r="B1" s="16"/>
    </row>
    <row r="2" spans="1:2">
      <c r="A2" s="10" t="s">
        <v>0</v>
      </c>
      <c r="B2" s="10" t="s">
        <v>373</v>
      </c>
    </row>
    <row r="3" spans="1:2" ht="63">
      <c r="A3" s="13" t="s">
        <v>233</v>
      </c>
      <c r="B3" s="14" t="s">
        <v>374</v>
      </c>
    </row>
    <row r="4" spans="1:2" ht="63">
      <c r="A4" s="10" t="s">
        <v>234</v>
      </c>
      <c r="B4" s="11" t="s">
        <v>375</v>
      </c>
    </row>
    <row r="5" spans="1:2" ht="78.75">
      <c r="A5" s="13" t="s">
        <v>376</v>
      </c>
      <c r="B5" s="14" t="s">
        <v>377</v>
      </c>
    </row>
    <row r="6" spans="1:2">
      <c r="A6" s="16"/>
      <c r="B6" s="16"/>
    </row>
    <row r="7" spans="1:2">
      <c r="A7" s="16"/>
      <c r="B7" s="16"/>
    </row>
    <row r="8" spans="1:2">
      <c r="A8" s="9" t="s">
        <v>378</v>
      </c>
      <c r="B8" s="16"/>
    </row>
    <row r="9" spans="1:2">
      <c r="A9" s="10" t="s">
        <v>379</v>
      </c>
      <c r="B9" s="10" t="s">
        <v>380</v>
      </c>
    </row>
    <row r="10" spans="1:2">
      <c r="A10" s="13" t="s">
        <v>381</v>
      </c>
      <c r="B10" s="13" t="s">
        <v>382</v>
      </c>
    </row>
    <row r="11" spans="1:2">
      <c r="A11" s="10" t="s">
        <v>383</v>
      </c>
      <c r="B11" s="10" t="s">
        <v>384</v>
      </c>
    </row>
    <row r="12" spans="1:2">
      <c r="A12" s="13" t="s">
        <v>385</v>
      </c>
      <c r="B12" s="13" t="s">
        <v>386</v>
      </c>
    </row>
    <row r="13" spans="1:2">
      <c r="A13" s="16"/>
      <c r="B13" s="16"/>
    </row>
    <row r="14" spans="1:2">
      <c r="A14" s="16"/>
      <c r="B14" s="16"/>
    </row>
    <row r="15" spans="1:2">
      <c r="A15" s="9" t="s">
        <v>387</v>
      </c>
      <c r="B15" s="16"/>
    </row>
    <row r="16" spans="1:2">
      <c r="A16" s="10" t="s">
        <v>250</v>
      </c>
      <c r="B16" s="10" t="s">
        <v>388</v>
      </c>
    </row>
    <row r="17" spans="1:2">
      <c r="A17" s="13" t="s">
        <v>305</v>
      </c>
      <c r="B17" s="13" t="s">
        <v>389</v>
      </c>
    </row>
    <row r="18" spans="1:2">
      <c r="A18" s="10" t="s">
        <v>333</v>
      </c>
      <c r="B18" s="10" t="s">
        <v>390</v>
      </c>
    </row>
    <row r="19" spans="1:2">
      <c r="A19" s="13" t="s">
        <v>391</v>
      </c>
      <c r="B19" s="13" t="s">
        <v>392</v>
      </c>
    </row>
    <row r="20" spans="1:2">
      <c r="A20" s="17"/>
      <c r="B20" s="16"/>
    </row>
    <row r="21" spans="1:2">
      <c r="A21" s="9" t="s">
        <v>393</v>
      </c>
      <c r="B21" s="16"/>
    </row>
    <row r="22" spans="1:2">
      <c r="A22" s="10" t="s">
        <v>394</v>
      </c>
      <c r="B22" s="10" t="s">
        <v>395</v>
      </c>
    </row>
    <row r="23" spans="1:2">
      <c r="A23" s="13" t="s">
        <v>396</v>
      </c>
      <c r="B23" s="13" t="s">
        <v>397</v>
      </c>
    </row>
    <row r="24" spans="1:2">
      <c r="A24" s="10" t="s">
        <v>398</v>
      </c>
      <c r="B24" s="10" t="s">
        <v>399</v>
      </c>
    </row>
    <row r="25" spans="1:2">
      <c r="A25" s="13" t="s">
        <v>400</v>
      </c>
      <c r="B25" s="13" t="s">
        <v>401</v>
      </c>
    </row>
    <row r="26" spans="1:2">
      <c r="A26" s="16"/>
      <c r="B26" s="16"/>
    </row>
    <row r="27" spans="1:2">
      <c r="A27" s="16"/>
      <c r="B27" s="16"/>
    </row>
    <row r="28" spans="1:2">
      <c r="A28" s="9" t="s">
        <v>402</v>
      </c>
      <c r="B28" s="16"/>
    </row>
    <row r="29" spans="1:2">
      <c r="A29" s="10" t="s">
        <v>403</v>
      </c>
      <c r="B29" s="10" t="s">
        <v>404</v>
      </c>
    </row>
    <row r="30" spans="1:2">
      <c r="A30" s="13" t="s">
        <v>405</v>
      </c>
      <c r="B30" s="13" t="s">
        <v>406</v>
      </c>
    </row>
    <row r="31" spans="1:2">
      <c r="A31" s="10" t="s">
        <v>407</v>
      </c>
      <c r="B31" s="10" t="s">
        <v>408</v>
      </c>
    </row>
    <row r="32" spans="1:2">
      <c r="A32" s="13" t="s">
        <v>409</v>
      </c>
      <c r="B32" s="13" t="s">
        <v>410</v>
      </c>
    </row>
    <row r="33" spans="1:2">
      <c r="A33" s="16"/>
      <c r="B33" s="16"/>
    </row>
    <row r="34" spans="1:2">
      <c r="A34" s="16"/>
      <c r="B34" s="16"/>
    </row>
    <row r="35" spans="1:2" ht="129" customHeight="1">
      <c r="A35" s="9" t="s">
        <v>411</v>
      </c>
      <c r="B35" s="11" t="s">
        <v>412</v>
      </c>
    </row>
    <row r="36" spans="1:2" ht="126">
      <c r="A36" s="10" t="s">
        <v>413</v>
      </c>
      <c r="B36" s="11" t="s">
        <v>414</v>
      </c>
    </row>
    <row r="37" spans="1:2" ht="110.25">
      <c r="A37" s="13" t="s">
        <v>415</v>
      </c>
      <c r="B37" s="14" t="s">
        <v>416</v>
      </c>
    </row>
    <row r="38" spans="1:2" ht="110.25">
      <c r="A38" s="10" t="s">
        <v>417</v>
      </c>
      <c r="B38" s="11" t="s">
        <v>418</v>
      </c>
    </row>
    <row r="39" spans="1:2" ht="63">
      <c r="A39" s="13" t="s">
        <v>419</v>
      </c>
      <c r="B39" s="14" t="s">
        <v>420</v>
      </c>
    </row>
    <row r="40" spans="1:2">
      <c r="A40" s="16"/>
      <c r="B40" s="16"/>
    </row>
    <row r="41" spans="1:2">
      <c r="A41" s="16"/>
      <c r="B41" s="16"/>
    </row>
    <row r="42" spans="1:2">
      <c r="A42" s="9" t="s">
        <v>421</v>
      </c>
      <c r="B42" s="16"/>
    </row>
    <row r="43" spans="1:2">
      <c r="A43" s="10" t="s">
        <v>422</v>
      </c>
      <c r="B43" s="12" t="s">
        <v>423</v>
      </c>
    </row>
    <row r="44" spans="1:2">
      <c r="A44" s="13" t="s">
        <v>424</v>
      </c>
      <c r="B44" s="13" t="s">
        <v>425</v>
      </c>
    </row>
    <row r="45" spans="1:2">
      <c r="A45" s="10" t="s">
        <v>426</v>
      </c>
      <c r="B45" s="10" t="s">
        <v>427</v>
      </c>
    </row>
    <row r="46" spans="1:2">
      <c r="A46" s="13" t="s">
        <v>428</v>
      </c>
      <c r="B46" s="13" t="s">
        <v>429</v>
      </c>
    </row>
    <row r="47" spans="1:2">
      <c r="A47" s="10" t="s">
        <v>430</v>
      </c>
      <c r="B47" s="10" t="s">
        <v>431</v>
      </c>
    </row>
    <row r="48" spans="1:2">
      <c r="A48" s="13" t="s">
        <v>432</v>
      </c>
      <c r="B48" s="13" t="s">
        <v>433</v>
      </c>
    </row>
    <row r="49" spans="1:2">
      <c r="A49" s="16"/>
      <c r="B49" s="16"/>
    </row>
    <row r="50" spans="1:2">
      <c r="A50" s="23" t="s">
        <v>500</v>
      </c>
      <c r="B50" s="23"/>
    </row>
    <row r="51" spans="1:2">
      <c r="A51" s="80" t="s">
        <v>462</v>
      </c>
      <c r="B51" s="81" t="s">
        <v>501</v>
      </c>
    </row>
    <row r="52" spans="1:2">
      <c r="A52" s="80" t="s">
        <v>470</v>
      </c>
      <c r="B52" s="81" t="s">
        <v>502</v>
      </c>
    </row>
    <row r="53" spans="1:2">
      <c r="A53" s="80" t="s">
        <v>474</v>
      </c>
      <c r="B53" s="81" t="s">
        <v>503</v>
      </c>
    </row>
    <row r="54" spans="1:2">
      <c r="A54" s="80" t="s">
        <v>466</v>
      </c>
      <c r="B54" s="81" t="s">
        <v>504</v>
      </c>
    </row>
    <row r="55" spans="1:2" ht="30">
      <c r="A55" s="80" t="s">
        <v>505</v>
      </c>
      <c r="B55" s="81" t="s">
        <v>506</v>
      </c>
    </row>
    <row r="56" spans="1:2">
      <c r="A56" s="80" t="s">
        <v>464</v>
      </c>
      <c r="B56" s="81" t="s">
        <v>507</v>
      </c>
    </row>
    <row r="57" spans="1:2">
      <c r="A57" s="80" t="s">
        <v>468</v>
      </c>
      <c r="B57" s="81" t="s">
        <v>508</v>
      </c>
    </row>
    <row r="58" spans="1:2">
      <c r="A58" s="80" t="s">
        <v>472</v>
      </c>
      <c r="B58" s="81" t="s">
        <v>509</v>
      </c>
    </row>
    <row r="59" spans="1:2">
      <c r="A59" s="80" t="s">
        <v>480</v>
      </c>
      <c r="B59" s="81" t="s">
        <v>510</v>
      </c>
    </row>
    <row r="60" spans="1:2">
      <c r="A60" s="80" t="s">
        <v>511</v>
      </c>
      <c r="B60" s="81" t="s">
        <v>512</v>
      </c>
    </row>
    <row r="61" spans="1:2">
      <c r="A61" s="16"/>
      <c r="B61" s="16"/>
    </row>
    <row r="62" spans="1:2">
      <c r="A62" s="16"/>
      <c r="B62" s="16"/>
    </row>
    <row r="63" spans="1:2">
      <c r="A63" s="16"/>
      <c r="B63" s="16"/>
    </row>
    <row r="64" spans="1:2">
      <c r="A64" s="16"/>
      <c r="B64" s="16"/>
    </row>
    <row r="65" s="16" customFormat="1"/>
    <row r="66" s="16" customFormat="1"/>
    <row r="67" s="16" customFormat="1"/>
    <row r="68" s="16" customFormat="1"/>
    <row r="69" s="16" customFormat="1"/>
    <row r="70" s="16" customFormat="1"/>
    <row r="71" s="16" customFormat="1"/>
    <row r="72" s="16" customFormat="1"/>
    <row r="73" s="16" customFormat="1"/>
    <row r="74" s="16" customFormat="1"/>
    <row r="75" s="16" customFormat="1"/>
    <row r="76" s="16" customFormat="1"/>
    <row r="77" s="16" customFormat="1"/>
    <row r="78" s="16" customFormat="1"/>
    <row r="79" s="16" customFormat="1"/>
    <row r="80" s="16" customFormat="1"/>
    <row r="81" spans="1:2">
      <c r="A81" s="16"/>
      <c r="B81" s="16"/>
    </row>
    <row r="82" spans="1:2">
      <c r="A82" s="16"/>
      <c r="B82" s="16"/>
    </row>
    <row r="83" spans="1:2">
      <c r="A83" s="16"/>
      <c r="B83" s="16"/>
    </row>
    <row r="84" spans="1:2">
      <c r="A84" s="16"/>
      <c r="B84" s="16"/>
    </row>
    <row r="85" spans="1:2">
      <c r="A85" s="16"/>
      <c r="B85" s="16"/>
    </row>
    <row r="86" spans="1:2">
      <c r="A86" s="16"/>
      <c r="B86" s="16"/>
    </row>
    <row r="87" spans="1:2">
      <c r="A87" s="15"/>
      <c r="B87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"/>
  <sheetViews>
    <sheetView tabSelected="1" workbookViewId="0">
      <selection sqref="A1:H1"/>
    </sheetView>
  </sheetViews>
  <sheetFormatPr baseColWidth="10" defaultColWidth="9.140625" defaultRowHeight="15"/>
  <cols>
    <col min="1" max="8" width="18" customWidth="1"/>
  </cols>
  <sheetData>
    <row r="1" spans="1:8" ht="15" customHeight="1">
      <c r="A1" s="63" t="s">
        <v>513</v>
      </c>
      <c r="B1" s="63"/>
      <c r="C1" s="63"/>
      <c r="D1" s="63"/>
      <c r="E1" s="63"/>
      <c r="F1" s="63"/>
      <c r="G1" s="63"/>
      <c r="H1" s="63"/>
    </row>
    <row r="2" spans="1:8" ht="15" customHeight="1">
      <c r="A2" s="22"/>
      <c r="B2" s="22"/>
      <c r="C2" s="22"/>
      <c r="D2" s="22"/>
      <c r="E2" s="22"/>
      <c r="F2" s="22"/>
      <c r="G2" s="22"/>
      <c r="H2" s="22"/>
    </row>
    <row r="3" spans="1:8" ht="15" customHeight="1">
      <c r="A3" s="48" t="s">
        <v>482</v>
      </c>
      <c r="B3" s="49" t="s">
        <v>514</v>
      </c>
      <c r="C3" s="49" t="s">
        <v>515</v>
      </c>
      <c r="D3" s="49" t="s">
        <v>516</v>
      </c>
      <c r="E3" s="49" t="s">
        <v>462</v>
      </c>
      <c r="F3" s="49" t="s">
        <v>470</v>
      </c>
      <c r="G3" s="49" t="s">
        <v>474</v>
      </c>
      <c r="H3" s="50" t="s">
        <v>466</v>
      </c>
    </row>
    <row r="4" spans="1:8" ht="15" customHeight="1">
      <c r="A4" s="51" t="s">
        <v>517</v>
      </c>
      <c r="B4" s="52">
        <f>COUNTIF('04_Resumen'!$C$21:$C$42,"TEC")</f>
        <v>7</v>
      </c>
      <c r="C4" s="52">
        <f>SUMIFS('04_Resumen'!$J$21:$J$42,'04_Resumen'!$C$21:$C$42,"TEC")</f>
        <v>7</v>
      </c>
      <c r="D4" s="52">
        <f>SUMIFS('04_Resumen'!$L$21:$L$42,'04_Resumen'!$C$21:$C$42,"TEC")</f>
        <v>7</v>
      </c>
      <c r="E4" s="52">
        <f>SUMIFS('04_Resumen'!$M$21:$M$42,'04_Resumen'!$C$21:$C$42,"TEC")</f>
        <v>7</v>
      </c>
      <c r="F4" s="52">
        <f>SUMIFS('04_Resumen'!$N$21:$N$42,'04_Resumen'!$C$21:$C$42,"TEC")</f>
        <v>0</v>
      </c>
      <c r="G4" s="52">
        <f>SUMIFS('04_Resumen'!$O$21:$O$42,'04_Resumen'!$C$21:$C$42,"TEC")</f>
        <v>0</v>
      </c>
      <c r="H4" s="53">
        <f>SUMIFS('04_Resumen'!$P$21:$P$42,'04_Resumen'!$C$21:$C$42,"TEC")</f>
        <v>0</v>
      </c>
    </row>
    <row r="5" spans="1:8" ht="15" customHeight="1">
      <c r="A5" s="54" t="s">
        <v>518</v>
      </c>
      <c r="B5" s="55">
        <f>COUNTIF('04_Resumen'!$C$21:$C$42,"OB")</f>
        <v>15</v>
      </c>
      <c r="C5" s="55">
        <f>SUMIFS('04_Resumen'!$J$21:$J$42,'04_Resumen'!$C$21:$C$42,"OB")</f>
        <v>1</v>
      </c>
      <c r="D5" s="55">
        <f>SUMIFS('04_Resumen'!$L$21:$L$42,'04_Resumen'!$C$21:$C$42,"OB")</f>
        <v>14</v>
      </c>
      <c r="E5" s="55">
        <f>SUMIFS('04_Resumen'!$M$21:$M$42,'04_Resumen'!$C$21:$C$42,"OB")</f>
        <v>0</v>
      </c>
      <c r="F5" s="55">
        <f>SUMIFS('04_Resumen'!$N$21:$N$42,'04_Resumen'!$C$21:$C$42,"OB")</f>
        <v>14</v>
      </c>
      <c r="G5" s="55">
        <f>SUMIFS('04_Resumen'!$O$21:$O$42,'04_Resumen'!$C$21:$C$42,"OB")</f>
        <v>1</v>
      </c>
      <c r="H5" s="56">
        <f>SUMIFS('04_Resumen'!$P$21:$P$42,'04_Resumen'!$C$21:$C$42,"OB")</f>
        <v>0</v>
      </c>
    </row>
    <row r="6" spans="1:8" ht="15" customHeight="1">
      <c r="A6" s="22"/>
      <c r="B6" s="22"/>
      <c r="C6" s="22"/>
      <c r="D6" s="22"/>
      <c r="E6" s="22"/>
      <c r="F6" s="22"/>
      <c r="G6" s="22"/>
      <c r="H6" s="22"/>
    </row>
    <row r="7" spans="1:8" ht="15" customHeight="1">
      <c r="A7" s="22"/>
      <c r="B7" s="22"/>
      <c r="C7" s="22"/>
      <c r="D7" s="22"/>
      <c r="E7" s="22"/>
      <c r="F7" s="22"/>
      <c r="G7" s="22"/>
      <c r="H7" s="22"/>
    </row>
    <row r="8" spans="1:8" ht="15" customHeight="1">
      <c r="A8" s="48" t="s">
        <v>519</v>
      </c>
      <c r="B8" s="50" t="s">
        <v>520</v>
      </c>
      <c r="C8" s="22"/>
      <c r="D8" s="48" t="s">
        <v>521</v>
      </c>
      <c r="E8" s="50" t="s">
        <v>436</v>
      </c>
      <c r="F8" s="22"/>
      <c r="G8" s="48" t="s">
        <v>522</v>
      </c>
      <c r="H8" s="50" t="s">
        <v>520</v>
      </c>
    </row>
    <row r="9" spans="1:8" ht="15" customHeight="1">
      <c r="A9" s="51" t="s">
        <v>462</v>
      </c>
      <c r="B9" s="53">
        <f>SUM('04_Resumen'!$M$21:$M$42)</f>
        <v>7</v>
      </c>
      <c r="C9" s="22"/>
      <c r="D9" s="51" t="s">
        <v>523</v>
      </c>
      <c r="E9" s="57">
        <f>'04_Resumen'!$B$11</f>
        <v>1</v>
      </c>
      <c r="F9" s="22"/>
      <c r="G9" s="51" t="s">
        <v>15</v>
      </c>
      <c r="H9" s="53">
        <f>COUNTIF('04_Resumen'!$D$21:$D$27,"Execution")</f>
        <v>3</v>
      </c>
    </row>
    <row r="10" spans="1:8" ht="15" customHeight="1">
      <c r="A10" s="51" t="s">
        <v>470</v>
      </c>
      <c r="B10" s="53">
        <f>SUM('04_Resumen'!$N$21:$N$42)</f>
        <v>14</v>
      </c>
      <c r="C10" s="22"/>
      <c r="D10" s="51" t="s">
        <v>524</v>
      </c>
      <c r="E10" s="57">
        <f>'04_Resumen'!$B$12</f>
        <v>6.6666666666666666E-2</v>
      </c>
      <c r="F10" s="22"/>
      <c r="G10" s="51" t="s">
        <v>37</v>
      </c>
      <c r="H10" s="53">
        <f>COUNTIF('04_Resumen'!$D$21:$D$27,"Persistence")</f>
        <v>2</v>
      </c>
    </row>
    <row r="11" spans="1:8" ht="15" customHeight="1">
      <c r="A11" s="51" t="s">
        <v>474</v>
      </c>
      <c r="B11" s="53">
        <f>SUM('04_Resumen'!$O$21:$O$42)</f>
        <v>1</v>
      </c>
      <c r="C11" s="22"/>
      <c r="D11" s="51" t="s">
        <v>472</v>
      </c>
      <c r="E11" s="57">
        <f>'04_Resumen'!$B$13</f>
        <v>0.95454545454545459</v>
      </c>
      <c r="F11" s="22"/>
      <c r="G11" s="51" t="s">
        <v>71</v>
      </c>
      <c r="H11" s="53">
        <f>COUNTIF('04_Resumen'!$D$21:$D$27,"Discovery")</f>
        <v>1</v>
      </c>
    </row>
    <row r="12" spans="1:8" ht="24" customHeight="1">
      <c r="A12" s="54" t="s">
        <v>466</v>
      </c>
      <c r="B12" s="56">
        <f>SUM('04_Resumen'!$P$21:$P$42)</f>
        <v>0</v>
      </c>
      <c r="C12" s="22"/>
      <c r="D12" s="54" t="s">
        <v>525</v>
      </c>
      <c r="E12" s="58">
        <f>'04_Resumen'!$B$15</f>
        <v>1</v>
      </c>
      <c r="F12" s="22"/>
      <c r="G12" s="54" t="s">
        <v>83</v>
      </c>
      <c r="H12" s="56">
        <f>COUNTIF('04_Resumen'!$D$21:$D$27,"Impact")</f>
        <v>1</v>
      </c>
    </row>
    <row r="13" spans="1:8" ht="15" customHeight="1">
      <c r="A13" s="22"/>
      <c r="B13" s="22"/>
      <c r="C13" s="22"/>
      <c r="D13" s="22"/>
      <c r="E13" s="22"/>
      <c r="F13" s="22"/>
      <c r="G13" s="22"/>
      <c r="H13" s="22"/>
    </row>
    <row r="14" spans="1:8" ht="15" customHeight="1">
      <c r="A14" s="22"/>
      <c r="B14" s="22"/>
      <c r="C14" s="22"/>
      <c r="D14" s="22"/>
      <c r="E14" s="22"/>
      <c r="F14" s="22"/>
      <c r="G14" s="22"/>
      <c r="H14" s="22"/>
    </row>
    <row r="15" spans="1:8" ht="15" customHeight="1">
      <c r="A15" s="22"/>
      <c r="B15" s="22"/>
      <c r="C15" s="22"/>
      <c r="D15" s="22"/>
      <c r="E15" s="22"/>
      <c r="F15" s="22"/>
      <c r="G15" s="22"/>
      <c r="H15" s="22"/>
    </row>
    <row r="16" spans="1:8" ht="15" customHeight="1">
      <c r="A16" s="48" t="s">
        <v>526</v>
      </c>
      <c r="B16" s="49" t="s">
        <v>482</v>
      </c>
      <c r="C16" s="49" t="s">
        <v>250</v>
      </c>
      <c r="D16" s="49" t="s">
        <v>527</v>
      </c>
      <c r="E16" s="49" t="s">
        <v>474</v>
      </c>
      <c r="F16" s="49" t="s">
        <v>466</v>
      </c>
      <c r="G16" s="50" t="s">
        <v>528</v>
      </c>
      <c r="H16" s="22"/>
    </row>
    <row r="17" spans="1:8" ht="15" customHeight="1">
      <c r="A17" s="51" t="str">
        <f>'04_Resumen'!B21</f>
        <v>TEC-001</v>
      </c>
      <c r="B17" s="52" t="str">
        <f>'04_Resumen'!C21</f>
        <v>TEC</v>
      </c>
      <c r="C17" s="52">
        <f>'04_Resumen'!J21</f>
        <v>1</v>
      </c>
      <c r="D17" s="52">
        <f>'04_Resumen'!L21</f>
        <v>1</v>
      </c>
      <c r="E17" s="52">
        <f>'04_Resumen'!O21</f>
        <v>0</v>
      </c>
      <c r="F17" s="52">
        <f>'04_Resumen'!P21</f>
        <v>0</v>
      </c>
      <c r="G17" s="53">
        <f>'04_Resumen'!Q21</f>
        <v>0</v>
      </c>
      <c r="H17" s="22"/>
    </row>
    <row r="18" spans="1:8" ht="15" customHeight="1">
      <c r="A18" s="51" t="str">
        <f>'04_Resumen'!B22</f>
        <v>TEC-002</v>
      </c>
      <c r="B18" s="52" t="str">
        <f>'04_Resumen'!C22</f>
        <v>TEC</v>
      </c>
      <c r="C18" s="52">
        <f>'04_Resumen'!J22</f>
        <v>1</v>
      </c>
      <c r="D18" s="52">
        <f>'04_Resumen'!L22</f>
        <v>1</v>
      </c>
      <c r="E18" s="52">
        <f>'04_Resumen'!O22</f>
        <v>0</v>
      </c>
      <c r="F18" s="52">
        <f>'04_Resumen'!P22</f>
        <v>0</v>
      </c>
      <c r="G18" s="53">
        <f>'04_Resumen'!Q22</f>
        <v>0</v>
      </c>
      <c r="H18" s="22"/>
    </row>
    <row r="19" spans="1:8" ht="15" customHeight="1">
      <c r="A19" s="51" t="str">
        <f>'04_Resumen'!B23</f>
        <v>TEC-003</v>
      </c>
      <c r="B19" s="52" t="str">
        <f>'04_Resumen'!C23</f>
        <v>TEC</v>
      </c>
      <c r="C19" s="52">
        <f>'04_Resumen'!J23</f>
        <v>1</v>
      </c>
      <c r="D19" s="52">
        <f>'04_Resumen'!L23</f>
        <v>1</v>
      </c>
      <c r="E19" s="52">
        <f>'04_Resumen'!O23</f>
        <v>0</v>
      </c>
      <c r="F19" s="52">
        <f>'04_Resumen'!P23</f>
        <v>0</v>
      </c>
      <c r="G19" s="53">
        <f>'04_Resumen'!Q23</f>
        <v>0</v>
      </c>
      <c r="H19" s="22"/>
    </row>
    <row r="20" spans="1:8" ht="15" customHeight="1">
      <c r="A20" s="51" t="str">
        <f>'04_Resumen'!B24</f>
        <v>TEC-004</v>
      </c>
      <c r="B20" s="52" t="str">
        <f>'04_Resumen'!C24</f>
        <v>TEC</v>
      </c>
      <c r="C20" s="52">
        <f>'04_Resumen'!J24</f>
        <v>1</v>
      </c>
      <c r="D20" s="52">
        <f>'04_Resumen'!L24</f>
        <v>1</v>
      </c>
      <c r="E20" s="52">
        <f>'04_Resumen'!O24</f>
        <v>0</v>
      </c>
      <c r="F20" s="52">
        <f>'04_Resumen'!P24</f>
        <v>0</v>
      </c>
      <c r="G20" s="53">
        <f>'04_Resumen'!Q24</f>
        <v>0</v>
      </c>
      <c r="H20" s="22"/>
    </row>
    <row r="21" spans="1:8" ht="15" customHeight="1">
      <c r="A21" s="51" t="str">
        <f>'04_Resumen'!B25</f>
        <v>TEC-005</v>
      </c>
      <c r="B21" s="52" t="str">
        <f>'04_Resumen'!C25</f>
        <v>TEC</v>
      </c>
      <c r="C21" s="52">
        <f>'04_Resumen'!J25</f>
        <v>1</v>
      </c>
      <c r="D21" s="52">
        <f>'04_Resumen'!L25</f>
        <v>1</v>
      </c>
      <c r="E21" s="52">
        <f>'04_Resumen'!O25</f>
        <v>0</v>
      </c>
      <c r="F21" s="52">
        <f>'04_Resumen'!P25</f>
        <v>0</v>
      </c>
      <c r="G21" s="53">
        <f>'04_Resumen'!Q25</f>
        <v>0</v>
      </c>
      <c r="H21" s="22"/>
    </row>
    <row r="22" spans="1:8" ht="15" customHeight="1">
      <c r="A22" s="51" t="str">
        <f>'04_Resumen'!B26</f>
        <v>TEC-006</v>
      </c>
      <c r="B22" s="52" t="str">
        <f>'04_Resumen'!C26</f>
        <v>TEC</v>
      </c>
      <c r="C22" s="52">
        <f>'04_Resumen'!J26</f>
        <v>1</v>
      </c>
      <c r="D22" s="52">
        <f>'04_Resumen'!L26</f>
        <v>1</v>
      </c>
      <c r="E22" s="52">
        <f>'04_Resumen'!O26</f>
        <v>0</v>
      </c>
      <c r="F22" s="52">
        <f>'04_Resumen'!P26</f>
        <v>0</v>
      </c>
      <c r="G22" s="53">
        <f>'04_Resumen'!Q26</f>
        <v>0</v>
      </c>
      <c r="H22" s="22"/>
    </row>
    <row r="23" spans="1:8" ht="15" customHeight="1">
      <c r="A23" s="51" t="str">
        <f>'04_Resumen'!B27</f>
        <v>TEC-007</v>
      </c>
      <c r="B23" s="52" t="str">
        <f>'04_Resumen'!C27</f>
        <v>TEC</v>
      </c>
      <c r="C23" s="52">
        <f>'04_Resumen'!J27</f>
        <v>1</v>
      </c>
      <c r="D23" s="52">
        <f>'04_Resumen'!L27</f>
        <v>1</v>
      </c>
      <c r="E23" s="52">
        <f>'04_Resumen'!O27</f>
        <v>0</v>
      </c>
      <c r="F23" s="52">
        <f>'04_Resumen'!P27</f>
        <v>0</v>
      </c>
      <c r="G23" s="53">
        <f>'04_Resumen'!Q27</f>
        <v>0</v>
      </c>
      <c r="H23" s="22"/>
    </row>
    <row r="24" spans="1:8" ht="15" customHeight="1">
      <c r="A24" s="51" t="str">
        <f>'04_Resumen'!B28</f>
        <v>OB-001</v>
      </c>
      <c r="B24" s="52" t="str">
        <f>'04_Resumen'!C28</f>
        <v>OB</v>
      </c>
      <c r="C24" s="52">
        <f>'04_Resumen'!J28</f>
        <v>0</v>
      </c>
      <c r="D24" s="52">
        <f>'04_Resumen'!L28</f>
        <v>1</v>
      </c>
      <c r="E24" s="52">
        <f>'04_Resumen'!O28</f>
        <v>0</v>
      </c>
      <c r="F24" s="52">
        <f>'04_Resumen'!P28</f>
        <v>0</v>
      </c>
      <c r="G24" s="53">
        <f>'04_Resumen'!Q28</f>
        <v>0</v>
      </c>
      <c r="H24" s="22"/>
    </row>
    <row r="25" spans="1:8" ht="15" customHeight="1">
      <c r="A25" s="51" t="str">
        <f>'04_Resumen'!B29</f>
        <v>OB-002</v>
      </c>
      <c r="B25" s="52" t="str">
        <f>'04_Resumen'!C29</f>
        <v>OB</v>
      </c>
      <c r="C25" s="52">
        <f>'04_Resumen'!J29</f>
        <v>0</v>
      </c>
      <c r="D25" s="52">
        <f>'04_Resumen'!L29</f>
        <v>1</v>
      </c>
      <c r="E25" s="52">
        <f>'04_Resumen'!O29</f>
        <v>0</v>
      </c>
      <c r="F25" s="52">
        <f>'04_Resumen'!P29</f>
        <v>0</v>
      </c>
      <c r="G25" s="53">
        <f>'04_Resumen'!Q29</f>
        <v>0</v>
      </c>
      <c r="H25" s="22"/>
    </row>
    <row r="26" spans="1:8" ht="15" customHeight="1">
      <c r="A26" s="51" t="str">
        <f>'04_Resumen'!B30</f>
        <v>OB-003</v>
      </c>
      <c r="B26" s="52" t="str">
        <f>'04_Resumen'!C30</f>
        <v>OB</v>
      </c>
      <c r="C26" s="52">
        <f>'04_Resumen'!J30</f>
        <v>0</v>
      </c>
      <c r="D26" s="52">
        <f>'04_Resumen'!L30</f>
        <v>1</v>
      </c>
      <c r="E26" s="52">
        <f>'04_Resumen'!O30</f>
        <v>0</v>
      </c>
      <c r="F26" s="52">
        <f>'04_Resumen'!P30</f>
        <v>0</v>
      </c>
      <c r="G26" s="53">
        <f>'04_Resumen'!Q30</f>
        <v>0</v>
      </c>
      <c r="H26" s="22"/>
    </row>
    <row r="27" spans="1:8" ht="15" customHeight="1">
      <c r="A27" s="51" t="str">
        <f>'04_Resumen'!B31</f>
        <v>OB-004</v>
      </c>
      <c r="B27" s="52" t="str">
        <f>'04_Resumen'!C31</f>
        <v>OB</v>
      </c>
      <c r="C27" s="52">
        <f>'04_Resumen'!J31</f>
        <v>0</v>
      </c>
      <c r="D27" s="52">
        <f>'04_Resumen'!L31</f>
        <v>1</v>
      </c>
      <c r="E27" s="52">
        <f>'04_Resumen'!O31</f>
        <v>0</v>
      </c>
      <c r="F27" s="52">
        <f>'04_Resumen'!P31</f>
        <v>0</v>
      </c>
      <c r="G27" s="53">
        <f>'04_Resumen'!Q31</f>
        <v>0</v>
      </c>
      <c r="H27" s="22"/>
    </row>
    <row r="28" spans="1:8" ht="15" customHeight="1">
      <c r="A28" s="51" t="str">
        <f>'04_Resumen'!B32</f>
        <v>OB-005</v>
      </c>
      <c r="B28" s="52" t="str">
        <f>'04_Resumen'!C32</f>
        <v>OB</v>
      </c>
      <c r="C28" s="52">
        <f>'04_Resumen'!J32</f>
        <v>0</v>
      </c>
      <c r="D28" s="52">
        <f>'04_Resumen'!L32</f>
        <v>1</v>
      </c>
      <c r="E28" s="52">
        <f>'04_Resumen'!O32</f>
        <v>0</v>
      </c>
      <c r="F28" s="52">
        <f>'04_Resumen'!P32</f>
        <v>0</v>
      </c>
      <c r="G28" s="53">
        <f>'04_Resumen'!Q32</f>
        <v>0</v>
      </c>
      <c r="H28" s="22"/>
    </row>
    <row r="29" spans="1:8" ht="15" customHeight="1">
      <c r="A29" s="51" t="str">
        <f>'04_Resumen'!B33</f>
        <v>OB-006</v>
      </c>
      <c r="B29" s="52" t="str">
        <f>'04_Resumen'!C33</f>
        <v>OB</v>
      </c>
      <c r="C29" s="52">
        <f>'04_Resumen'!J33</f>
        <v>1</v>
      </c>
      <c r="D29" s="52">
        <f>'04_Resumen'!L33</f>
        <v>0</v>
      </c>
      <c r="E29" s="52">
        <f>'04_Resumen'!O33</f>
        <v>1</v>
      </c>
      <c r="F29" s="52">
        <f>'04_Resumen'!P33</f>
        <v>0</v>
      </c>
      <c r="G29" s="53">
        <f>'04_Resumen'!Q33</f>
        <v>1</v>
      </c>
      <c r="H29" s="22"/>
    </row>
    <row r="30" spans="1:8" ht="15" customHeight="1">
      <c r="A30" s="51" t="str">
        <f>'04_Resumen'!B34</f>
        <v>OB-007</v>
      </c>
      <c r="B30" s="52" t="str">
        <f>'04_Resumen'!C34</f>
        <v>OB</v>
      </c>
      <c r="C30" s="52">
        <f>'04_Resumen'!J34</f>
        <v>0</v>
      </c>
      <c r="D30" s="52">
        <f>'04_Resumen'!L34</f>
        <v>1</v>
      </c>
      <c r="E30" s="52">
        <f>'04_Resumen'!O34</f>
        <v>0</v>
      </c>
      <c r="F30" s="52">
        <f>'04_Resumen'!P34</f>
        <v>0</v>
      </c>
      <c r="G30" s="53">
        <f>'04_Resumen'!Q34</f>
        <v>0</v>
      </c>
      <c r="H30" s="22"/>
    </row>
    <row r="31" spans="1:8" ht="15" customHeight="1">
      <c r="A31" s="51" t="str">
        <f>'04_Resumen'!B35</f>
        <v>OB-008</v>
      </c>
      <c r="B31" s="52" t="str">
        <f>'04_Resumen'!C35</f>
        <v>OB</v>
      </c>
      <c r="C31" s="52">
        <f>'04_Resumen'!J35</f>
        <v>0</v>
      </c>
      <c r="D31" s="52">
        <f>'04_Resumen'!L35</f>
        <v>1</v>
      </c>
      <c r="E31" s="52">
        <f>'04_Resumen'!O35</f>
        <v>0</v>
      </c>
      <c r="F31" s="52">
        <f>'04_Resumen'!P35</f>
        <v>0</v>
      </c>
      <c r="G31" s="53">
        <f>'04_Resumen'!Q35</f>
        <v>0</v>
      </c>
      <c r="H31" s="22"/>
    </row>
    <row r="32" spans="1:8" ht="15" customHeight="1">
      <c r="A32" s="51" t="str">
        <f>'04_Resumen'!B36</f>
        <v>OB-009</v>
      </c>
      <c r="B32" s="52" t="str">
        <f>'04_Resumen'!C36</f>
        <v>OB</v>
      </c>
      <c r="C32" s="52">
        <f>'04_Resumen'!J36</f>
        <v>0</v>
      </c>
      <c r="D32" s="52">
        <f>'04_Resumen'!L36</f>
        <v>1</v>
      </c>
      <c r="E32" s="52">
        <f>'04_Resumen'!O36</f>
        <v>0</v>
      </c>
      <c r="F32" s="52">
        <f>'04_Resumen'!P36</f>
        <v>0</v>
      </c>
      <c r="G32" s="53">
        <f>'04_Resumen'!Q36</f>
        <v>0</v>
      </c>
      <c r="H32" s="22"/>
    </row>
    <row r="33" spans="1:8" ht="15" customHeight="1">
      <c r="A33" s="51" t="str">
        <f>'04_Resumen'!B37</f>
        <v>OB-010</v>
      </c>
      <c r="B33" s="52" t="str">
        <f>'04_Resumen'!C37</f>
        <v>OB</v>
      </c>
      <c r="C33" s="52">
        <f>'04_Resumen'!J37</f>
        <v>0</v>
      </c>
      <c r="D33" s="52">
        <f>'04_Resumen'!L37</f>
        <v>1</v>
      </c>
      <c r="E33" s="52">
        <f>'04_Resumen'!O37</f>
        <v>0</v>
      </c>
      <c r="F33" s="52">
        <f>'04_Resumen'!P37</f>
        <v>0</v>
      </c>
      <c r="G33" s="53">
        <f>'04_Resumen'!Q37</f>
        <v>0</v>
      </c>
      <c r="H33" s="22"/>
    </row>
    <row r="34" spans="1:8" ht="15" customHeight="1">
      <c r="A34" s="51" t="str">
        <f>'04_Resumen'!B38</f>
        <v>OB-011</v>
      </c>
      <c r="B34" s="52" t="str">
        <f>'04_Resumen'!C38</f>
        <v>OB</v>
      </c>
      <c r="C34" s="52">
        <f>'04_Resumen'!J38</f>
        <v>0</v>
      </c>
      <c r="D34" s="52">
        <f>'04_Resumen'!L38</f>
        <v>1</v>
      </c>
      <c r="E34" s="52">
        <f>'04_Resumen'!O38</f>
        <v>0</v>
      </c>
      <c r="F34" s="52">
        <f>'04_Resumen'!P38</f>
        <v>0</v>
      </c>
      <c r="G34" s="53">
        <f>'04_Resumen'!Q38</f>
        <v>0</v>
      </c>
      <c r="H34" s="22"/>
    </row>
    <row r="35" spans="1:8" ht="15" customHeight="1">
      <c r="A35" s="51" t="str">
        <f>'04_Resumen'!B39</f>
        <v>OB-012</v>
      </c>
      <c r="B35" s="52" t="str">
        <f>'04_Resumen'!C39</f>
        <v>OB</v>
      </c>
      <c r="C35" s="52">
        <f>'04_Resumen'!J39</f>
        <v>0</v>
      </c>
      <c r="D35" s="52">
        <f>'04_Resumen'!L39</f>
        <v>1</v>
      </c>
      <c r="E35" s="52">
        <f>'04_Resumen'!O39</f>
        <v>0</v>
      </c>
      <c r="F35" s="52">
        <f>'04_Resumen'!P39</f>
        <v>0</v>
      </c>
      <c r="G35" s="53">
        <f>'04_Resumen'!Q39</f>
        <v>0</v>
      </c>
      <c r="H35" s="22"/>
    </row>
    <row r="36" spans="1:8" ht="15" customHeight="1">
      <c r="A36" s="51" t="str">
        <f>'04_Resumen'!B40</f>
        <v>OB-013</v>
      </c>
      <c r="B36" s="52" t="str">
        <f>'04_Resumen'!C40</f>
        <v>OB</v>
      </c>
      <c r="C36" s="52">
        <f>'04_Resumen'!J40</f>
        <v>0</v>
      </c>
      <c r="D36" s="52">
        <f>'04_Resumen'!L40</f>
        <v>1</v>
      </c>
      <c r="E36" s="52">
        <f>'04_Resumen'!O40</f>
        <v>0</v>
      </c>
      <c r="F36" s="52">
        <f>'04_Resumen'!P40</f>
        <v>0</v>
      </c>
      <c r="G36" s="53">
        <f>'04_Resumen'!Q40</f>
        <v>0</v>
      </c>
      <c r="H36" s="22"/>
    </row>
    <row r="37" spans="1:8" ht="15" customHeight="1">
      <c r="A37" s="51" t="str">
        <f>'04_Resumen'!B41</f>
        <v>OB-014</v>
      </c>
      <c r="B37" s="52" t="str">
        <f>'04_Resumen'!C41</f>
        <v>OB</v>
      </c>
      <c r="C37" s="52">
        <f>'04_Resumen'!J41</f>
        <v>0</v>
      </c>
      <c r="D37" s="52">
        <f>'04_Resumen'!L41</f>
        <v>1</v>
      </c>
      <c r="E37" s="52">
        <f>'04_Resumen'!O41</f>
        <v>0</v>
      </c>
      <c r="F37" s="52">
        <f>'04_Resumen'!P41</f>
        <v>0</v>
      </c>
      <c r="G37" s="53">
        <f>'04_Resumen'!Q41</f>
        <v>0</v>
      </c>
      <c r="H37" s="22"/>
    </row>
    <row r="38" spans="1:8" ht="15" customHeight="1">
      <c r="A38" s="54" t="str">
        <f>'04_Resumen'!B42</f>
        <v>OB-015</v>
      </c>
      <c r="B38" s="55" t="str">
        <f>'04_Resumen'!C42</f>
        <v>OB</v>
      </c>
      <c r="C38" s="55">
        <f>'04_Resumen'!J42</f>
        <v>0</v>
      </c>
      <c r="D38" s="55">
        <f>'04_Resumen'!L42</f>
        <v>1</v>
      </c>
      <c r="E38" s="55">
        <f>'04_Resumen'!O42</f>
        <v>0</v>
      </c>
      <c r="F38" s="55">
        <f>'04_Resumen'!P42</f>
        <v>0</v>
      </c>
      <c r="G38" s="56">
        <f>'04_Resumen'!Q42</f>
        <v>0</v>
      </c>
      <c r="H38" s="2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01_Seleccion_Tecnicas</vt:lpstr>
      <vt:lpstr>02_Operaciones_Benignas</vt:lpstr>
      <vt:lpstr>03_Evaluacion_VR</vt:lpstr>
      <vt:lpstr>04_Resumen</vt:lpstr>
      <vt:lpstr>06_Graficos_técnicas</vt:lpstr>
      <vt:lpstr>99_Leyenda</vt:lpstr>
      <vt:lpstr>05_Datos_Graficos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Garcia</dc:creator>
  <cp:lastModifiedBy>JULIO GARCÍA-AMORENA REINA</cp:lastModifiedBy>
  <dcterms:created xsi:type="dcterms:W3CDTF">2026-05-08T09:40:15Z</dcterms:created>
  <dcterms:modified xsi:type="dcterms:W3CDTF">2026-05-08T09:46:22Z</dcterms:modified>
</cp:coreProperties>
</file>