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6f12379ea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1e734cd7dc484989"/>
    <x:sheet xmlns:r="http://schemas.openxmlformats.org/officeDocument/2006/relationships" name="01_Dashboard" sheetId="2" r:id="R5fc9be796570489b"/>
    <x:sheet xmlns:r="http://schemas.openxmlformats.org/officeDocument/2006/relationships" name="02_Seleccion_Tecnicas" sheetId="3" r:id="Rc3a1438827a745dc"/>
    <x:sheet xmlns:r="http://schemas.openxmlformats.org/officeDocument/2006/relationships" name="03_Evaluacion_VR" sheetId="4" r:id="R2253d95f7cf74620"/>
    <x:sheet xmlns:r="http://schemas.openxmlformats.org/officeDocument/2006/relationships" name="04_Control_Publicos" sheetId="5" r:id="R17679300769642bc"/>
    <x:sheet xmlns:r="http://schemas.openxmlformats.org/officeDocument/2006/relationships" name="05_Matriz_Resultados" sheetId="6" r:id="R4caf16b2564942fd"/>
    <x:sheet xmlns:r="http://schemas.openxmlformats.org/officeDocument/2006/relationships" name="06_Resumen" sheetId="7" r:id="Rc8e768a7ccc74e33"/>
    <x:sheet xmlns:r="http://schemas.openxmlformats.org/officeDocument/2006/relationships" name="07_Catalogo_Artifacts" sheetId="8" r:id="Rea621b2cd0f54ec6"/>
    <x:sheet xmlns:r="http://schemas.openxmlformats.org/officeDocument/2006/relationships" name="08_Benignas_FP" sheetId="9" r:id="R44746884c8b242ea"/>
    <x:sheet xmlns:r="http://schemas.openxmlformats.org/officeDocument/2006/relationships" name="09_Benchmark_Plan" sheetId="10" r:id="R53a0b371d4e04291"/>
    <x:sheet xmlns:r="http://schemas.openxmlformats.org/officeDocument/2006/relationships" name="10_Gaps_Custom_P1P4" sheetId="11" r:id="R48630fa76959405f"/>
    <x:sheet xmlns:r="http://schemas.openxmlformats.org/officeDocument/2006/relationships" name="99_Listas" sheetId="12" r:id="Ra318ea075f24402b"/>
    <x:sheet xmlns:r="http://schemas.openxmlformats.org/officeDocument/2006/relationships" name="11_Alertabilidad" sheetId="13" r:id="R7b9443fc41314a63"/>
    <x:sheet xmlns:r="http://schemas.openxmlformats.org/officeDocument/2006/relationships" name="12_Plan_Alertas" sheetId="14" r:id="Rc271e91437924050"/>
    <x:sheet xmlns:r="http://schemas.openxmlformats.org/officeDocument/2006/relationships" name="13_Hayabusa_Resumen" sheetId="15" r:id="R9ebc05a12c83471a"/>
    <x:sheet xmlns:r="http://schemas.openxmlformats.org/officeDocument/2006/relationships" name="14_Arquitectura_Custom" sheetId="16" r:id="Rd5ae492657964383"/>
    <x:sheet xmlns:r="http://schemas.openxmlformats.org/officeDocument/2006/relationships" name="15_Publicos_Definitivo" sheetId="17" r:id="R57f0ea7f8bc945e3"/>
    <x:sheet xmlns:r="http://schemas.openxmlformats.org/officeDocument/2006/relationships" name="16_Scripts_Validados" sheetId="18" r:id="R14e52b5cb1dc4d52"/>
    <x:sheet xmlns:r="http://schemas.openxmlformats.org/officeDocument/2006/relationships" name="17_Incoherencias_Cerradas" sheetId="19" r:id="Rdaae8f1af8b5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0"/>
      <x:color rgb="0F172A"/>
      <x:name val="Carlito"/>
    </x:font>
    <x:font>
      <x:b/>
      <x:sz val="10"/>
      <x:color rgb="FFFFFF"/>
      <x:name val="Aptos"/>
    </x:font>
    <x:font>
      <x:sz val="10"/>
      <x:name val="Aptos"/>
    </x:font>
    <x:font>
      <x:sz val="10"/>
      <x:color rgb="0F172A"/>
      <x:name val="Aptos"/>
    </x:font>
    <x:font>
      <x:b/>
      <x:sz val="16"/>
      <x:color rgb="FFFFFF"/>
      <x:name val="Aptos Display"/>
    </x:font>
    <x:font>
      <x:b/>
      <x:sz val="14"/>
      <x:color rgb="FFFFFF"/>
      <x:name val="Carlito"/>
    </x:font>
    <x:font>
      <x:b/>
      <x:sz val="14"/>
      <x:color rgb="FFFFFF"/>
      <x:name val="Aptos Display"/>
    </x:font>
    <x:font>
      <x:b/>
      <x:sz val="14"/>
      <x:color rgb="FFFFFF"/>
      <x:name val="Aptos"/>
    </x:font>
    <x:font>
      <x:i/>
      <x:sz val="10"/>
      <x:color rgb="1F4E78"/>
      <x:name val="Aptos"/>
    </x:font>
    <x:font>
      <x:sz val="10"/>
      <x:color rgb="375623"/>
      <x:name val="Aptos"/>
    </x:font>
    <x:font>
      <x:sz val="10"/>
      <x:color rgb="7F6000"/>
      <x:name val="Aptos"/>
    </x:font>
    <x:font>
      <x:i/>
      <x:sz val="11"/>
      <x:color rgb="1F4E7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1F5F9"/>
      </x:patternFill>
    </x:fill>
    <x:fill>
      <x:patternFill patternType="solid">
        <x:fgColor rgb="0F172A"/>
      </x:patternFill>
    </x:fill>
    <x:fill>
      <x:patternFill patternType="solid">
        <x:fgColor rgb="2563EB"/>
      </x:patternFill>
    </x:fill>
    <x:fill>
      <x:patternFill patternType="solid">
        <x:fgColor rgb="EA580C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top"/>
    </x:xf>
    <x:xf numFmtId="0" fontId="5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top"/>
    </x:xf>
    <x:xf numFmtId="0" fontId="7" fillId="2" borderId="1" xfId="0" applyNumberFormat="1" applyFont="1" applyFill="1" applyBorder="1" applyAlignment="1">
      <x:alignment horizontal="left" vertical="top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left" vertical="top"/>
    </x:xf>
    <x:xf numFmtId="0" fontId="5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horizontal="left" vertical="top"/>
    </x:xf>
    <x:xf numFmtId="0" fontId="10" fillId="7" borderId="0" xfId="0" applyNumberFormat="1" applyFont="1" applyFill="1" applyBorder="1" applyAlignment="1">
      <x:alignment vertical="top"/>
    </x:xf>
    <x:xf numFmtId="0" fontId="9" fillId="7" borderId="0" xfId="0" applyNumberFormat="1" applyFont="1" applyFill="1" applyBorder="1" applyAlignment="1">
      <x:alignment horizontal="left"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left" vertical="top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/>
    </x:xf>
    <x:xf numFmtId="0" fontId="4" fillId="9" borderId="0" xfId="0" applyNumberFormat="1" applyFont="1" applyFill="1" applyBorder="1" applyAlignment="1">
      <x:alignment horizontal="center" vertical="top" wrapText="1"/>
    </x:xf>
    <x:xf numFmtId="0" fontId="5" fillId="9" borderId="0" xfId="0" applyNumberFormat="1" applyFont="1" applyFill="1" applyBorder="1" applyAlignment="1">
      <x:alignment vertical="top"/>
    </x:xf>
    <x:xf numFmtId="0" fontId="4" fillId="9" borderId="0" xfId="0" applyNumberFormat="1" applyFont="1" applyFill="1" applyBorder="1" applyAlignment="1">
      <x:alignment vertical="top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vertical="top" wrapText="1"/>
    </x:xf>
    <x:xf numFmtId="200" fontId="5" fillId="10" borderId="0" xfId="0" applyNumberFormat="1" applyFont="1" applyFill="1" applyBorder="1" applyAlignment="1">
      <x:alignment vertical="top" wrapText="1"/>
    </x:xf>
    <x:xf numFmtId="0" fontId="12" fillId="10" borderId="0" xfId="0" applyNumberFormat="1" applyFont="1" applyFill="1" applyBorder="1" applyAlignment="1">
      <x:alignment vertical="top" wrapText="1"/>
    </x:xf>
    <x:xf numFmtId="200" fontId="12" fillId="10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200" fontId="5" fillId="11" borderId="0" xfId="0" applyNumberFormat="1" applyFont="1" applyFill="1" applyBorder="1" applyAlignment="1">
      <x:alignment vertical="top" wrapText="1"/>
    </x:xf>
    <x:xf numFmtId="0" fontId="13" fillId="11" borderId="0" xfId="0" applyNumberFormat="1" applyFont="1" applyFill="1" applyBorder="1" applyAlignment="1">
      <x:alignment vertical="top" wrapText="1"/>
    </x:xf>
    <x:xf numFmtId="200" fontId="13" fillId="11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left" wrapText="1"/>
    </x:xf>
    <x:xf numFmtId="0" fontId="8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7"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E2E8F0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58f9c44904b56" /><Relationship Type="http://schemas.openxmlformats.org/officeDocument/2006/relationships/theme" Target="/xl/theme/theme1.xml" Id="Ra06cd54185ce445b" /><Relationship Type="http://schemas.openxmlformats.org/officeDocument/2006/relationships/sharedStrings" Target="/xl/sharedStrings.xml" Id="R00296d99314c482c" /><Relationship Type="http://schemas.openxmlformats.org/officeDocument/2006/relationships/worksheet" Target="/xl/worksheets/sheet1.xml" Id="R1e734cd7dc484989" /><Relationship Type="http://schemas.openxmlformats.org/officeDocument/2006/relationships/worksheet" Target="/xl/worksheets/sheet2.xml" Id="R5fc9be796570489b" /><Relationship Type="http://schemas.openxmlformats.org/officeDocument/2006/relationships/worksheet" Target="/xl/worksheets/sheet3.xml" Id="Rc3a1438827a745dc" /><Relationship Type="http://schemas.openxmlformats.org/officeDocument/2006/relationships/worksheet" Target="/xl/worksheets/sheet4.xml" Id="R2253d95f7cf74620" /><Relationship Type="http://schemas.openxmlformats.org/officeDocument/2006/relationships/worksheet" Target="/xl/worksheets/sheet5.xml" Id="R17679300769642bc" /><Relationship Type="http://schemas.openxmlformats.org/officeDocument/2006/relationships/worksheet" Target="/xl/worksheets/sheet6.xml" Id="R4caf16b2564942fd" /><Relationship Type="http://schemas.openxmlformats.org/officeDocument/2006/relationships/worksheet" Target="/xl/worksheets/sheet7.xml" Id="Rc8e768a7ccc74e33" /><Relationship Type="http://schemas.openxmlformats.org/officeDocument/2006/relationships/worksheet" Target="/xl/worksheets/sheet8.xml" Id="Rea621b2cd0f54ec6" /><Relationship Type="http://schemas.openxmlformats.org/officeDocument/2006/relationships/worksheet" Target="/xl/worksheets/sheet9.xml" Id="R44746884c8b242ea" /><Relationship Type="http://schemas.openxmlformats.org/officeDocument/2006/relationships/worksheet" Target="/xl/worksheets/sheet10.xml" Id="R53a0b371d4e04291" /><Relationship Type="http://schemas.openxmlformats.org/officeDocument/2006/relationships/worksheet" Target="/xl/worksheets/sheet11.xml" Id="R48630fa76959405f" /><Relationship Type="http://schemas.openxmlformats.org/officeDocument/2006/relationships/worksheet" Target="/xl/worksheets/sheet12.xml" Id="Ra318ea075f24402b" /><Relationship Type="http://schemas.openxmlformats.org/officeDocument/2006/relationships/worksheet" Target="/xl/worksheets/sheet13.xml" Id="R7b9443fc41314a63" /><Relationship Type="http://schemas.openxmlformats.org/officeDocument/2006/relationships/worksheet" Target="/xl/worksheets/sheet14.xml" Id="Rc271e91437924050" /><Relationship Type="http://schemas.openxmlformats.org/officeDocument/2006/relationships/worksheet" Target="/xl/worksheets/sheet15.xml" Id="R9ebc05a12c83471a" /><Relationship Type="http://schemas.openxmlformats.org/officeDocument/2006/relationships/worksheet" Target="/xl/worksheets/sheet16.xml" Id="Rd5ae492657964383" /><Relationship Type="http://schemas.openxmlformats.org/officeDocument/2006/relationships/worksheet" Target="/xl/worksheets/sheet17.xml" Id="R57f0ea7f8bc945e3" /><Relationship Type="http://schemas.openxmlformats.org/officeDocument/2006/relationships/worksheet" Target="/xl/worksheets/sheet18.xml" Id="R14e52b5cb1dc4d52" /><Relationship Type="http://schemas.openxmlformats.org/officeDocument/2006/relationships/worksheet" Target="/xl/worksheets/sheet19.xml" Id="Rdaae8f1af8b540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4333163053473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Cobertura /14</c:v>
          </c:tx>
          <c:cat>
            <c:strRef>
              <c:f>'01_Dashboard'!$H$5:$H$7</c:f>
              <c:strCache>
                <c:ptCount val="0"/>
              </c:strCache>
            </c:strRef>
          </c:cat>
          <c:val>
            <c:numRef>
              <c:f>'01_Dashboard'!$J$5:$J$7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433316305347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uiaTable" displayName="GuiaTable" ref="A4:C14" headerRowCount="1">
  <x:tableColumns count="3">
    <x:tableColumn id="1" name="Bloque"/>
    <x:tableColumn id="2" name="Qué contiene"/>
    <x:tableColumn id="3" name="Uso operativo"/>
  </x:tableColumns>
  <x:tableStyleInfo name="TableStyleMedium2" showRowStripes="1"/>
</x:table>
</file>

<file path=xl/tables/table2.xml><?xml version="1.0" encoding="utf-8"?>
<x:table xmlns:x="http://schemas.openxmlformats.org/spreadsheetml/2006/main" id="2" name="TecnicasTable" displayName="TecnicasTable" ref="A4:J13" headerRowCount="1">
  <x:tableColumns count="10">
    <x:tableColumn id="1" name="TEC"/>
    <x:tableColumn id="2" name="MITRE_ID"/>
    <x:tableColumn id="3" name="Técnica MITRE"/>
    <x:tableColumn id="4" name="Táctica principal"/>
    <x:tableColumn id="5" name="Tácticas secundarias/contextuales"/>
    <x:tableColumn id="6" name="Procedimiento controlado"/>
    <x:tableColumn id="7" name="Evidencia esperada"/>
    <x:tableColumn id="8" name="Artifacts públicos candidatos"/>
    <x:tableColumn id="9" name="Custom esperado"/>
    <x:tableColumn id="10" name="Notas"/>
  </x:tableColumns>
  <x:tableStyleInfo name="TableStyleMedium2" showRowStripes="1"/>
</x:table>
</file>

<file path=xl/tables/table3.xml><?xml version="1.0" encoding="utf-8"?>
<x:table xmlns:x="http://schemas.openxmlformats.org/spreadsheetml/2006/main" id="5" name="EvaluacionVRTable" displayName="EvaluacionVRTable" ref="A4:S13" headerRowCount="1">
  <x:tableColumns count="19">
    <x:tableColumn id="1" name="ID_Prueba"/>
    <x:tableColumn id="2" name="ID_Interna"/>
    <x:tableColumn id="3" name="MITRE"/>
    <x:tableColumn id="4" name="Táctica"/>
    <x:tableColumn id="5" name="Escenario_Prueba"/>
    <x:tableColumn id="6" name="Artifact_Usado"/>
    <x:tableColumn id="7" name="Tipo_Artifact"/>
    <x:tableColumn id="8" name="Modo"/>
    <x:tableColumn id="9" name="Resultado_Detección"/>
    <x:tableColumn id="10" name="Ground_Truth"/>
    <x:tableColumn id="11" name="Fuente_Evidencia"/>
    <x:tableColumn id="12" name="Evidencia_Host_Observada"/>
    <x:tableColumn id="13" name="Discord"/>
    <x:tableColumn id="14" name="FP_Risk"/>
    <x:tableColumn id="15" name="Consumo_Estimado"/>
    <x:tableColumn id="16" name="Custom_Necesario"/>
    <x:tableColumn id="17" name="Conclusión_Técnica"/>
    <x:tableColumn id="18" name="Captura/Referencia"/>
    <x:tableColumn id="19" name="Notas"/>
  </x:tableColumns>
  <x:tableStyleInfo name="TableStyleMedium2" showRowStripes="1"/>
</x:table>
</file>

<file path=xl/tables/table4.xml><?xml version="1.0" encoding="utf-8"?>
<x:table xmlns:x="http://schemas.openxmlformats.org/spreadsheetml/2006/main" id="3" name="ControlPublicosTable" displayName="ControlPublicosTable" ref="A4:X61" headerRowCount="1">
  <x:tableColumns count="24">
    <x:tableColumn id="1" name="ID_Prueba"/>
    <x:tableColumn id="2" name="Fase"/>
    <x:tableColumn id="3" name="Perfil"/>
    <x:tableColumn id="4" name="Prioridad"/>
    <x:tableColumn id="5" name="Artifact_Publico"/>
    <x:tableColumn id="6" name="Modo"/>
    <x:tableColumn id="7" name="Fuente"/>
    <x:tableColumn id="8" name="TEC"/>
    <x:tableColumn id="9" name="MITRE"/>
    <x:tableColumn id="10" name="Táctica"/>
    <x:tableColumn id="11" name="Objetivo_Prueba"/>
    <x:tableColumn id="12" name="Configuración"/>
    <x:tableColumn id="13" name="Pasos_Validacion"/>
    <x:tableColumn id="14" name="Resultado"/>
    <x:tableColumn id="15" name="Regla_Evento"/>
    <x:tableColumn id="16" name="Severity"/>
    <x:tableColumn id="17" name="MITRE_Detectado"/>
    <x:tableColumn id="18" name="Evidencia"/>
    <x:tableColumn id="19" name="FP_Risk"/>
    <x:tableColumn id="20" name="Custom_Necesario"/>
    <x:tableColumn id="21" name="Estado"/>
    <x:tableColumn id="22" name="Fecha"/>
    <x:tableColumn id="23" name="Captura_Log"/>
    <x:tableColumn id="24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4" name="MatrizResultadosTable" displayName="MatrizResultadosTable" ref="A4:O13" headerRowCount="1">
  <x:tableColumns count="15">
    <x:tableColumn id="1" name="TEC"/>
    <x:tableColumn id="2" name="MITRE"/>
    <x:tableColumn id="3" name="Técnica"/>
    <x:tableColumn id="4" name="ProcessCreation"/>
    <x:tableColumn id="5" name="ServiceCreation"/>
    <x:tableColumn id="6" name="SysmonLogForward"/>
    <x:tableColumn id="7" name="Hayabusa.Rules CH"/>
    <x:tableColumn id="8" name="Hayabusa.Rules CHM"/>
    <x:tableColumn id="9" name="Hayabusa.Monitoring CH"/>
    <x:tableColumn id="10" name="Hayabusa.Monitoring CHM"/>
    <x:tableColumn id="11" name="Persistence/Triage"/>
    <x:tableColumn id="12" name="Cobertura pública"/>
    <x:tableColumn id="13" name="Custom necesario"/>
    <x:tableColumn id="14" name="Evidencia principal"/>
    <x:tableColumn id="15" name="Decisión"/>
  </x:tableColumns>
  <x:tableStyleInfo name="TableStyleMedium2" showRowStripes="1"/>
</x:table>
</file>

<file path=xl/tables/table6.xml><?xml version="1.0" encoding="utf-8"?>
<x:table xmlns:x="http://schemas.openxmlformats.org/spreadsheetml/2006/main" id="6" name="ResumenTable" displayName="ResumenTable" ref="A4:C18" headerRowCount="1">
  <x:tableColumns count="3">
    <x:tableColumn id="1" name="Indicador"/>
    <x:tableColumn id="2" name="Valor"/>
    <x:tableColumn id="3" name="Fórmula / interpretación"/>
  </x:tableColumns>
  <x:tableStyleInfo name="TableStyleMedium2" showRowStripes="1"/>
</x:table>
</file>

<file path=xl/tables/table7.xml><?xml version="1.0" encoding="utf-8"?>
<x:table xmlns:x="http://schemas.openxmlformats.org/spreadsheetml/2006/main" id="7" name="CatalogoArtifactsTable" displayName="CatalogoArtifactsTable" ref="A4:K18" headerRowCount="1">
  <x:tableColumns count="11">
    <x:tableColumn id="1" name="Artifact"/>
    <x:tableColumn id="2" name="Tipo"/>
    <x:tableColumn id="3" name="Modo recomendado"/>
    <x:tableColumn id="4" name="Perfil"/>
    <x:tableColumn id="5" name="Consumo esperado"/>
    <x:tableColumn id="6" name="Prioridad"/>
    <x:tableColumn id="7" name="Técnicas objetivo"/>
    <x:tableColumn id="8" name="Uso TFM"/>
    <x:tableColumn id="9" name="Dónde obtener"/>
    <x:tableColumn id="10" name="Decisión"/>
    <x:tableColumn id="11" name="Notas"/>
  </x:tableColumns>
  <x:tableStyleInfo name="TableStyleMedium2" showRowStripes="1"/>
</x:table>
</file>

<file path=xl/tables/table8.xml><?xml version="1.0" encoding="utf-8"?>
<x:table xmlns:x="http://schemas.openxmlformats.org/spreadsheetml/2006/main" id="8" name="BenignasFPTable" displayName="BenignasFPTable" ref="A4:J12" headerRowCount="1">
  <x:tableColumns count="10">
    <x:tableColumn id="1" name="ID_OB"/>
    <x:tableColumn id="2" name="Operación benigna"/>
    <x:tableColumn id="3" name="Comando/acción"/>
    <x:tableColumn id="4" name="Técnica que podría parecer"/>
    <x:tableColumn id="5" name="Resultado esperado"/>
    <x:tableColumn id="6" name="Artifact a comprobar"/>
    <x:tableColumn id="7" name="Resultado real"/>
    <x:tableColumn id="8" name="Veredicto"/>
    <x:tableColumn id="9" name="FP_Risk"/>
    <x:tableColumn id="10" name="Notas"/>
  </x:tableColumns>
  <x:tableStyleInfo name="TableStyleMedium2" showRowStripes="1"/>
</x:table>
</file>

<file path=xl/tables/table9.xml><?xml version="1.0" encoding="utf-8"?>
<x:table xmlns:x="http://schemas.openxmlformats.org/spreadsheetml/2006/main" id="9" name="BenchmarkPlanTable" displayName="BenchmarkPlanTable" ref="A4:J11" headerRowCount="1">
  <x:tableColumns count="10">
    <x:tableColumn id="1" name="Escenario"/>
    <x:tableColumn id="2" name="Objetivo"/>
    <x:tableColumn id="3" name="VR activo"/>
    <x:tableColumn id="4" name="Artifacts activos"/>
    <x:tableColumn id="5" name="Procesos medidos"/>
    <x:tableColumn id="6" name="Métricas"/>
    <x:tableColumn id="7" name="Duración"/>
    <x:tableColumn id="8" name="Repeticiones"/>
    <x:tableColumn id="9" name="Estado"/>
    <x:tableColumn id="10" name="Notas"/>
  </x:tableColumns>
  <x:tableStyleInfo name="TableStyleMedium2" showRowStripes="1"/>
</x:table>
</file>

<file path=xl/tables/table10.xml><?xml version="1.0" encoding="utf-8"?>
<x:table xmlns:x="http://schemas.openxmlformats.org/spreadsheetml/2006/main" id="10" name="GapsCustomTable" displayName="GapsCustomTable" ref="A4:I10" headerRowCount="1">
  <x:tableColumns count="9">
    <x:tableColumn id="1" name="Gap_ID"/>
    <x:tableColumn id="2" name="Técnica/área"/>
    <x:tableColumn id="3" name="Gap de artifact público"/>
    <x:tableColumn id="4" name="Riesgo"/>
    <x:tableColumn id="5" name="Perfil custom propuesto"/>
    <x:tableColumn id="6" name="Fuente custom"/>
    <x:tableColumn id="7" name="Discord"/>
    <x:tableColumn id="8" name="Justificación"/>
    <x:tableColumn id="9" name="Prior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b09cec6a442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01a7500d7b94c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ec181e1bff4f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39e64a50c947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52efa1180f43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f40fb09a064b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6da2b9c1d84c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4b9d245e8644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4a2aea9ea54ac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3a88d02fefc4c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5642bed79874bc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55" hidden="0" customWidth="1"/>
  </x:cols>
  <x:sheetData>
    <x:row r="1" ht="30" customHeight="1">
      <x:c r="A1" s="52" t="str">
        <x:v>Guía de uso · Evaluación de artifacts públicos y custom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Workbook maestro para ejecutar, registrar y justificar la evaluación de Velociraptor como HIDS/DFIR.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Bloque</x:v>
      </x:c>
      <x:c r="B4" s="41" t="str">
        <x:v>Qué contiene</x:v>
      </x:c>
      <x:c r="C4" s="41" t="str">
        <x:v>Uso operativo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01_Dashboard</x:v>
      </x:c>
      <x:c r="B5" s="42" t="str">
        <x:v>KPIs automáticos de avance, cobertura y gaps</x:v>
      </x:c>
      <x:c r="C5" s="42" t="str">
        <x:v>Mirar primero para saber estado global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02_Seleccion_Tecnicas</x:v>
      </x:c>
      <x:c r="B6" s="42" t="str">
        <x:v>TEC-001 a TEC-009 con MITRE, táctica y criterio de evidencia</x:v>
      </x:c>
      <x:c r="C6" s="42" t="str">
        <x:v>Base metodológica del TFM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03_Evaluacion_VR</x:v>
      </x:c>
      <x:c r="B7" s="42" t="str">
        <x:v>Evaluación final de Velociraptor por técnica y artifact</x:v>
      </x:c>
      <x:c r="C7" s="42" t="str">
        <x:v>Hoja principal para conclusiones del TFM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04_Control_Publicos</x:v>
      </x:c>
      <x:c r="B8" s="42" t="str">
        <x:v>Checklist detallado de pruebas con artifacts públicos</x:v>
      </x:c>
      <x:c r="C8" s="42" t="str">
        <x:v>Rellenar durante las pruebas</x:v>
      </x:c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05_Matriz_Resultados</x:v>
      </x:c>
      <x:c r="B9" s="42" t="str">
        <x:v>Matriz TEC vs artifacts públicos</x:v>
      </x:c>
      <x:c r="C9" s="42" t="str">
        <x:v>Decidir cobertura pública y necesidad custom</x:v>
      </x:c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06_Resumen</x:v>
      </x:c>
      <x:c r="B10" s="42" t="str">
        <x:v>Resumen calculado de cobertura, detección y gaps</x:v>
      </x:c>
      <x:c r="C10" s="42" t="str">
        <x:v>Usar para memoria</x:v>
      </x:c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07_Catalogo_Artifacts</x:v>
      </x:c>
      <x:c r="B11" s="42" t="str">
        <x:v>Catálogo P4-P1 de artifacts públicos</x:v>
      </x:c>
      <x:c r="C11" s="42" t="str">
        <x:v>Justificar orden de activación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08_Benignas_FP</x:v>
      </x:c>
      <x:c r="B12" s="42" t="str">
        <x:v>Operaciones benignas para falso positivo</x:v>
      </x:c>
      <x:c r="C12" s="42" t="str">
        <x:v>Validar discriminación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09_Benchmark_Plan</x:v>
      </x:c>
      <x:c r="B13" s="42" t="str">
        <x:v>Plan de benchmark por proceso</x:v>
      </x:c>
      <x:c r="C13" s="42" t="str">
        <x:v>Ejecutar después de cerrar artifacts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2" t="str">
        <x:v>10_Gaps_Custom_P1P4</x:v>
      </x:c>
      <x:c r="B14" s="42" t="str">
        <x:v>Gaps y diseño custom P4-P1</x:v>
      </x:c>
      <x:c r="C14" s="42" t="str">
        <x:v>Justificar artifacts propios</x:v>
      </x:c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e9b09cec6a442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4" hidden="0" customWidth="1"/>
    <x:col min="5" max="5" width="16" hidden="0" customWidth="1"/>
    <x:col min="6" max="6" width="58" hidden="0" customWidth="1"/>
    <x:col min="4" max="4" width="4" hidden="0" customWidth="1"/>
    <x:col min="8" max="8" width="22" hidden="0" customWidth="1"/>
    <x:col min="9" max="9" width="12" hidden="0" customWidth="1"/>
    <x:col min="10" max="10" width="14" hidden="0" customWidth="1"/>
  </x:cols>
  <x:sheetData>
    <x:row r="1" ht="33.599998474121094" hidden="0" customHeight="1">
      <x:c r="A1" s="78" t="str">
        <x:v>Dashboard definitivo · Velociraptor HIDS/DFIR</x:v>
      </x:c>
      <x:c r="B1" s="79"/>
      <x:c r="C1" s="79"/>
      <x:c r="D1" s="79"/>
      <x:c r="E1" s="79"/>
      <x:c r="F1" s="7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48" hidden="0" customHeight="1">
      <x:c r="A2" s="82" t="str">
        <x:v>Estado final del enfoque: artifacts públicos, cobertura MITRE /14, arquitectura P4-P1 y benchmark por proceso.</x:v>
      </x:c>
      <x:c r="B2" s="82"/>
      <x:c r="C2" s="82"/>
      <x:c r="D2" s="82"/>
      <x:c r="E2" s="82"/>
      <x:c r="F2" s="82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15" hidden="0" customHeight="1">
      <x:c r="A4" s="88" t="str">
        <x:v>KPI</x:v>
      </x:c>
      <x:c r="B4" s="88" t="str">
        <x:v>Valor</x:v>
      </x:c>
      <x:c r="C4" s="88" t="str">
        <x:v>Lectura</x:v>
      </x:c>
      <x:c r="D4" s="88"/>
      <x:c r="E4" s="88" t="str">
        <x:v>Orden inmediato</x:v>
      </x:c>
      <x:c r="F4" s="88" t="str">
        <x:v>Acción</x:v>
      </x:c>
      <x:c r="G4" s="39"/>
      <x:c r="H4" s="88" t="str">
        <x:v>Cobertura</x:v>
      </x:c>
      <x:c r="I4" s="88" t="str">
        <x:v>Tácticas</x:v>
      </x:c>
      <x:c r="J4" s="88" t="str">
        <x:v>% /14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24" hidden="0" customHeight="1">
      <x:c r="A5" s="42" t="str">
        <x:v>Artifacts públicos RT núcleo</x:v>
      </x:c>
      <x:c r="B5" s="42" t="n">
        <x:v>6</x:v>
      </x:c>
      <x:c r="C5" s="42" t="str">
        <x:v>Hayabusa.Monitoring, ServiceCreation, ProcessCreation, SysmonLogForward, ETW.Monitoring, TrackNetworkConnections</x:v>
      </x:c>
      <x:c r="D5" s="39"/>
      <x:c r="E5" s="42" t="str">
        <x:v>1</x:v>
      </x:c>
      <x:c r="F5" s="42" t="str">
        <x:v>Corregir sabotaje.ps1: cabecera TEC-009 → TEC-008.</x:v>
      </x:c>
      <x:c r="G5" s="39"/>
      <x:c r="H5" s="42" t="str">
        <x:v>Principal</x:v>
      </x:c>
      <x:c r="I5" s="42" t="n">
        <x:v>5</x:v>
      </x:c>
      <x:c r="J5" s="50" t="n">
        <x:f>I5/14</x:f>
        <x:v>0.35714285714285715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24" hidden="0" customHeight="1">
      <x:c r="A6" s="42" t="str">
        <x:v>Artifact histórico complementario</x:v>
      </x:c>
      <x:c r="B6" s="42" t="n">
        <x:v>1</x:v>
      </x:c>
      <x:c r="C6" s="42" t="str">
        <x:v>Windows.Hayabusa.Rules = hunt histórico, no HIDS RT</x:v>
      </x:c>
      <x:c r="D6" s="39"/>
      <x:c r="E6" s="42" t="str">
        <x:v>2</x:v>
      </x:c>
      <x:c r="F6" s="42" t="str">
        <x:v>Actualizar comentario de TFM_Run_All: TEC-009 ya incluye TCP controlada.</x:v>
      </x:c>
      <x:c r="G6" s="39"/>
      <x:c r="H6" s="42" t="str">
        <x:v>Ampliada</x:v>
      </x:c>
      <x:c r="I6" s="42" t="n">
        <x:v>6</x:v>
      </x:c>
      <x:c r="J6" s="50" t="n">
        <x:f>I6/14</x:f>
        <x:v>0.42857142857142855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24" hidden="0" customHeight="1">
      <x:c r="A7" s="42" t="str">
        <x:v>Alertas públicas RT validadas</x:v>
      </x:c>
      <x:c r="B7" s="42" t="n">
        <x:v>2</x:v>
      </x:c>
      <x:c r="C7" s="42" t="str">
        <x:v>Hayabusa.Monitoring genérica + ServiceCreation precisa</x:v>
      </x:c>
      <x:c r="D7" s="39"/>
      <x:c r="E7" s="42" t="str">
        <x:v>3</x:v>
      </x:c>
      <x:c r="F7" s="42" t="str">
        <x:v>Confirmar evidencia TEC-009: Sysmon ID 3 / TrackNetwork / Discord si aplica.</x:v>
      </x:c>
      <x:c r="G7" s="39"/>
      <x:c r="H7" s="42" t="str">
        <x:v>Contextual red</x:v>
      </x:c>
      <x:c r="I7" s="42" t="n">
        <x:v>7</x:v>
      </x:c>
      <x:c r="J7" s="50" t="n">
        <x:f>I7/14</x:f>
        <x:v>0.5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24" hidden="0" customHeight="1">
      <x:c r="A8" s="42" t="str">
        <x:v>Custom necesario</x:v>
      </x:c>
      <x:c r="B8" s="42" t="str">
        <x:v>Sí</x:v>
      </x:c>
      <x:c r="C8" s="42" t="str">
        <x:v>Públicos útiles como base, insuficientes para semántica TEC-007/008/009</x:v>
      </x:c>
      <x:c r="D8" s="39"/>
      <x:c r="E8" s="42" t="str">
        <x:v>4</x:v>
      </x:c>
      <x:c r="F8" s="42" t="str">
        <x:v>Cerrar fase pública y pasar a Custom.TFM.HIDS.P4-P1.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15" hidden="0" customHeight="1">
      <x:c r="A9" s="91" t="str">
        <x:v>Cobertura principal /14</x:v>
      </x:c>
      <x:c r="B9" s="92" t="n">
        <x:f>5/14</x:f>
        <x:v>0.35714285714285715</x:v>
      </x:c>
      <x:c r="C9" s="91" t="str">
        <x:v>Execution, Persistence, Discovery, Collection, Impact</x:v>
      </x:c>
      <x:c r="D9" s="39"/>
      <x:c r="E9" s="42" t="str">
        <x:v>5</x:v>
      </x:c>
      <x:c r="F9" s="42" t="str">
        <x:v>Diseñar benchmark B0-B8 por proceso.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15" hidden="0" customHeight="1">
      <x:c r="A10" s="91" t="str">
        <x:v>Cobertura ampliada /14</x:v>
      </x:c>
      <x:c r="B10" s="92" t="n">
        <x:f>6/14</x:f>
        <x:v>0.42857142857142855</x:v>
      </x:c>
      <x:c r="C10" s="91" t="str">
        <x:v>+ Privilege Escalation como táctica secundaria/contextual</x:v>
      </x:c>
      <x:c r="D10" s="39"/>
      <x:c r="E10" s="42" t="str">
        <x:v>6</x:v>
      </x:c>
      <x:c r="F10" s="42" t="str">
        <x:v>Separar evidencia forense de alerta Discord.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15" hidden="0" customHeight="1">
      <x:c r="A11" s="91" t="str">
        <x:v>Cobertura contextual con red /14</x:v>
      </x:c>
      <x:c r="B11" s="92" t="n">
        <x:f>7/14</x:f>
        <x:v>0.5</x:v>
      </x:c>
      <x:c r="C11" s="91" t="str">
        <x:v>+ Exfiltration solo si TEC-009 tiene red externa documentada</x:v>
      </x:c>
      <x:c r="D11" s="39"/>
      <x:c r="E11" s="42"/>
      <x:c r="F11" s="42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24" hidden="0" customHeight="1">
      <x:c r="A12" s="95" t="str">
        <x:v>TEC-009</x:v>
      </x:c>
      <x:c r="B12" s="96" t="str">
        <x:v>TCP real controlada</x:v>
      </x:c>
      <x:c r="C12" s="95" t="str">
        <x:v>Compress-Archive + Copy-Item + TcpClient example.com:80; no transferencia real del ZIP</x:v>
      </x:c>
      <x:c r="D12" s="39"/>
      <x:c r="E12" s="42"/>
      <x:c r="F12" s="42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24" hidden="0" customHeight="1">
      <x:c r="A13" s="42" t="str">
        <x:v>Arquitectura final custom</x:v>
      </x:c>
      <x:c r="B13" s="42" t="str">
        <x:v>4 artifacts</x:v>
      </x:c>
      <x:c r="C13" s="42" t="str">
        <x:v>P4 Low, P3 Medium, P2 High, P1 Critical; sources internas por técnica</x:v>
      </x:c>
      <x:c r="D13" s="39"/>
      <x:c r="E13" s="42"/>
      <x:c r="F13" s="42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  <x:mergeCell ref="A2:L2"/>
  </x:mergeCells>
  <x:conditionalFormatting sqref="A4:C12">
    <x:cfRule type="expression" dxfId="36" priority="1">
      <x:formula>$B5&gt;0</x:formula>
    </x:cfRule>
  </x:conditionalFormatting>
  <x:pageMargins left="0.7" right="0.7" top="0.75" bottom="0.75" header="0.3" footer="0.3"/>
  <x:drawing xmlns:r="http://schemas.openxmlformats.org/officeDocument/2006/relationships" r:id="Rc01a7500d7b94c25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18" hidden="0" customWidth="1"/>
    <x:col min="5" max="5" width="34" hidden="0" customWidth="1"/>
    <x:col min="6" max="6" width="44" hidden="0" customWidth="1"/>
    <x:col min="7" max="7" width="56" hidden="0" customWidth="1"/>
    <x:col min="8" max="8" width="42" hidden="0" customWidth="1"/>
    <x:col min="9" max="9" width="16" hidden="0" customWidth="1"/>
    <x:col min="10" max="10" width="56" hidden="0" customWidth="1"/>
  </x:cols>
  <x:sheetData>
    <x:row r="1" ht="30" customHeight="1">
      <x:c r="A1" s="78" t="str">
        <x:v>Selección de técnicas MITRE evaluadas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82" t="str">
        <x:v>Técnicas TEC-001 a TEC-009, cobertura táctica y evidencia host-based esperada.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88" t="str">
        <x:v>TEC</x:v>
      </x:c>
      <x:c r="B4" s="88" t="str">
        <x:v>MITRE_ID</x:v>
      </x:c>
      <x:c r="C4" s="88" t="str">
        <x:v>Técnica MITRE</x:v>
      </x:c>
      <x:c r="D4" s="88" t="str">
        <x:v>Táctica principal</x:v>
      </x:c>
      <x:c r="E4" s="88" t="str">
        <x:v>Tácticas secundarias/contextuales</x:v>
      </x:c>
      <x:c r="F4" s="88" t="str">
        <x:v>Procedimiento controlado</x:v>
      </x:c>
      <x:c r="G4" s="88" t="str">
        <x:v>Evidencia esperada</x:v>
      </x:c>
      <x:c r="H4" s="88" t="str">
        <x:v>Artifacts públicos candidatos</x:v>
      </x:c>
      <x:c r="I4" s="88" t="str">
        <x:v>Custom esperado</x:v>
      </x:c>
      <x:c r="J4" s="88" t="str">
        <x:v>Notas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TEC-001</x:v>
      </x:c>
      <x:c r="B5" s="42" t="str">
        <x:v>T1059.001</x:v>
      </x:c>
      <x:c r="C5" s="42" t="str">
        <x:v>PowerShell</x:v>
      </x:c>
      <x:c r="D5" s="42" t="str">
        <x:v>Execution</x:v>
      </x:c>
      <x:c r="E5" s="42" t="str"/>
      <x:c r="F5" s="42" t="str">
        <x:v>PowerShell con -NoProfile / -ExecutionPolicy Bypass</x:v>
      </x:c>
      <x:c r="G5" s="42" t="str">
        <x:v>Sysmon ID 1; ProcessCreation; 4104 si aplica</x:v>
      </x:c>
      <x:c r="H5" s="42" t="str">
        <x:v>ProcessCreation; Hayabusa.Rules; Hayabusa.Monitoring</x:v>
      </x:c>
      <x:c r="I5" s="42" t="str">
        <x:v>Parcial</x:v>
      </x:c>
      <x:c r="J5" s="42" t="str">
        <x:v>Públicos deberían ver proceso; custom mejora severidad y campos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TEC-002</x:v>
      </x:c>
      <x:c r="B6" s="42" t="str">
        <x:v>T1059.003</x:v>
      </x:c>
      <x:c r="C6" s="42" t="str">
        <x:v>Windows Command Shell</x:v>
      </x:c>
      <x:c r="D6" s="42" t="str">
        <x:v>Execution</x:v>
      </x:c>
      <x:c r="E6" s="42" t="str"/>
      <x:c r="F6" s="42" t="str">
        <x:v>cmd.exe /c con comandos dual-use</x:v>
      </x:c>
      <x:c r="G6" s="42" t="str">
        <x:v>Sysmon ID 1; ProcessCreation</x:v>
      </x:c>
      <x:c r="H6" s="42" t="str">
        <x:v>ProcessCreation; Hayabusa.*</x:v>
      </x:c>
      <x:c r="I6" s="42" t="str">
        <x:v>Parcial</x:v>
      </x:c>
      <x:c r="J6" s="42" t="str">
        <x:v>Públicos ven proceso, no siempre intención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TEC-003</x:v>
      </x:c>
      <x:c r="B7" s="42" t="str">
        <x:v>T1053.005</x:v>
      </x:c>
      <x:c r="C7" s="42" t="str">
        <x:v>Scheduled Task</x:v>
      </x:c>
      <x:c r="D7" s="42" t="str">
        <x:v>Execution</x:v>
      </x:c>
      <x:c r="E7" s="42" t="str">
        <x:v>Persistence; Privilege Escalation</x:v>
      </x:c>
      <x:c r="F7" s="42" t="str">
        <x:v>schtasks /create /run /delete</x:v>
      </x:c>
      <x:c r="G7" s="42" t="str">
        <x:v>ProcessCreation; TaskScheduler; logs de tarea</x:v>
      </x:c>
      <x:c r="H7" s="42" t="str">
        <x:v>ProcessCreation; Hayabusa.*; TaskScheduler; Persistence Pack</x:v>
      </x:c>
      <x:c r="I7" s="42" t="str">
        <x:v>Parcial</x:v>
      </x:c>
      <x:c r="J7" s="42" t="str">
        <x:v>Diferenciar operación admin vs persistencia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TEC-004</x:v>
      </x:c>
      <x:c r="B8" s="42" t="str">
        <x:v>T1547.001</x:v>
      </x:c>
      <x:c r="C8" s="42" t="str">
        <x:v>Registry Run Keys / Startup Folder</x:v>
      </x:c>
      <x:c r="D8" s="42" t="str">
        <x:v>Persistence</x:v>
      </x:c>
      <x:c r="E8" s="42" t="str">
        <x:v>Privilege Escalation</x:v>
      </x:c>
      <x:c r="F8" s="42" t="str">
        <x:v>reg add/delete sobre Run/RunOnce</x:v>
      </x:c>
      <x:c r="G8" s="42" t="str">
        <x:v>Sysmon 12/13/14; StartupItems; Autoruns</x:v>
      </x:c>
      <x:c r="H8" s="42" t="str">
        <x:v>StartupItems; Autoruns; Hayabusa.*; SysmonLogForward</x:v>
      </x:c>
      <x:c r="I8" s="42" t="str">
        <x:v>Sí</x:v>
      </x:c>
      <x:c r="J8" s="42" t="str">
        <x:v>La evidencia post-ejecución puede desaparecer si se borra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TEC-005</x:v>
      </x:c>
      <x:c r="B9" s="42" t="str">
        <x:v>T1569.002</x:v>
      </x:c>
      <x:c r="C9" s="42" t="str">
        <x:v>Service Execution</x:v>
      </x:c>
      <x:c r="D9" s="42" t="str">
        <x:v>Execution</x:v>
      </x:c>
      <x:c r="E9" s="42" t="str"/>
      <x:c r="F9" s="42" t="str">
        <x:v>sc create/start/delete servicio temporal</x:v>
      </x:c>
      <x:c r="G9" s="42" t="str">
        <x:v>Event ID 7045; ServiceCreation; ProcessCreation</x:v>
      </x:c>
      <x:c r="H9" s="42" t="str">
        <x:v>ServiceCreation; ProcessCreation; Hayabusa.*; Services</x:v>
      </x:c>
      <x:c r="I9" s="42" t="str">
        <x:v>Parcial</x:v>
      </x:c>
      <x:c r="J9" s="42" t="str">
        <x:v>ServiceCreation ya ha detectado 7045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TEC-006</x:v>
      </x:c>
      <x:c r="B10" s="42" t="str">
        <x:v>T1518.001</x:v>
      </x:c>
      <x:c r="C10" s="42" t="str">
        <x:v>Security Software Discovery</x:v>
      </x:c>
      <x:c r="D10" s="42" t="str">
        <x:v>Discovery</x:v>
      </x:c>
      <x:c r="E10" s="42" t="str"/>
      <x:c r="F10" s="42" t="str">
        <x:v>Get-CimInstance root\SecurityCenter2 / AntivirusProduct</x:v>
      </x:c>
      <x:c r="G10" s="42" t="str">
        <x:v>ProcessCreation; 4104; CommandLine</x:v>
      </x:c>
      <x:c r="H10" s="42" t="str">
        <x:v>ProcessCreation; Hayabusa.*</x:v>
      </x:c>
      <x:c r="I10" s="42" t="str">
        <x:v>Sí</x:v>
      </x:c>
      <x:c r="J10" s="42" t="str">
        <x:v>Puede requerir 4104 para contexto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TEC-007</x:v>
      </x:c>
      <x:c r="B11" s="42" t="str">
        <x:v>T1486</x:v>
      </x:c>
      <x:c r="C11" s="42" t="str">
        <x:v>Data Encrypted for Impact</x:v>
      </x:c>
      <x:c r="D11" s="42" t="str">
        <x:v>Impact</x:v>
      </x:c>
      <x:c r="E11" s="42" t="str"/>
      <x:c r="F11" s="42" t="str">
        <x:v>cifrado controlado de ficheros</x:v>
      </x:c>
      <x:c r="G11" s="42" t="str">
        <x:v>4104 crypto; Sysmon ID 11; extensiones .aes/.locked</x:v>
      </x:c>
      <x:c r="H11" s="42" t="str">
        <x:v>Hayabusa.* parcial; SysmonLogForward</x:v>
      </x:c>
      <x:c r="I11" s="42" t="str">
        <x:v>Sí</x:v>
      </x:c>
      <x:c r="J11" s="42" t="str">
        <x:v>Necesita lógica de umbral y crypto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TEC-008</x:v>
      </x:c>
      <x:c r="B12" s="42" t="str">
        <x:v>T1485</x:v>
      </x:c>
      <x:c r="C12" s="42" t="str">
        <x:v>Data Destruction</x:v>
      </x:c>
      <x:c r="D12" s="42" t="str">
        <x:v>Impact</x:v>
      </x:c>
      <x:c r="E12" s="42"/>
      <x:c r="F12" s="42" t="str">
        <x:v>sabotaje.ps1: borrado masivo controlado dentro de DUMB_LAB</x:v>
      </x:c>
      <x:c r="G12" s="42" t="str">
        <x:v>PowerShell 4104: Get-ChildItem + Remove-Item + ForEach-Object; Sysmon ID 26 como evidencia forense</x:v>
      </x:c>
      <x:c r="H12" s="42" t="str">
        <x:v>Hayabusa.* parcial; SysmonLogForward; ProcessCreation</x:v>
      </x:c>
      <x:c r="I12" s="42" t="str">
        <x:v>Sí</x:v>
      </x:c>
      <x:c r="J12" s="42" t="str">
        <x:v>Corregir cabecera del script: aparece TEC-009, debe ser TEC-008. ID26 no debe ir a Discord por fichero.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TEC-009</x:v>
      </x:c>
      <x:c r="B13" s="42" t="str">
        <x:v>T1074.001 / T1560.001</x:v>
      </x:c>
      <x:c r="C13" s="42" t="str">
        <x:v>Local Data Staging / Archive Collected Data</x:v>
      </x:c>
      <x:c r="D13" s="42" t="str">
        <x:v>Collection</x:v>
      </x:c>
      <x:c r="E13" s="42" t="str">
        <x:v>Exfiltration contextual solo si hay red externa documentada</x:v>
      </x:c>
      <x:c r="F13" s="42" t="str">
        <x:v>exfiltracion.ps1: Compress-Archive + Copy-Item + TcpClient example.com:80 durante 20 s</x:v>
      </x:c>
      <x:c r="G13" s="42" t="str">
        <x:v>4104: Compress-Archive/Copy-Item/TcpClient; Sysmon ID 11 ZIP; Sysmon ID 3 powershell.exe -&gt; example.com:80; TrackNetworkConnections</x:v>
      </x:c>
      <x:c r="H13" s="42" t="str">
        <x:v>Hayabusa.* parcial; SysmonLogForward; Generic.Events.TrackNetworkConnections</x:v>
      </x:c>
      <x:c r="I13" s="42" t="str">
        <x:v>Sí</x:v>
      </x:c>
      <x:c r="J13" s="42" t="str">
        <x:v>Hay conexión TCP externa real controlada, pero no se transfiere el ZIP ni datos reales. T1020/T1041 solo contextual.</x:v>
      </x:c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2ec181e1bff4f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34" hidden="0" customWidth="1"/>
    <x:col min="6" max="6" width="32" hidden="0" customWidth="1"/>
    <x:col min="7" max="7" width="18" hidden="0" customWidth="1"/>
    <x:col min="8" max="8" width="24" hidden="0" customWidth="1"/>
    <x:col min="9" max="9" width="20" hidden="0" customWidth="1"/>
    <x:col min="10" max="10" width="14" hidden="0" customWidth="1"/>
    <x:col min="11" max="11" width="34" hidden="0" customWidth="1"/>
    <x:col min="12" max="12" width="55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42" hidden="0" customWidth="1"/>
    <x:col min="18" max="18" width="20" hidden="0" customWidth="1"/>
    <x:col min="19" max="19" width="35" hidden="0" customWidth="1"/>
  </x:cols>
  <x:sheetData>
    <x:row r="1" ht="30" customHeight="1">
      <x:c r="A1" s="52" t="str">
        <x:v>Evaluación VR · resultados consolidados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Hoja maestra para registrar la evaluación final de Velociraptor: detección, evidencia, falsos positivos y decisión custom.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ID_Prueba</x:v>
      </x:c>
      <x:c r="B4" s="41" t="str">
        <x:v>ID_Interna</x:v>
      </x:c>
      <x:c r="C4" s="41" t="str">
        <x:v>MITRE</x:v>
      </x:c>
      <x:c r="D4" s="41" t="str">
        <x:v>Táctica</x:v>
      </x:c>
      <x:c r="E4" s="41" t="str">
        <x:v>Escenario_Prueba</x:v>
      </x:c>
      <x:c r="F4" s="41" t="str">
        <x:v>Artifact_Usado</x:v>
      </x:c>
      <x:c r="G4" s="41" t="str">
        <x:v>Tipo_Artifact</x:v>
      </x:c>
      <x:c r="H4" s="41" t="str">
        <x:v>Modo</x:v>
      </x:c>
      <x:c r="I4" s="41" t="str">
        <x:v>Resultado_Detección</x:v>
      </x:c>
      <x:c r="J4" s="41" t="str">
        <x:v>Ground_Truth</x:v>
      </x:c>
      <x:c r="K4" s="41" t="str">
        <x:v>Fuente_Evidencia</x:v>
      </x:c>
      <x:c r="L4" s="41" t="str">
        <x:v>Evidencia_Host_Observada</x:v>
      </x:c>
      <x:c r="M4" s="41" t="str">
        <x:v>Discord</x:v>
      </x:c>
      <x:c r="N4" s="41" t="str">
        <x:v>FP_Risk</x:v>
      </x:c>
      <x:c r="O4" s="41" t="str">
        <x:v>Consumo_Estimado</x:v>
      </x:c>
      <x:c r="P4" s="41" t="str">
        <x:v>Custom_Necesario</x:v>
      </x:c>
      <x:c r="Q4" s="41" t="str">
        <x:v>Conclusión_Técnica</x:v>
      </x:c>
      <x:c r="R4" s="41" t="str">
        <x:v>Captura/Referencia</x:v>
      </x:c>
      <x:c r="S4" s="41" t="str">
        <x:v>Notas</x:v>
      </x:c>
      <x:c r="T4" s="39"/>
      <x:c r="U4" s="39"/>
      <x:c r="V4" s="39"/>
      <x:c r="W4" s="39"/>
      <x:c r="X4" s="39"/>
      <x:c r="Y4" s="39"/>
      <x:c r="Z4" s="39"/>
    </x:row>
    <x:row r="5">
      <x:c r="A5" s="42" t="str">
        <x:v>VR-001</x:v>
      </x:c>
      <x:c r="B5" s="42" t="str">
        <x:v>TEC-001</x:v>
      </x:c>
      <x:c r="C5" s="42" t="str">
        <x:v>T1059.001</x:v>
      </x:c>
      <x:c r="D5" s="42" t="str">
        <x:v>Execution</x:v>
      </x:c>
      <x:c r="E5" s="42" t="str">
        <x:v>Evaluación PowerShell</x:v>
      </x:c>
      <x:c r="F5" s="42" t="str">
        <x:v>Artifacts públicos + custom pendiente</x:v>
      </x:c>
      <x:c r="G5" s="42" t="str">
        <x:v>Público/Custom</x:v>
      </x:c>
      <x:c r="H5" s="42" t="str">
        <x:v>Client Monitoring / Hunt</x:v>
      </x:c>
      <x:c r="I5" s="42" t="str">
        <x:v>Detectado básico</x:v>
      </x:c>
      <x:c r="J5" s="42" t="str">
        <x:v>Positivo</x:v>
      </x:c>
      <x:c r="K5" s="42" t="str">
        <x:v>Windows Event Logs / Sysmon / Velociraptor</x:v>
      </x:c>
      <x:c r="L5" s="42" t="str">
        <x:v>Windows.Events.ProcessCreation observó proceso asociado</x:v>
      </x:c>
      <x:c r="M5" s="42" t="str">
        <x:v>Pendiente</x:v>
      </x:c>
      <x:c r="N5" s="42" t="str">
        <x:v>Pendiente</x:v>
      </x:c>
      <x:c r="O5" s="42" t="str">
        <x:v>Pendiente benchmark</x:v>
      </x:c>
      <x:c r="P5" s="42" t="str">
        <x:v>Pendiente</x:v>
      </x:c>
      <x:c r="Q5" s="42" t="str">
        <x:v>Cerrar comparación pública antes de custom</x:v>
      </x:c>
      <x:c r="R5" s="42" t="str"/>
      <x:c r="S5" s="42" t="str"/>
      <x:c r="T5" s="39"/>
      <x:c r="U5" s="39"/>
      <x:c r="V5" s="39"/>
      <x:c r="W5" s="39"/>
      <x:c r="X5" s="39"/>
      <x:c r="Y5" s="39"/>
      <x:c r="Z5" s="39"/>
    </x:row>
    <x:row r="6">
      <x:c r="A6" s="42" t="str">
        <x:v>VR-002</x:v>
      </x:c>
      <x:c r="B6" s="42" t="str">
        <x:v>TEC-002</x:v>
      </x:c>
      <x:c r="C6" s="42" t="str">
        <x:v>T1059.003</x:v>
      </x:c>
      <x:c r="D6" s="42" t="str">
        <x:v>Execution</x:v>
      </x:c>
      <x:c r="E6" s="42" t="str">
        <x:v>Evaluación Windows Command Shell</x:v>
      </x:c>
      <x:c r="F6" s="42" t="str">
        <x:v>Artifacts públicos + custom pendiente</x:v>
      </x:c>
      <x:c r="G6" s="42" t="str">
        <x:v>Público/Custom</x:v>
      </x:c>
      <x:c r="H6" s="42" t="str">
        <x:v>Client Monitoring / Hunt</x:v>
      </x:c>
      <x:c r="I6" s="42" t="str">
        <x:v>Detectado básico</x:v>
      </x:c>
      <x:c r="J6" s="42" t="str">
        <x:v>Positivo</x:v>
      </x:c>
      <x:c r="K6" s="42" t="str">
        <x:v>Windows Event Logs / Sysmon / Velociraptor</x:v>
      </x:c>
      <x:c r="L6" s="42" t="str">
        <x:v>Windows.Events.ProcessCreation observó proceso asociado</x:v>
      </x:c>
      <x:c r="M6" s="42" t="str">
        <x:v>Pendiente</x:v>
      </x:c>
      <x:c r="N6" s="42" t="str">
        <x:v>Pendiente</x:v>
      </x:c>
      <x:c r="O6" s="42" t="str">
        <x:v>Pendiente benchmark</x:v>
      </x:c>
      <x:c r="P6" s="42" t="str">
        <x:v>Pendiente</x:v>
      </x:c>
      <x:c r="Q6" s="42" t="str">
        <x:v>Cerrar comparación pública antes de custom</x:v>
      </x:c>
      <x:c r="R6" s="42" t="str"/>
      <x:c r="S6" s="42" t="str"/>
      <x:c r="T6" s="39"/>
      <x:c r="U6" s="39"/>
      <x:c r="V6" s="39"/>
      <x:c r="W6" s="39"/>
      <x:c r="X6" s="39"/>
      <x:c r="Y6" s="39"/>
      <x:c r="Z6" s="39"/>
    </x:row>
    <x:row r="7">
      <x:c r="A7" s="42" t="str">
        <x:v>VR-003</x:v>
      </x:c>
      <x:c r="B7" s="42" t="str">
        <x:v>TEC-003</x:v>
      </x:c>
      <x:c r="C7" s="42" t="str">
        <x:v>T1053.005</x:v>
      </x:c>
      <x:c r="D7" s="42" t="str">
        <x:v>Execution</x:v>
      </x:c>
      <x:c r="E7" s="42" t="str">
        <x:v>Evaluación Scheduled Task</x:v>
      </x:c>
      <x:c r="F7" s="42" t="str">
        <x:v>Artifacts públicos + custom pendiente</x:v>
      </x:c>
      <x:c r="G7" s="42" t="str">
        <x:v>Público/Custom</x:v>
      </x:c>
      <x:c r="H7" s="42" t="str">
        <x:v>Client Monitoring / Hunt</x:v>
      </x:c>
      <x:c r="I7" s="42" t="str">
        <x:v>Detectado básico</x:v>
      </x:c>
      <x:c r="J7" s="42" t="str">
        <x:v>Positivo</x:v>
      </x:c>
      <x:c r="K7" s="42" t="str">
        <x:v>Windows Event Logs / Sysmon / Velociraptor</x:v>
      </x:c>
      <x:c r="L7" s="42" t="str">
        <x:v>Windows.Events.ProcessCreation observó proceso asociado</x:v>
      </x:c>
      <x:c r="M7" s="42" t="str">
        <x:v>Pendiente</x:v>
      </x:c>
      <x:c r="N7" s="42" t="str">
        <x:v>Pendiente</x:v>
      </x:c>
      <x:c r="O7" s="42" t="str">
        <x:v>Pendiente benchmark</x:v>
      </x:c>
      <x:c r="P7" s="42" t="str">
        <x:v>Pendiente</x:v>
      </x:c>
      <x:c r="Q7" s="42" t="str">
        <x:v>Cerrar comparación pública antes de custom</x:v>
      </x:c>
      <x:c r="R7" s="42" t="str"/>
      <x:c r="S7" s="42" t="str"/>
      <x:c r="T7" s="39"/>
      <x:c r="U7" s="39"/>
      <x:c r="V7" s="39"/>
      <x:c r="W7" s="39"/>
      <x:c r="X7" s="39"/>
      <x:c r="Y7" s="39"/>
      <x:c r="Z7" s="39"/>
    </x:row>
    <x:row r="8">
      <x:c r="A8" s="42" t="str">
        <x:v>VR-004</x:v>
      </x:c>
      <x:c r="B8" s="42" t="str">
        <x:v>TEC-004</x:v>
      </x:c>
      <x:c r="C8" s="42" t="str">
        <x:v>T1547.001</x:v>
      </x:c>
      <x:c r="D8" s="42" t="str">
        <x:v>Persistence</x:v>
      </x:c>
      <x:c r="E8" s="42" t="str">
        <x:v>Evaluación Registry Run Keys / Startup Folder</x:v>
      </x:c>
      <x:c r="F8" s="42" t="str">
        <x:v>Artifacts públicos + custom pendiente</x:v>
      </x:c>
      <x:c r="G8" s="42" t="str">
        <x:v>Público/Custom</x:v>
      </x:c>
      <x:c r="H8" s="42" t="str">
        <x:v>Client Monitoring / Hunt</x:v>
      </x:c>
      <x:c r="I8" s="42" t="str">
        <x:v>Pendiente cierre público</x:v>
      </x:c>
      <x:c r="J8" s="42" t="str">
        <x:v>Positivo</x:v>
      </x:c>
      <x:c r="K8" s="42" t="str">
        <x:v>Windows Event Logs / Sysmon / Velociraptor</x:v>
      </x:c>
      <x:c r="L8" s="42" t="str">
        <x:v>Ver 04_Control_Publicos y 05_Matriz_Resultados</x:v>
      </x:c>
      <x:c r="M8" s="42" t="str">
        <x:v>Pendiente</x:v>
      </x:c>
      <x:c r="N8" s="42" t="str">
        <x:v>Pendiente</x:v>
      </x:c>
      <x:c r="O8" s="42" t="str">
        <x:v>Pendiente benchmark</x:v>
      </x:c>
      <x:c r="P8" s="42" t="str">
        <x:v>Pendiente</x:v>
      </x:c>
      <x:c r="Q8" s="42" t="str">
        <x:v>Cerrar comparación pública antes de custom</x:v>
      </x:c>
      <x:c r="R8" s="42" t="str"/>
      <x:c r="S8" s="42" t="str"/>
      <x:c r="T8" s="39"/>
      <x:c r="U8" s="39"/>
      <x:c r="V8" s="39"/>
      <x:c r="W8" s="39"/>
      <x:c r="X8" s="39"/>
      <x:c r="Y8" s="39"/>
      <x:c r="Z8" s="39"/>
    </x:row>
    <x:row r="9">
      <x:c r="A9" s="42" t="str">
        <x:v>VR-005</x:v>
      </x:c>
      <x:c r="B9" s="42" t="str">
        <x:v>TEC-005</x:v>
      </x:c>
      <x:c r="C9" s="42" t="str">
        <x:v>T1569.002</x:v>
      </x:c>
      <x:c r="D9" s="42" t="str">
        <x:v>Execution</x:v>
      </x:c>
      <x:c r="E9" s="42" t="str">
        <x:v>Evaluación Service Execution</x:v>
      </x:c>
      <x:c r="F9" s="42" t="str">
        <x:v>Artifacts públicos + custom pendiente</x:v>
      </x:c>
      <x:c r="G9" s="42" t="str">
        <x:v>Público/Custom</x:v>
      </x:c>
      <x:c r="H9" s="42" t="str">
        <x:v>Client Monitoring / Hunt</x:v>
      </x:c>
      <x:c r="I9" s="42" t="str">
        <x:v>Detectado</x:v>
      </x:c>
      <x:c r="J9" s="42" t="str">
        <x:v>Positivo</x:v>
      </x:c>
      <x:c r="K9" s="42" t="str">
        <x:v>Windows Event Logs / Sysmon / Velociraptor</x:v>
      </x:c>
      <x:c r="L9" s="42" t="str">
        <x:v>Windows.Events.ServiceCreation detectó EventID 7045 con ServiceName e ImagePath</x:v>
      </x:c>
      <x:c r="M9" s="42" t="str">
        <x:v>Pendiente</x:v>
      </x:c>
      <x:c r="N9" s="42" t="str">
        <x:v>Pendiente</x:v>
      </x:c>
      <x:c r="O9" s="42" t="str">
        <x:v>Pendiente benchmark</x:v>
      </x:c>
      <x:c r="P9" s="42" t="str">
        <x:v>Pendiente</x:v>
      </x:c>
      <x:c r="Q9" s="42" t="str">
        <x:v>Cerrar comparación pública antes de custom</x:v>
      </x:c>
      <x:c r="R9" s="42" t="str"/>
      <x:c r="S9" s="42" t="str"/>
      <x:c r="T9" s="39"/>
      <x:c r="U9" s="39"/>
      <x:c r="V9" s="39"/>
      <x:c r="W9" s="39"/>
      <x:c r="X9" s="39"/>
      <x:c r="Y9" s="39"/>
      <x:c r="Z9" s="39"/>
    </x:row>
    <x:row r="10">
      <x:c r="A10" s="42" t="str">
        <x:v>VR-006</x:v>
      </x:c>
      <x:c r="B10" s="42" t="str">
        <x:v>TEC-006</x:v>
      </x:c>
      <x:c r="C10" s="42" t="str">
        <x:v>T1518.001</x:v>
      </x:c>
      <x:c r="D10" s="42" t="str">
        <x:v>Discovery</x:v>
      </x:c>
      <x:c r="E10" s="42" t="str">
        <x:v>Evaluación Security Software Discovery</x:v>
      </x:c>
      <x:c r="F10" s="42" t="str">
        <x:v>Artifacts públicos + custom pendiente</x:v>
      </x:c>
      <x:c r="G10" s="42" t="str">
        <x:v>Público/Custom</x:v>
      </x:c>
      <x:c r="H10" s="42" t="str">
        <x:v>Client Monitoring / Hunt</x:v>
      </x:c>
      <x:c r="I10" s="42" t="str">
        <x:v>Pendiente cierre público</x:v>
      </x:c>
      <x:c r="J10" s="42" t="str">
        <x:v>Positivo</x:v>
      </x:c>
      <x:c r="K10" s="42" t="str">
        <x:v>Windows Event Logs / Sysmon / Velociraptor</x:v>
      </x:c>
      <x:c r="L10" s="42" t="str">
        <x:v>Ver 04_Control_Publicos y 05_Matriz_Resultados</x:v>
      </x:c>
      <x:c r="M10" s="42" t="str">
        <x:v>Pendiente</x:v>
      </x:c>
      <x:c r="N10" s="42" t="str">
        <x:v>Pendiente</x:v>
      </x:c>
      <x:c r="O10" s="42" t="str">
        <x:v>Pendiente benchmark</x:v>
      </x:c>
      <x:c r="P10" s="42" t="str">
        <x:v>Pendiente</x:v>
      </x:c>
      <x:c r="Q10" s="42" t="str">
        <x:v>Cerrar comparación pública antes de custom</x:v>
      </x:c>
      <x:c r="R10" s="42" t="str"/>
      <x:c r="S10" s="42" t="str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VR-007</x:v>
      </x:c>
      <x:c r="B11" s="42" t="str">
        <x:v>TEC-007</x:v>
      </x:c>
      <x:c r="C11" s="42" t="str">
        <x:v>T1486</x:v>
      </x:c>
      <x:c r="D11" s="42" t="str">
        <x:v>Impact</x:v>
      </x:c>
      <x:c r="E11" s="42" t="str">
        <x:v>Evaluación Data Encrypted for Impact</x:v>
      </x:c>
      <x:c r="F11" s="42" t="str">
        <x:v>Artifacts públicos + custom pendiente</x:v>
      </x:c>
      <x:c r="G11" s="42" t="str">
        <x:v>Público/Custom</x:v>
      </x:c>
      <x:c r="H11" s="42" t="str">
        <x:v>Client Monitoring / Hunt</x:v>
      </x:c>
      <x:c r="I11" s="42" t="str">
        <x:v>Detectado parcialmente</x:v>
      </x:c>
      <x:c r="J11" s="42" t="str">
        <x:v>Positivo</x:v>
      </x:c>
      <x:c r="K11" s="42" t="str">
        <x:v>Windows Event Logs / Sysmon / Velociraptor</x:v>
      </x:c>
      <x:c r="L11" s="42" t="str">
        <x:v>Ver 04_Control_Publicos y 05_Matriz_Resultados</x:v>
      </x:c>
      <x:c r="M11" s="42" t="str">
        <x:v>Pendiente</x:v>
      </x:c>
      <x:c r="N11" s="42" t="str">
        <x:v>Pendiente</x:v>
      </x:c>
      <x:c r="O11" s="42" t="str">
        <x:v>Pendiente benchmark</x:v>
      </x:c>
      <x:c r="P11" s="42" t="str">
        <x:v>Sí</x:v>
      </x:c>
      <x:c r="Q11" s="42" t="str">
        <x:v>Cerrar comparación pública antes de custom</x:v>
      </x:c>
      <x:c r="R11" s="42" t="str"/>
      <x:c r="S11" s="42" t="str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VR-008</x:v>
      </x:c>
      <x:c r="B12" s="42" t="str">
        <x:v>TEC-008</x:v>
      </x:c>
      <x:c r="C12" s="42" t="str">
        <x:v>T1485</x:v>
      </x:c>
      <x:c r="D12" s="42" t="str">
        <x:v>Impact</x:v>
      </x:c>
      <x:c r="E12" s="42" t="str">
        <x:v>Evaluación Data Destruction</x:v>
      </x:c>
      <x:c r="F12" s="42" t="str">
        <x:v>Artifacts públicos + custom pendiente</x:v>
      </x:c>
      <x:c r="G12" s="42" t="str">
        <x:v>Público/Custom</x:v>
      </x:c>
      <x:c r="H12" s="42" t="str">
        <x:v>Client Monitoring / Hunt</x:v>
      </x:c>
      <x:c r="I12" s="42" t="str">
        <x:v>Detectado parcialmente</x:v>
      </x:c>
      <x:c r="J12" s="42" t="str">
        <x:v>Positivo</x:v>
      </x:c>
      <x:c r="K12" s="42" t="str">
        <x:v>Windows Event Logs / Sysmon / Velociraptor</x:v>
      </x:c>
      <x:c r="L12" s="42" t="str">
        <x:v>Ver 04_Control_Publicos y 05_Matriz_Resultados</x:v>
      </x:c>
      <x:c r="M12" s="42" t="str">
        <x:v>Pendiente</x:v>
      </x:c>
      <x:c r="N12" s="42" t="str">
        <x:v>Pendiente</x:v>
      </x:c>
      <x:c r="O12" s="42" t="str">
        <x:v>Pendiente benchmark</x:v>
      </x:c>
      <x:c r="P12" s="42" t="str">
        <x:v>Sí</x:v>
      </x:c>
      <x:c r="Q12" s="42" t="str">
        <x:v>Cerrar comparación pública antes de custom</x:v>
      </x:c>
      <x:c r="R12" s="42" t="str"/>
      <x:c r="S12" s="42" t="str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VR-009</x:v>
      </x:c>
      <x:c r="B13" s="42" t="str">
        <x:v>TEC-009</x:v>
      </x:c>
      <x:c r="C13" s="42" t="str">
        <x:v>T1074.001 / T1560.001</x:v>
      </x:c>
      <x:c r="D13" s="42" t="str">
        <x:v>Collection</x:v>
      </x:c>
      <x:c r="E13" s="42" t="str">
        <x:v>Evaluación Staging / Archive Collected Data</x:v>
      </x:c>
      <x:c r="F13" s="42" t="str">
        <x:v>Artifacts públicos + custom pendiente</x:v>
      </x:c>
      <x:c r="G13" s="42" t="str">
        <x:v>Público/Custom</x:v>
      </x:c>
      <x:c r="H13" s="42" t="str">
        <x:v>Client Monitoring / Hunt</x:v>
      </x:c>
      <x:c r="I13" s="42" t="str">
        <x:v>Detectado parcialmente</x:v>
      </x:c>
      <x:c r="J13" s="42" t="str">
        <x:v>Positivo</x:v>
      </x:c>
      <x:c r="K13" s="42" t="str">
        <x:v>Windows Event Logs / Sysmon / Velociraptor</x:v>
      </x:c>
      <x:c r="L13" s="42" t="str">
        <x:v>Ver 04_Control_Publicos y 05_Matriz_Resultados</x:v>
      </x:c>
      <x:c r="M13" s="42" t="str">
        <x:v>Pendiente</x:v>
      </x:c>
      <x:c r="N13" s="42" t="str">
        <x:v>Pendiente</x:v>
      </x:c>
      <x:c r="O13" s="42" t="str">
        <x:v>Pendiente benchmark</x:v>
      </x:c>
      <x:c r="P13" s="42" t="str">
        <x:v>Sí</x:v>
      </x:c>
      <x:c r="Q13" s="42" t="str">
        <x:v>Cerrar comparación pública antes de custom</x:v>
      </x:c>
      <x:c r="R13" s="42" t="str"/>
      <x:c r="S13" s="42" t="str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039e64a50c947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32" hidden="0" customWidth="1"/>
    <x:col min="6" max="6" width="16" hidden="0" customWidth="1"/>
    <x:col min="7" max="7" width="22" hidden="0" customWidth="1"/>
    <x:col min="8" max="8" width="12" hidden="0" customWidth="1"/>
    <x:col min="9" max="9" width="18" hidden="0" customWidth="1"/>
    <x:col min="10" max="10" width="18" hidden="0" customWidth="1"/>
    <x:col min="11" max="11" width="36" hidden="0" customWidth="1"/>
    <x:col min="12" max="12" width="34" hidden="0" customWidth="1"/>
    <x:col min="13" max="13" width="48" hidden="0" customWidth="1"/>
    <x:col min="14" max="14" width="12" hidden="0" customWidth="1"/>
    <x:col min="15" max="15" width="32" hidden="0" customWidth="1"/>
    <x:col min="16" max="16" width="14" hidden="0" customWidth="1"/>
    <x:col min="17" max="17" width="20" hidden="0" customWidth="1"/>
    <x:col min="18" max="18" width="48" hidden="0" customWidth="1"/>
    <x:col min="19" max="19" width="14" hidden="0" customWidth="1"/>
    <x:col min="20" max="20" width="18" hidden="0" customWidth="1"/>
    <x:col min="21" max="21" width="14" hidden="0" customWidth="1"/>
    <x:col min="22" max="22" width="14" hidden="0" customWidth="1"/>
    <x:col min="23" max="23" width="18" hidden="0" customWidth="1"/>
    <x:col min="24" max="24" width="42" hidden="0" customWidth="1"/>
    <x:col min="25" max="25" width="14" hidden="0" customWidth="1"/>
    <x:col min="26" max="26" width="18" hidden="0" customWidth="1"/>
    <x:col min="27" max="27" width="14" hidden="0" customWidth="1"/>
    <x:col min="28" max="28" width="24" hidden="0" customWidth="1"/>
    <x:col min="29" max="29" width="16" hidden="0" customWidth="1"/>
    <x:col min="30" max="30" width="36" hidden="0" customWidth="1"/>
    <x:col min="31" max="31" width="42" hidden="0" customWidth="1"/>
  </x:cols>
  <x:sheetData>
    <x:row r="1" ht="30" customHeight="1">
      <x:c r="A1" s="52" t="str">
        <x:v>Control operativo · pruebas de artifacts públicos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Checklist completo para ejecutar artifacts públicos antes de diseñar los artifacts custom P4–P1.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ID_Prueba</x:v>
      </x:c>
      <x:c r="B4" s="41" t="str">
        <x:v>Fase</x:v>
      </x:c>
      <x:c r="C4" s="41" t="str">
        <x:v>Perfil</x:v>
      </x:c>
      <x:c r="D4" s="41" t="str">
        <x:v>Prioridad</x:v>
      </x:c>
      <x:c r="E4" s="41" t="str">
        <x:v>Artifact_Publico</x:v>
      </x:c>
      <x:c r="F4" s="41" t="str">
        <x:v>Modo</x:v>
      </x:c>
      <x:c r="G4" s="41" t="str">
        <x:v>Fuente</x:v>
      </x:c>
      <x:c r="H4" s="41" t="str">
        <x:v>TEC</x:v>
      </x:c>
      <x:c r="I4" s="41" t="str">
        <x:v>MITRE</x:v>
      </x:c>
      <x:c r="J4" s="41" t="str">
        <x:v>Táctica</x:v>
      </x:c>
      <x:c r="K4" s="41" t="str">
        <x:v>Objetivo_Prueba</x:v>
      </x:c>
      <x:c r="L4" s="41" t="str">
        <x:v>Configuración</x:v>
      </x:c>
      <x:c r="M4" s="41" t="str">
        <x:v>Pasos_Validacion</x:v>
      </x:c>
      <x:c r="N4" s="41" t="str">
        <x:v>Resultado</x:v>
      </x:c>
      <x:c r="O4" s="41" t="str">
        <x:v>Regla_Evento</x:v>
      </x:c>
      <x:c r="P4" s="41" t="str">
        <x:v>Severity</x:v>
      </x:c>
      <x:c r="Q4" s="41" t="str">
        <x:v>MITRE_Detectado</x:v>
      </x:c>
      <x:c r="R4" s="41" t="str">
        <x:v>Evidencia</x:v>
      </x:c>
      <x:c r="S4" s="41" t="str">
        <x:v>FP_Risk</x:v>
      </x:c>
      <x:c r="T4" s="41" t="str">
        <x:v>Custom_Necesario</x:v>
      </x:c>
      <x:c r="U4" s="41" t="str">
        <x:v>Estado</x:v>
      </x:c>
      <x:c r="V4" s="41" t="str">
        <x:v>Fecha</x:v>
      </x:c>
      <x:c r="W4" s="41" t="str">
        <x:v>Captura_Log</x:v>
      </x:c>
      <x:c r="X4" s="41" t="str">
        <x:v>Observaciones</x:v>
      </x:c>
      <x:c r="Y4" s="67" t="str">
        <x:v>Visibilidad</x:v>
      </x:c>
      <x:c r="Z4" s="67" t="str">
        <x:v>Detección_Regla</x:v>
      </x:c>
      <x:c r="AA4" s="68" t="str">
        <x:v>Alerta_RT</x:v>
      </x:c>
      <x:c r="AB4" s="68" t="str">
        <x:v>Artifact_Alertante</x:v>
      </x:c>
      <x:c r="AC4" s="68" t="str">
        <x:v>Salida_Externa</x:v>
      </x:c>
      <x:c r="AD4" s="68" t="str">
        <x:v>Veredicto_Alertabilidad</x:v>
      </x:c>
      <x:c r="AE4" s="68" t="str">
        <x:v>Siguiente_Paso</x:v>
      </x:c>
    </x:row>
    <x:row r="5">
      <x:c r="A5" s="42" t="str">
        <x:v>PUB-001</x:v>
      </x:c>
      <x:c r="B5" s="42" t="str">
        <x:v>F1 Built-in básico</x:v>
      </x:c>
      <x:c r="C5" s="42" t="str">
        <x:v>P4 Low</x:v>
      </x:c>
      <x:c r="D5" s="42" t="str">
        <x:v>Obligatorio</x:v>
      </x:c>
      <x:c r="E5" s="42" t="str">
        <x:v>Windows.Events.ProcessCreation</x:v>
      </x:c>
      <x:c r="F5" s="42" t="str">
        <x:v>CLIENT_EVENT</x:v>
      </x:c>
      <x:c r="G5" s="42" t="str">
        <x:v>Process creation</x:v>
      </x:c>
      <x:c r="H5" s="42" t="str">
        <x:v>TEC-001</x:v>
      </x:c>
      <x:c r="I5" s="42" t="str">
        <x:v>T1059.001</x:v>
      </x:c>
      <x:c r="J5" s="42" t="str">
        <x:v>Execution</x:v>
      </x:c>
      <x:c r="K5" s="42" t="str">
        <x:v>Comprobar visibilidad pública de PowerShell sospechoso</x:v>
      </x:c>
      <x:c r="L5" s="42" t="str">
        <x:v>Client Monitoring activo</x:v>
      </x:c>
      <x:c r="M5" s="42" t="str">
        <x:v>Ejecutar técnica y revisar Client Events</x:v>
      </x:c>
      <x:c r="N5" s="42" t="str">
        <x:v>Sí</x:v>
      </x:c>
      <x:c r="O5" s="42" t="str">
        <x:v>ProcessCreation event</x:v>
      </x:c>
      <x:c r="P5" s="42" t="str">
        <x:v>N/A</x:v>
      </x:c>
      <x:c r="Q5" s="42" t="str">
        <x:v>T1059.001</x:v>
      </x:c>
      <x:c r="R5" s="42" t="str">
        <x:v>powershell.exe -NoProfile -ExecutionPolicy Bypass observado</x:v>
      </x:c>
      <x:c r="S5" s="42" t="str">
        <x:v>Bajo</x:v>
      </x:c>
      <x:c r="T5" s="42" t="str">
        <x:v>Pendiente</x:v>
      </x:c>
      <x:c r="U5" s="42" t="str">
        <x:v>Completado</x:v>
      </x:c>
      <x:c r="V5" s="42" t="str"/>
      <x:c r="W5" s="42" t="str"/>
      <x:c r="X5" s="42" t="str"/>
      <x:c r="Y5" s="42"/>
      <x:c r="Z5" s="42"/>
      <x:c r="AA5" s="12"/>
      <x:c r="AB5" s="12"/>
      <x:c r="AC5" s="12"/>
      <x:c r="AD5" s="12"/>
      <x:c r="AE5" s="12"/>
    </x:row>
    <x:row r="6">
      <x:c r="A6" s="42" t="str">
        <x:v>PUB-002</x:v>
      </x:c>
      <x:c r="B6" s="42" t="str">
        <x:v>F1 Built-in básico</x:v>
      </x:c>
      <x:c r="C6" s="42" t="str">
        <x:v>P4 Low</x:v>
      </x:c>
      <x:c r="D6" s="42" t="str">
        <x:v>Obligatorio</x:v>
      </x:c>
      <x:c r="E6" s="42" t="str">
        <x:v>Windows.Events.ProcessCreation</x:v>
      </x:c>
      <x:c r="F6" s="42" t="str">
        <x:v>CLIENT_EVENT</x:v>
      </x:c>
      <x:c r="G6" s="42" t="str">
        <x:v>Process creation</x:v>
      </x:c>
      <x:c r="H6" s="42" t="str">
        <x:v>TEC-002</x:v>
      </x:c>
      <x:c r="I6" s="42" t="str">
        <x:v>T1059.003</x:v>
      </x:c>
      <x:c r="J6" s="42" t="str">
        <x:v>Execution</x:v>
      </x:c>
      <x:c r="K6" s="42" t="str">
        <x:v>Comprobar visibilidad pública de cmd.exe / chaining</x:v>
      </x:c>
      <x:c r="L6" s="42" t="str">
        <x:v>Client Monitoring activo</x:v>
      </x:c>
      <x:c r="M6" s="42" t="str">
        <x:v>Ejecutar técnica y revisar Client Events</x:v>
      </x:c>
      <x:c r="N6" s="42" t="str">
        <x:v>Sí</x:v>
      </x:c>
      <x:c r="O6" s="42" t="str">
        <x:v>ProcessCreation event</x:v>
      </x:c>
      <x:c r="P6" s="42" t="str">
        <x:v>N/A</x:v>
      </x:c>
      <x:c r="Q6" s="42" t="str">
        <x:v>T1059.003</x:v>
      </x:c>
      <x:c r="R6" s="42" t="str">
        <x:v>cmd.exe observado</x:v>
      </x:c>
      <x:c r="S6" s="42" t="str">
        <x:v>Bajo</x:v>
      </x:c>
      <x:c r="T6" s="42" t="str">
        <x:v>Pendiente</x:v>
      </x:c>
      <x:c r="U6" s="42" t="str">
        <x:v>Completado</x:v>
      </x:c>
      <x:c r="V6" s="42" t="str"/>
      <x:c r="W6" s="42" t="str"/>
      <x:c r="X6" s="42" t="str"/>
      <x:c r="Y6" s="39"/>
      <x:c r="Z6" s="39"/>
    </x:row>
    <x:row r="7">
      <x:c r="A7" s="42" t="str">
        <x:v>PUB-003</x:v>
      </x:c>
      <x:c r="B7" s="42" t="str">
        <x:v>F1 Built-in básico</x:v>
      </x:c>
      <x:c r="C7" s="42" t="str">
        <x:v>P4 Low</x:v>
      </x:c>
      <x:c r="D7" s="42" t="str">
        <x:v>Obligatorio</x:v>
      </x:c>
      <x:c r="E7" s="42" t="str">
        <x:v>Windows.Events.ProcessCreation</x:v>
      </x:c>
      <x:c r="F7" s="42" t="str">
        <x:v>CLIENT_EVENT</x:v>
      </x:c>
      <x:c r="G7" s="42" t="str">
        <x:v>Process creation</x:v>
      </x:c>
      <x:c r="H7" s="42" t="str">
        <x:v>TEC-003</x:v>
      </x:c>
      <x:c r="I7" s="42" t="str">
        <x:v>T1053.005</x:v>
      </x:c>
      <x:c r="J7" s="42" t="str">
        <x:v>Execution/Persistence</x:v>
      </x:c>
      <x:c r="K7" s="42" t="str">
        <x:v>Comprobar visibilidad pública de schtasks.exe</x:v>
      </x:c>
      <x:c r="L7" s="42" t="str">
        <x:v>Client Monitoring activo</x:v>
      </x:c>
      <x:c r="M7" s="42" t="str">
        <x:v>Ejecutar técnica y revisar Client Events</x:v>
      </x:c>
      <x:c r="N7" s="42" t="str">
        <x:v>Sí</x:v>
      </x:c>
      <x:c r="O7" s="42" t="str">
        <x:v>ProcessCreation event</x:v>
      </x:c>
      <x:c r="P7" s="42" t="str">
        <x:v>N/A</x:v>
      </x:c>
      <x:c r="Q7" s="42" t="str">
        <x:v>T1053.005</x:v>
      </x:c>
      <x:c r="R7" s="42" t="str">
        <x:v>schtasks.exe observado</x:v>
      </x:c>
      <x:c r="S7" s="42" t="str">
        <x:v>Bajo</x:v>
      </x:c>
      <x:c r="T7" s="42" t="str">
        <x:v>Pendiente</x:v>
      </x:c>
      <x:c r="U7" s="42" t="str">
        <x:v>Completado</x:v>
      </x:c>
      <x:c r="V7" s="42" t="str"/>
      <x:c r="W7" s="42" t="str"/>
      <x:c r="X7" s="42" t="str"/>
      <x:c r="Y7" s="39"/>
      <x:c r="Z7" s="39"/>
    </x:row>
    <x:row r="8">
      <x:c r="A8" s="42" t="str">
        <x:v>PUB-004</x:v>
      </x:c>
      <x:c r="B8" s="42" t="str">
        <x:v>F1 Built-in básico</x:v>
      </x:c>
      <x:c r="C8" s="42" t="str">
        <x:v>P4 Low</x:v>
      </x:c>
      <x:c r="D8" s="42" t="str">
        <x:v>Obligatorio</x:v>
      </x:c>
      <x:c r="E8" s="42" t="str">
        <x:v>Windows.Events.ProcessCreation</x:v>
      </x:c>
      <x:c r="F8" s="42" t="str">
        <x:v>CLIENT_EVENT</x:v>
      </x:c>
      <x:c r="G8" s="42" t="str">
        <x:v>Process creation</x:v>
      </x:c>
      <x:c r="H8" s="42" t="str">
        <x:v>TEC-004</x:v>
      </x:c>
      <x:c r="I8" s="42" t="str">
        <x:v>T1547.001</x:v>
      </x:c>
      <x:c r="J8" s="42" t="str">
        <x:v>Persistence</x:v>
      </x:c>
      <x:c r="K8" s="42" t="str">
        <x:v>Comprobar visibilidad pública de reg.exe sobre Run/RunOnce</x:v>
      </x:c>
      <x:c r="L8" s="42" t="str">
        <x:v>Client Monitoring activo</x:v>
      </x:c>
      <x:c r="M8" s="42" t="str">
        <x:v>Ejecutar técnica y revisar Client Events</x:v>
      </x:c>
      <x:c r="N8" s="42" t="str">
        <x:v>Pendiente</x:v>
      </x:c>
      <x:c r="O8" s="42" t="str">
        <x:v>ProcessCreation event</x:v>
      </x:c>
      <x:c r="P8" s="42" t="str">
        <x:v>N/A</x:v>
      </x:c>
      <x:c r="Q8" s="42" t="str">
        <x:v>T1547.001</x:v>
      </x:c>
      <x:c r="R8" s="42" t="str"/>
      <x:c r="S8" s="42" t="str">
        <x:v>Bajo</x:v>
      </x:c>
      <x:c r="T8" s="42" t="str">
        <x:v>Parcial</x:v>
      </x:c>
      <x:c r="U8" s="42" t="str">
        <x:v>Pendiente</x:v>
      </x:c>
      <x:c r="V8" s="42" t="str"/>
      <x:c r="W8" s="42" t="str"/>
      <x:c r="X8" s="42" t="str"/>
      <x:c r="Y8" s="39"/>
      <x:c r="Z8" s="39"/>
    </x:row>
    <x:row r="9">
      <x:c r="A9" s="42" t="str">
        <x:v>PUB-005</x:v>
      </x:c>
      <x:c r="B9" s="42" t="str">
        <x:v>F1 Built-in básico</x:v>
      </x:c>
      <x:c r="C9" s="42" t="str">
        <x:v>P4 Low</x:v>
      </x:c>
      <x:c r="D9" s="42" t="str">
        <x:v>Obligatorio</x:v>
      </x:c>
      <x:c r="E9" s="42" t="str">
        <x:v>Windows.Events.ProcessCreation</x:v>
      </x:c>
      <x:c r="F9" s="42" t="str">
        <x:v>CLIENT_EVENT</x:v>
      </x:c>
      <x:c r="G9" s="42" t="str">
        <x:v>Process creation</x:v>
      </x:c>
      <x:c r="H9" s="42" t="str">
        <x:v>TEC-005</x:v>
      </x:c>
      <x:c r="I9" s="42" t="str">
        <x:v>T1569.002</x:v>
      </x:c>
      <x:c r="J9" s="42" t="str">
        <x:v>Execution</x:v>
      </x:c>
      <x:c r="K9" s="42" t="str">
        <x:v>Comprobar visibilidad pública de sc.exe / servicio</x:v>
      </x:c>
      <x:c r="L9" s="42" t="str">
        <x:v>Client Monitoring activo</x:v>
      </x:c>
      <x:c r="M9" s="42" t="str">
        <x:v>Ejecutar técnica y revisar Client Events</x:v>
      </x:c>
      <x:c r="N9" s="42" t="str">
        <x:v>Parcial</x:v>
      </x:c>
      <x:c r="O9" s="42" t="str">
        <x:v>ProcessCreation event</x:v>
      </x:c>
      <x:c r="P9" s="42" t="str">
        <x:v>N/A</x:v>
      </x:c>
      <x:c r="Q9" s="42" t="str">
        <x:v>T1569.002</x:v>
      </x:c>
      <x:c r="R9" s="42" t="str">
        <x:v>sc.exe/proceso observable; servicio cubierto por ServiceCreation</x:v>
      </x:c>
      <x:c r="S9" s="42" t="str">
        <x:v>Bajo</x:v>
      </x:c>
      <x:c r="T9" s="42" t="str">
        <x:v>Parcial</x:v>
      </x:c>
      <x:c r="U9" s="42" t="str">
        <x:v>Completado</x:v>
      </x:c>
      <x:c r="V9" s="42" t="str"/>
      <x:c r="W9" s="42" t="str"/>
      <x:c r="X9" s="42" t="str"/>
      <x:c r="Y9" s="39"/>
      <x:c r="Z9" s="39"/>
    </x:row>
    <x:row r="10">
      <x:c r="A10" s="42" t="str">
        <x:v>PUB-006</x:v>
      </x:c>
      <x:c r="B10" s="42" t="str">
        <x:v>F1 Built-in básico</x:v>
      </x:c>
      <x:c r="C10" s="42" t="str">
        <x:v>P4 Low</x:v>
      </x:c>
      <x:c r="D10" s="42" t="str">
        <x:v>Obligatorio</x:v>
      </x:c>
      <x:c r="E10" s="42" t="str">
        <x:v>Windows.Events.ProcessCreation</x:v>
      </x:c>
      <x:c r="F10" s="42" t="str">
        <x:v>CLIENT_EVENT</x:v>
      </x:c>
      <x:c r="G10" s="42" t="str">
        <x:v>Process creation</x:v>
      </x:c>
      <x:c r="H10" s="42" t="str">
        <x:v>TEC-006</x:v>
      </x:c>
      <x:c r="I10" s="42" t="str">
        <x:v>T1518.001</x:v>
      </x:c>
      <x:c r="J10" s="42" t="str">
        <x:v>Discovery</x:v>
      </x:c>
      <x:c r="K10" s="42" t="str">
        <x:v>Comprobar visibilidad pública de security software discovery</x:v>
      </x:c>
      <x:c r="L10" s="42" t="str">
        <x:v>Client Monitoring activo</x:v>
      </x:c>
      <x:c r="M10" s="42" t="str">
        <x:v>Ejecutar técnica y revisar Client Events</x:v>
      </x:c>
      <x:c r="N10" s="42" t="str">
        <x:v>Pendiente</x:v>
      </x:c>
      <x:c r="O10" s="42" t="str">
        <x:v>ProcessCreation event</x:v>
      </x:c>
      <x:c r="P10" s="42" t="str">
        <x:v>N/A</x:v>
      </x:c>
      <x:c r="Q10" s="42" t="str">
        <x:v>T1518.001</x:v>
      </x:c>
      <x:c r="R10" s="42" t="str"/>
      <x:c r="S10" s="42" t="str">
        <x:v>Bajo</x:v>
      </x:c>
      <x:c r="T10" s="42" t="str">
        <x:v>Parcial</x:v>
      </x:c>
      <x:c r="U10" s="42" t="str">
        <x:v>Pendiente</x:v>
      </x:c>
      <x:c r="V10" s="42" t="str"/>
      <x:c r="W10" s="42" t="str"/>
      <x:c r="X10" s="42" t="str"/>
      <x:c r="Y10" s="39"/>
      <x:c r="Z10" s="39"/>
    </x:row>
    <x:row r="11">
      <x:c r="A11" s="42" t="str">
        <x:v>PUB-007</x:v>
      </x:c>
      <x:c r="B11" s="42" t="str">
        <x:v>F1 Built-in básico</x:v>
      </x:c>
      <x:c r="C11" s="42" t="str">
        <x:v>P4 Low</x:v>
      </x:c>
      <x:c r="D11" s="42" t="str">
        <x:v>Obligatorio</x:v>
      </x:c>
      <x:c r="E11" s="42" t="str">
        <x:v>Windows.Events.ProcessCreation</x:v>
      </x:c>
      <x:c r="F11" s="42" t="str">
        <x:v>CLIENT_EVENT</x:v>
      </x:c>
      <x:c r="G11" s="42" t="str">
        <x:v>Process creation</x:v>
      </x:c>
      <x:c r="H11" s="42" t="str">
        <x:v>TEC-007</x:v>
      </x:c>
      <x:c r="I11" s="42" t="str">
        <x:v>T1486</x:v>
      </x:c>
      <x:c r="J11" s="42" t="str">
        <x:v>Impact</x:v>
      </x:c>
      <x:c r="K11" s="42" t="str">
        <x:v>Comprobar visibilidad pública de ejecución de script de cifrado</x:v>
      </x:c>
      <x:c r="L11" s="42" t="str">
        <x:v>Client Monitoring activo</x:v>
      </x:c>
      <x:c r="M11" s="42" t="str">
        <x:v>Ejecutar técnica y revisar Client Events</x:v>
      </x:c>
      <x:c r="N11" s="42" t="str">
        <x:v>Parcial</x:v>
      </x:c>
      <x:c r="O11" s="42" t="str">
        <x:v>ProcessCreation event</x:v>
      </x:c>
      <x:c r="P11" s="42" t="str">
        <x:v>N/A</x:v>
      </x:c>
      <x:c r="Q11" s="42" t="str">
        <x:v>T1486</x:v>
      </x:c>
      <x:c r="R11" s="42" t="str">
        <x:v>visibilidad de proceso, no cifrado</x:v>
      </x:c>
      <x:c r="S11" s="42" t="str">
        <x:v>Bajo</x:v>
      </x:c>
      <x:c r="T11" s="42" t="str">
        <x:v>Parcial</x:v>
      </x:c>
      <x:c r="U11" s="42" t="str">
        <x:v>Completado</x:v>
      </x:c>
      <x:c r="V11" s="42" t="str"/>
      <x:c r="W11" s="42" t="str"/>
      <x:c r="X11" s="42" t="str"/>
      <x:c r="Y11" s="39"/>
      <x:c r="Z11" s="39"/>
    </x:row>
    <x:row r="12">
      <x:c r="A12" s="42" t="str">
        <x:v>PUB-008</x:v>
      </x:c>
      <x:c r="B12" s="42" t="str">
        <x:v>F1 Built-in básico</x:v>
      </x:c>
      <x:c r="C12" s="42" t="str">
        <x:v>P4 Low</x:v>
      </x:c>
      <x:c r="D12" s="42" t="str">
        <x:v>Obligatorio</x:v>
      </x:c>
      <x:c r="E12" s="42" t="str">
        <x:v>Windows.Events.ProcessCreation</x:v>
      </x:c>
      <x:c r="F12" s="42" t="str">
        <x:v>CLIENT_EVENT</x:v>
      </x:c>
      <x:c r="G12" s="42" t="str">
        <x:v>Process creation</x:v>
      </x:c>
      <x:c r="H12" s="42" t="str">
        <x:v>TEC-008</x:v>
      </x:c>
      <x:c r="I12" s="42" t="str">
        <x:v>T1485</x:v>
      </x:c>
      <x:c r="J12" s="42" t="str">
        <x:v>Impact</x:v>
      </x:c>
      <x:c r="K12" s="42" t="str">
        <x:v>Comprobar visibilidad pública de borrado destructivo</x:v>
      </x:c>
      <x:c r="L12" s="42" t="str">
        <x:v>Client Monitoring activo</x:v>
      </x:c>
      <x:c r="M12" s="42" t="str">
        <x:v>Ejecutar técnica y revisar Client Events</x:v>
      </x:c>
      <x:c r="N12" s="42" t="str">
        <x:v>Parcial</x:v>
      </x:c>
      <x:c r="O12" s="42" t="str">
        <x:v>ProcessCreation event</x:v>
      </x:c>
      <x:c r="P12" s="42" t="str">
        <x:v>N/A</x:v>
      </x:c>
      <x:c r="Q12" s="42" t="str">
        <x:v>T1485</x:v>
      </x:c>
      <x:c r="R12" s="42" t="str">
        <x:v>visibilidad de proceso, no resumen de borrado</x:v>
      </x:c>
      <x:c r="S12" s="42" t="str">
        <x:v>Bajo</x:v>
      </x:c>
      <x:c r="T12" s="42" t="str">
        <x:v>Parcial</x:v>
      </x:c>
      <x:c r="U12" s="42" t="str">
        <x:v>Completado</x:v>
      </x:c>
      <x:c r="V12" s="42" t="str"/>
      <x:c r="W12" s="42" t="str"/>
      <x:c r="X12" s="42" t="str"/>
      <x:c r="Y12" s="39"/>
      <x:c r="Z12" s="39"/>
    </x:row>
    <x:row r="13">
      <x:c r="A13" s="42" t="str">
        <x:v>PUB-009</x:v>
      </x:c>
      <x:c r="B13" s="42" t="str">
        <x:v>F1 Built-in básico</x:v>
      </x:c>
      <x:c r="C13" s="42" t="str">
        <x:v>P4 Low</x:v>
      </x:c>
      <x:c r="D13" s="42" t="str">
        <x:v>Obligatorio</x:v>
      </x:c>
      <x:c r="E13" s="42" t="str">
        <x:v>Windows.Events.ProcessCreation</x:v>
      </x:c>
      <x:c r="F13" s="42" t="str">
        <x:v>CLIENT_EVENT</x:v>
      </x:c>
      <x:c r="G13" s="42" t="str">
        <x:v>Process creation</x:v>
      </x:c>
      <x:c r="H13" s="42" t="str">
        <x:v>TEC-009</x:v>
      </x:c>
      <x:c r="I13" s="42" t="str">
        <x:v>T1074.001/T1560.001</x:v>
      </x:c>
      <x:c r="J13" s="42" t="str">
        <x:v>Collection</x:v>
      </x:c>
      <x:c r="K13" s="42" t="str">
        <x:v>Comprobar visibilidad pública de staging/archivo</x:v>
      </x:c>
      <x:c r="L13" s="42" t="str">
        <x:v>Client Monitoring activo</x:v>
      </x:c>
      <x:c r="M13" s="42" t="str">
        <x:v>Ejecutar técnica y revisar Client Events</x:v>
      </x:c>
      <x:c r="N13" s="42" t="str">
        <x:v>Parcial</x:v>
      </x:c>
      <x:c r="O13" s="42" t="str">
        <x:v>ProcessCreation event</x:v>
      </x:c>
      <x:c r="P13" s="42" t="str">
        <x:v>N/A</x:v>
      </x:c>
      <x:c r="Q13" s="42" t="str">
        <x:v>T1074.001/T1560.001</x:v>
      </x:c>
      <x:c r="R13" s="42" t="str">
        <x:v>visibilidad de proceso, no staging semántico</x:v>
      </x:c>
      <x:c r="S13" s="42" t="str">
        <x:v>Bajo</x:v>
      </x:c>
      <x:c r="T13" s="42" t="str">
        <x:v>Parcial</x:v>
      </x:c>
      <x:c r="U13" s="42" t="str">
        <x:v>Completado</x:v>
      </x:c>
      <x:c r="V13" s="42" t="str"/>
      <x:c r="W13" s="42" t="str"/>
      <x:c r="X13" s="42" t="str"/>
      <x:c r="Y13" s="39"/>
      <x:c r="Z13" s="39"/>
    </x:row>
    <x:row r="14">
      <x:c r="A14" s="42" t="str">
        <x:v>PUB-010</x:v>
      </x:c>
      <x:c r="B14" s="42" t="str">
        <x:v>F1 Built-in básico</x:v>
      </x:c>
      <x:c r="C14" s="42" t="str">
        <x:v>P4 Low</x:v>
      </x:c>
      <x:c r="D14" s="42" t="str">
        <x:v>Obligatorio</x:v>
      </x:c>
      <x:c r="E14" s="42" t="str">
        <x:v>Windows.Events.ServiceCreation</x:v>
      </x:c>
      <x:c r="F14" s="42" t="str">
        <x:v>CLIENT_EVENT</x:v>
      </x:c>
      <x:c r="G14" s="42" t="str">
        <x:v>System Event 7045</x:v>
      </x:c>
      <x:c r="H14" s="42" t="str">
        <x:v>TEC-005</x:v>
      </x:c>
      <x:c r="I14" s="42" t="str">
        <x:v>T1569.002</x:v>
      </x:c>
      <x:c r="J14" s="42" t="str">
        <x:v>Execution</x:v>
      </x:c>
      <x:c r="K14" s="42" t="str">
        <x:v>Comprobar creación de servicio</x:v>
      </x:c>
      <x:c r="L14" s="42" t="str">
        <x:v>Client Monitoring activo</x:v>
      </x:c>
      <x:c r="M14" s="42" t="str">
        <x:v>Crear servicio temporal, revisar EventID 7045</x:v>
      </x:c>
      <x:c r="N14" s="42" t="str">
        <x:v>Sí</x:v>
      </x:c>
      <x:c r="O14" s="42" t="str">
        <x:v>EventID 7045</x:v>
      </x:c>
      <x:c r="P14" s="42" t="str">
        <x:v>N/A</x:v>
      </x:c>
      <x:c r="Q14" s="42" t="str">
        <x:v>T1569.002</x:v>
      </x:c>
      <x:c r="R14" s="42" t="str">
        <x:v>ServiceName e ImagePath observados; ClientId C.364907172793f8c7</x:v>
      </x:c>
      <x:c r="S14" s="42" t="str">
        <x:v>Bajo</x:v>
      </x:c>
      <x:c r="T14" s="42" t="str">
        <x:v>Parcial</x:v>
      </x:c>
      <x:c r="U14" s="42" t="str">
        <x:v>Completado</x:v>
      </x:c>
      <x:c r="V14" s="42" t="str"/>
      <x:c r="W14" s="42" t="str"/>
      <x:c r="X14" s="42" t="str">
        <x:v>Detectado correctamente en captura aportada</x:v>
      </x:c>
      <x:c r="Y14" s="39"/>
      <x:c r="Z14" s="39"/>
    </x:row>
    <x:row r="15">
      <x:c r="A15" s="42" t="str">
        <x:v>PUB-011</x:v>
      </x:c>
      <x:c r="B15" s="42" t="str">
        <x:v>F1 Built-in básico</x:v>
      </x:c>
      <x:c r="C15" s="42" t="str">
        <x:v>P4/P2</x:v>
      </x:c>
      <x:c r="D15" s="42" t="str">
        <x:v>Obligatorio</x:v>
      </x:c>
      <x:c r="E15" s="42" t="str">
        <x:v>Windows.Sysinternals.SysmonLogForward</x:v>
      </x:c>
      <x:c r="F15" s="42" t="str">
        <x:v>CLIENT_EVENT</x:v>
      </x:c>
      <x:c r="G15" s="42" t="str">
        <x:v>Sysmon Operational</x:v>
      </x:c>
      <x:c r="H15" s="42" t="str">
        <x:v>TEC-001</x:v>
      </x:c>
      <x:c r="I15" s="42" t="str">
        <x:v>T1059.001</x:v>
      </x:c>
      <x:c r="J15" s="42" t="str">
        <x:v>Execution</x:v>
      </x:c>
      <x:c r="K15" s="42" t="str">
        <x:v>Comprobar reenvío de Sysmon ID 1</x:v>
      </x:c>
      <x:c r="L15" s="42" t="str">
        <x:v>Sysmon activo + LogForward</x:v>
      </x:c>
      <x:c r="M15" s="42" t="str">
        <x:v>Ejecutar técnica y revisar eventos Sysmon reenviados</x:v>
      </x:c>
      <x:c r="N15" s="42" t="str">
        <x:v>Pendiente</x:v>
      </x:c>
      <x:c r="O15" s="42" t="str"/>
      <x:c r="P15" s="42" t="str"/>
      <x:c r="Q15" s="42" t="str"/>
      <x:c r="R15" s="42" t="str"/>
      <x:c r="S15" s="42" t="str">
        <x:v>Pendiente</x:v>
      </x:c>
      <x:c r="T15" s="42" t="str">
        <x:v>Pendiente</x:v>
      </x:c>
      <x:c r="U15" s="42" t="str">
        <x:v>Pendiente</x:v>
      </x:c>
      <x:c r="V15" s="42" t="str"/>
      <x:c r="W15" s="42" t="str"/>
      <x:c r="X15" s="42" t="str"/>
      <x:c r="Y15" s="39"/>
      <x:c r="Z15" s="39"/>
    </x:row>
    <x:row r="16">
      <x:c r="A16" s="42" t="str">
        <x:v>PUB-012</x:v>
      </x:c>
      <x:c r="B16" s="42" t="str">
        <x:v>F1 Built-in básico</x:v>
      </x:c>
      <x:c r="C16" s="42" t="str">
        <x:v>P4/P2</x:v>
      </x:c>
      <x:c r="D16" s="42" t="str">
        <x:v>Obligatorio</x:v>
      </x:c>
      <x:c r="E16" s="42" t="str">
        <x:v>Windows.Sysinternals.SysmonLogForward</x:v>
      </x:c>
      <x:c r="F16" s="42" t="str">
        <x:v>CLIENT_EVENT</x:v>
      </x:c>
      <x:c r="G16" s="42" t="str">
        <x:v>Sysmon Operational</x:v>
      </x:c>
      <x:c r="H16" s="42" t="str">
        <x:v>TEC-004</x:v>
      </x:c>
      <x:c r="I16" s="42" t="str">
        <x:v>T1547.001</x:v>
      </x:c>
      <x:c r="J16" s="42" t="str">
        <x:v>Persistence</x:v>
      </x:c>
      <x:c r="K16" s="42" t="str">
        <x:v>Comprobar reenvío de Sysmon 12/13/14</x:v>
      </x:c>
      <x:c r="L16" s="42" t="str">
        <x:v>Sysmon activo + LogForward</x:v>
      </x:c>
      <x:c r="M16" s="42" t="str">
        <x:v>Ejecutar técnica y revisar eventos Sysmon reenviados</x:v>
      </x:c>
      <x:c r="N16" s="42" t="str">
        <x:v>Pendiente</x:v>
      </x:c>
      <x:c r="O16" s="42" t="str"/>
      <x:c r="P16" s="42" t="str"/>
      <x:c r="Q16" s="42" t="str"/>
      <x:c r="R16" s="42" t="str"/>
      <x:c r="S16" s="42" t="str">
        <x:v>Pendiente</x:v>
      </x:c>
      <x:c r="T16" s="42" t="str">
        <x:v>Pendiente</x:v>
      </x:c>
      <x:c r="U16" s="42" t="str">
        <x:v>Pendiente</x:v>
      </x:c>
      <x:c r="V16" s="42" t="str"/>
      <x:c r="W16" s="42" t="str"/>
      <x:c r="X16" s="42" t="str"/>
      <x:c r="Y16" s="39"/>
      <x:c r="Z16" s="39"/>
    </x:row>
    <x:row r="17">
      <x:c r="A17" s="42" t="str">
        <x:v>PUB-013</x:v>
      </x:c>
      <x:c r="B17" s="42" t="str">
        <x:v>F1 Built-in básico</x:v>
      </x:c>
      <x:c r="C17" s="42" t="str">
        <x:v>P4/P2</x:v>
      </x:c>
      <x:c r="D17" s="42" t="str">
        <x:v>Obligatorio</x:v>
      </x:c>
      <x:c r="E17" s="42" t="str">
        <x:v>Windows.Sysinternals.SysmonLogForward</x:v>
      </x:c>
      <x:c r="F17" s="42" t="str">
        <x:v>CLIENT_EVENT</x:v>
      </x:c>
      <x:c r="G17" s="42" t="str">
        <x:v>Sysmon Operational</x:v>
      </x:c>
      <x:c r="H17" s="42" t="str">
        <x:v>TEC-007</x:v>
      </x:c>
      <x:c r="I17" s="42" t="str">
        <x:v>T1486</x:v>
      </x:c>
      <x:c r="J17" s="42" t="str">
        <x:v>Impact</x:v>
      </x:c>
      <x:c r="K17" s="42" t="str">
        <x:v>Comprobar reenvío de Sysmon ID 11</x:v>
      </x:c>
      <x:c r="L17" s="42" t="str">
        <x:v>Sysmon activo + LogForward</x:v>
      </x:c>
      <x:c r="M17" s="42" t="str">
        <x:v>Ejecutar técnica y revisar eventos Sysmon reenviados</x:v>
      </x:c>
      <x:c r="N17" s="42" t="str">
        <x:v>Pendiente</x:v>
      </x:c>
      <x:c r="O17" s="42" t="str"/>
      <x:c r="P17" s="42" t="str"/>
      <x:c r="Q17" s="42" t="str"/>
      <x:c r="R17" s="42" t="str"/>
      <x:c r="S17" s="42" t="str">
        <x:v>Pendiente</x:v>
      </x:c>
      <x:c r="T17" s="42" t="str">
        <x:v>Pendiente</x:v>
      </x:c>
      <x:c r="U17" s="42" t="str">
        <x:v>Pendiente</x:v>
      </x:c>
      <x:c r="V17" s="42" t="str"/>
      <x:c r="W17" s="42" t="str"/>
      <x:c r="X17" s="42" t="str"/>
      <x:c r="Y17" s="39"/>
      <x:c r="Z17" s="39"/>
    </x:row>
    <x:row r="18">
      <x:c r="A18" s="42" t="str">
        <x:v>PUB-014</x:v>
      </x:c>
      <x:c r="B18" s="42" t="str">
        <x:v>F1 Built-in básico</x:v>
      </x:c>
      <x:c r="C18" s="42" t="str">
        <x:v>P4/P2</x:v>
      </x:c>
      <x:c r="D18" s="42" t="str">
        <x:v>Obligatorio</x:v>
      </x:c>
      <x:c r="E18" s="42" t="str">
        <x:v>Windows.Sysinternals.SysmonLogForward</x:v>
      </x:c>
      <x:c r="F18" s="42" t="str">
        <x:v>CLIENT_EVENT</x:v>
      </x:c>
      <x:c r="G18" s="42" t="str">
        <x:v>Sysmon Operational</x:v>
      </x:c>
      <x:c r="H18" s="42" t="str">
        <x:v>TEC-008</x:v>
      </x:c>
      <x:c r="I18" s="42" t="str">
        <x:v>T1485</x:v>
      </x:c>
      <x:c r="J18" s="42" t="str">
        <x:v>Impact</x:v>
      </x:c>
      <x:c r="K18" s="42" t="str">
        <x:v>Comprobar reenvío de Sysmon ID 26</x:v>
      </x:c>
      <x:c r="L18" s="42" t="str">
        <x:v>Sysmon activo + LogForward</x:v>
      </x:c>
      <x:c r="M18" s="42" t="str">
        <x:v>Ejecutar técnica y revisar eventos Sysmon reenviados</x:v>
      </x:c>
      <x:c r="N18" s="42" t="str">
        <x:v>Pendiente</x:v>
      </x:c>
      <x:c r="O18" s="42" t="str"/>
      <x:c r="P18" s="42" t="str"/>
      <x:c r="Q18" s="42" t="str"/>
      <x:c r="R18" s="42" t="str"/>
      <x:c r="S18" s="42" t="str">
        <x:v>Pendiente</x:v>
      </x:c>
      <x:c r="T18" s="42" t="str">
        <x:v>Pendiente</x:v>
      </x:c>
      <x:c r="U18" s="42" t="str">
        <x:v>Pendiente</x:v>
      </x:c>
      <x:c r="V18" s="42" t="str"/>
      <x:c r="W18" s="42" t="str"/>
      <x:c r="X18" s="42" t="str"/>
      <x:c r="Y18" s="39"/>
      <x:c r="Z18" s="39"/>
    </x:row>
    <x:row r="19">
      <x:c r="A19" s="42" t="str">
        <x:v>PUB-015</x:v>
      </x:c>
      <x:c r="B19" s="42" t="str">
        <x:v>F1 Built-in básico</x:v>
      </x:c>
      <x:c r="C19" s="42" t="str">
        <x:v>P4/P2</x:v>
      </x:c>
      <x:c r="D19" s="42" t="str">
        <x:v>Obligatorio</x:v>
      </x:c>
      <x:c r="E19" s="42" t="str">
        <x:v>Windows.Sysinternals.SysmonLogForward</x:v>
      </x:c>
      <x:c r="F19" s="42" t="str">
        <x:v>CLIENT_EVENT</x:v>
      </x:c>
      <x:c r="G19" s="42" t="str">
        <x:v>Sysmon Operational</x:v>
      </x:c>
      <x:c r="H19" s="42" t="str">
        <x:v>TEC-009</x:v>
      </x:c>
      <x:c r="I19" s="42" t="str">
        <x:v>T1074.001/T1560.001</x:v>
      </x:c>
      <x:c r="J19" s="42" t="str">
        <x:v>Collection</x:v>
      </x:c>
      <x:c r="K19" s="42" t="str">
        <x:v>Comprobar reenvío de Sysmon ID 11/3/22</x:v>
      </x:c>
      <x:c r="L19" s="42" t="str">
        <x:v>Sysmon activo + LogForward</x:v>
      </x:c>
      <x:c r="M19" s="42" t="str">
        <x:v>Ejecutar técnica y revisar eventos Sysmon reenviados</x:v>
      </x:c>
      <x:c r="N19" s="42" t="str">
        <x:v>Pendiente</x:v>
      </x:c>
      <x:c r="O19" s="42" t="str"/>
      <x:c r="P19" s="42" t="str"/>
      <x:c r="Q19" s="42" t="str"/>
      <x:c r="R19" s="42" t="str"/>
      <x:c r="S19" s="42" t="str">
        <x:v>Pendiente</x:v>
      </x:c>
      <x:c r="T19" s="42" t="str">
        <x:v>Pendiente</x:v>
      </x:c>
      <x:c r="U19" s="42" t="str">
        <x:v>Pendiente</x:v>
      </x:c>
      <x:c r="V19" s="42" t="str"/>
      <x:c r="W19" s="42" t="str"/>
      <x:c r="X19" s="42" t="str"/>
      <x:c r="Y19" s="39"/>
      <x:c r="Z19" s="39"/>
    </x:row>
    <x:row r="20">
      <x:c r="A20" s="42" t="str">
        <x:v>PUB-016</x:v>
      </x:c>
      <x:c r="B20" s="42" t="str">
        <x:v>F2 Hayabusa histórico</x:v>
      </x:c>
      <x:c r="C20" s="42" t="str">
        <x:v>P3 Medium</x:v>
      </x:c>
      <x:c r="D20" s="42" t="str">
        <x:v>Obligatorio</x:v>
      </x:c>
      <x:c r="E20" s="42" t="str">
        <x:v>Windows.Hayabusa.Rules</x:v>
      </x:c>
      <x:c r="F20" s="42" t="str">
        <x:v>Hunt histórico</x:v>
      </x:c>
      <x:c r="G20" s="42" t="str">
        <x:v>EVTX/Sigma/Hayabusa</x:v>
      </x:c>
      <x:c r="H20" s="42" t="str">
        <x:v>TEC-001</x:v>
      </x:c>
      <x:c r="I20" s="42" t="str">
        <x:v>T1059.001</x:v>
      </x:c>
      <x:c r="J20" s="42" t="str">
        <x:v>Execution</x:v>
      </x:c>
      <x:c r="K20" s="42" t="str">
        <x:v>Evaluar regla pública para PowerShell</x:v>
      </x:c>
      <x:c r="L20" s="42" t="str">
        <x:v>RuleLevel=Critical,High; RuleStatus=Stable</x:v>
      </x:c>
      <x:c r="M20" s="42" t="str">
        <x:v>Ejecutar técnica; lanzar/observar artifact; registrar RuleTitle, Level, MITRE</x:v>
      </x:c>
      <x:c r="N20" s="42" t="str">
        <x:v>Pendiente</x:v>
      </x:c>
      <x:c r="O20" s="42" t="str"/>
      <x:c r="P20" s="42" t="str"/>
      <x:c r="Q20" s="42" t="str"/>
      <x:c r="R20" s="42" t="str"/>
      <x:c r="S20" s="42" t="str">
        <x:v>Pendiente</x:v>
      </x:c>
      <x:c r="T20" s="42" t="str">
        <x:v>Pendiente</x:v>
      </x:c>
      <x:c r="U20" s="42" t="str">
        <x:v>Pendiente</x:v>
      </x:c>
      <x:c r="V20" s="42" t="str"/>
      <x:c r="W20" s="42" t="str"/>
      <x:c r="X20" s="42" t="str"/>
      <x:c r="Y20" s="39"/>
      <x:c r="Z20" s="39"/>
    </x:row>
    <x:row r="21">
      <x:c r="A21" s="42" t="str">
        <x:v>PUB-017</x:v>
      </x:c>
      <x:c r="B21" s="42" t="str">
        <x:v>F2 Hayabusa histórico</x:v>
      </x:c>
      <x:c r="C21" s="42" t="str">
        <x:v>P3 Medium</x:v>
      </x:c>
      <x:c r="D21" s="42" t="str">
        <x:v>Obligatorio</x:v>
      </x:c>
      <x:c r="E21" s="42" t="str">
        <x:v>Windows.Hayabusa.Rules</x:v>
      </x:c>
      <x:c r="F21" s="42" t="str">
        <x:v>Hunt histórico</x:v>
      </x:c>
      <x:c r="G21" s="42" t="str">
        <x:v>EVTX/Sigma/Hayabusa</x:v>
      </x:c>
      <x:c r="H21" s="42" t="str">
        <x:v>TEC-002</x:v>
      </x:c>
      <x:c r="I21" s="42" t="str">
        <x:v>T1059.003</x:v>
      </x:c>
      <x:c r="J21" s="42" t="str">
        <x:v>Execution</x:v>
      </x:c>
      <x:c r="K21" s="42" t="str">
        <x:v>Evaluar regla pública para CMD</x:v>
      </x:c>
      <x:c r="L21" s="42" t="str">
        <x:v>RuleLevel=Critical,High; RuleStatus=Stable</x:v>
      </x:c>
      <x:c r="M21" s="42" t="str">
        <x:v>Ejecutar técnica; lanzar/observar artifact; registrar RuleTitle, Level, MITRE</x:v>
      </x:c>
      <x:c r="N21" s="42" t="str">
        <x:v>Pendiente</x:v>
      </x:c>
      <x:c r="O21" s="42" t="str"/>
      <x:c r="P21" s="42" t="str"/>
      <x:c r="Q21" s="42" t="str"/>
      <x:c r="R21" s="42" t="str"/>
      <x:c r="S21" s="42" t="str">
        <x:v>Pendiente</x:v>
      </x:c>
      <x:c r="T21" s="42" t="str">
        <x:v>Pendiente</x:v>
      </x:c>
      <x:c r="U21" s="42" t="str">
        <x:v>Pendiente</x:v>
      </x:c>
      <x:c r="V21" s="42" t="str"/>
      <x:c r="W21" s="42" t="str"/>
      <x:c r="X21" s="42" t="str"/>
      <x:c r="Y21" s="39"/>
      <x:c r="Z21" s="39"/>
    </x:row>
    <x:row r="22">
      <x:c r="A22" s="42" t="str">
        <x:v>PUB-018</x:v>
      </x:c>
      <x:c r="B22" s="42" t="str">
        <x:v>F2 Hayabusa histórico</x:v>
      </x:c>
      <x:c r="C22" s="42" t="str">
        <x:v>P3 Medium</x:v>
      </x:c>
      <x:c r="D22" s="42" t="str">
        <x:v>Obligatorio</x:v>
      </x:c>
      <x:c r="E22" s="42" t="str">
        <x:v>Windows.Hayabusa.Rules</x:v>
      </x:c>
      <x:c r="F22" s="42" t="str">
        <x:v>Hunt histórico</x:v>
      </x:c>
      <x:c r="G22" s="42" t="str">
        <x:v>EVTX/Sigma/Hayabusa</x:v>
      </x:c>
      <x:c r="H22" s="42" t="str">
        <x:v>TEC-003</x:v>
      </x:c>
      <x:c r="I22" s="42" t="str">
        <x:v>T1053.005</x:v>
      </x:c>
      <x:c r="J22" s="42" t="str">
        <x:v>Execution/Persistence</x:v>
      </x:c>
      <x:c r="K22" s="42" t="str">
        <x:v>Evaluar regla pública para Scheduled Task</x:v>
      </x:c>
      <x:c r="L22" s="42" t="str">
        <x:v>RuleLevel=Critical,High; RuleStatus=Stable</x:v>
      </x:c>
      <x:c r="M22" s="42" t="str">
        <x:v>Ejecutar técnica; lanzar/observar artifact; registrar RuleTitle, Level, MITRE</x:v>
      </x:c>
      <x:c r="N22" s="42" t="str">
        <x:v>Pendiente</x:v>
      </x:c>
      <x:c r="O22" s="42" t="str"/>
      <x:c r="P22" s="42" t="str"/>
      <x:c r="Q22" s="42" t="str"/>
      <x:c r="R22" s="42" t="str"/>
      <x:c r="S22" s="42" t="str">
        <x:v>Pendiente</x:v>
      </x:c>
      <x:c r="T22" s="42" t="str">
        <x:v>Pendiente</x:v>
      </x:c>
      <x:c r="U22" s="42" t="str">
        <x:v>Pendiente</x:v>
      </x:c>
      <x:c r="V22" s="42" t="str"/>
      <x:c r="W22" s="42" t="str"/>
      <x:c r="X22" s="42" t="str"/>
      <x:c r="Y22" s="39"/>
      <x:c r="Z22" s="39"/>
    </x:row>
    <x:row r="23">
      <x:c r="A23" s="42" t="str">
        <x:v>PUB-019</x:v>
      </x:c>
      <x:c r="B23" s="42" t="str">
        <x:v>F2 Hayabusa histórico</x:v>
      </x:c>
      <x:c r="C23" s="42" t="str">
        <x:v>P3 Medium</x:v>
      </x:c>
      <x:c r="D23" s="42" t="str">
        <x:v>Obligatorio</x:v>
      </x:c>
      <x:c r="E23" s="42" t="str">
        <x:v>Windows.Hayabusa.Rules</x:v>
      </x:c>
      <x:c r="F23" s="42" t="str">
        <x:v>Hunt histórico</x:v>
      </x:c>
      <x:c r="G23" s="42" t="str">
        <x:v>EVTX/Sigma/Hayabusa</x:v>
      </x:c>
      <x:c r="H23" s="42" t="str">
        <x:v>TEC-004</x:v>
      </x:c>
      <x:c r="I23" s="42" t="str">
        <x:v>T1547.001</x:v>
      </x:c>
      <x:c r="J23" s="42" t="str">
        <x:v>Persistence</x:v>
      </x:c>
      <x:c r="K23" s="42" t="str">
        <x:v>Evaluar regla pública para Run Keys</x:v>
      </x:c>
      <x:c r="L23" s="42" t="str">
        <x:v>RuleLevel=Critical,High; RuleStatus=Stable</x:v>
      </x:c>
      <x:c r="M23" s="42" t="str">
        <x:v>Ejecutar técnica; lanzar/observar artifact; registrar RuleTitle, Level, MITRE</x:v>
      </x:c>
      <x:c r="N23" s="42" t="str">
        <x:v>Pendiente</x:v>
      </x:c>
      <x:c r="O23" s="42" t="str"/>
      <x:c r="P23" s="42" t="str"/>
      <x:c r="Q23" s="42" t="str"/>
      <x:c r="R23" s="42" t="str"/>
      <x:c r="S23" s="42" t="str">
        <x:v>Pendiente</x:v>
      </x:c>
      <x:c r="T23" s="42" t="str">
        <x:v>Pendiente</x:v>
      </x:c>
      <x:c r="U23" s="42" t="str">
        <x:v>Pendiente</x:v>
      </x:c>
      <x:c r="V23" s="42" t="str"/>
      <x:c r="W23" s="42" t="str"/>
      <x:c r="X23" s="42" t="str"/>
      <x:c r="Y23" s="39"/>
      <x:c r="Z23" s="39"/>
    </x:row>
    <x:row r="24">
      <x:c r="A24" s="42" t="str">
        <x:v>PUB-020</x:v>
      </x:c>
      <x:c r="B24" s="42" t="str">
        <x:v>F2 Hayabusa histórico</x:v>
      </x:c>
      <x:c r="C24" s="42" t="str">
        <x:v>P3 Medium</x:v>
      </x:c>
      <x:c r="D24" s="42" t="str">
        <x:v>Obligatorio</x:v>
      </x:c>
      <x:c r="E24" s="42" t="str">
        <x:v>Windows.Hayabusa.Rules</x:v>
      </x:c>
      <x:c r="F24" s="42" t="str">
        <x:v>Hunt histórico</x:v>
      </x:c>
      <x:c r="G24" s="42" t="str">
        <x:v>EVTX/Sigma/Hayabusa</x:v>
      </x:c>
      <x:c r="H24" s="42" t="str">
        <x:v>TEC-005</x:v>
      </x:c>
      <x:c r="I24" s="42" t="str">
        <x:v>T1569.002</x:v>
      </x:c>
      <x:c r="J24" s="42" t="str">
        <x:v>Execution</x:v>
      </x:c>
      <x:c r="K24" s="42" t="str">
        <x:v>Evaluar regla pública para Service Execution</x:v>
      </x:c>
      <x:c r="L24" s="42" t="str">
        <x:v>RuleLevel=Critical,High; RuleStatus=Stable</x:v>
      </x:c>
      <x:c r="M24" s="42" t="str">
        <x:v>Ejecutar técnica; lanzar/observar artifact; registrar RuleTitle, Level, MITRE</x:v>
      </x:c>
      <x:c r="N24" s="42" t="str">
        <x:v>Pendiente</x:v>
      </x:c>
      <x:c r="O24" s="42" t="str"/>
      <x:c r="P24" s="42" t="str"/>
      <x:c r="Q24" s="42" t="str"/>
      <x:c r="R24" s="42" t="str"/>
      <x:c r="S24" s="42" t="str">
        <x:v>Pendiente</x:v>
      </x:c>
      <x:c r="T24" s="42" t="str">
        <x:v>Pendiente</x:v>
      </x:c>
      <x:c r="U24" s="42" t="str">
        <x:v>Pendiente</x:v>
      </x:c>
      <x:c r="V24" s="42" t="str"/>
      <x:c r="W24" s="42" t="str"/>
      <x:c r="X24" s="42" t="str"/>
      <x:c r="Y24" s="39"/>
      <x:c r="Z24" s="39"/>
    </x:row>
    <x:row r="25">
      <x:c r="A25" s="42" t="str">
        <x:v>PUB-021</x:v>
      </x:c>
      <x:c r="B25" s="42" t="str">
        <x:v>F2 Hayabusa histórico</x:v>
      </x:c>
      <x:c r="C25" s="42" t="str">
        <x:v>P3 Medium</x:v>
      </x:c>
      <x:c r="D25" s="42" t="str">
        <x:v>Obligatorio</x:v>
      </x:c>
      <x:c r="E25" s="42" t="str">
        <x:v>Windows.Hayabusa.Rules</x:v>
      </x:c>
      <x:c r="F25" s="42" t="str">
        <x:v>Hunt histórico</x:v>
      </x:c>
      <x:c r="G25" s="42" t="str">
        <x:v>EVTX/Sigma/Hayabusa</x:v>
      </x:c>
      <x:c r="H25" s="42" t="str">
        <x:v>TEC-006</x:v>
      </x:c>
      <x:c r="I25" s="42" t="str">
        <x:v>T1518.001</x:v>
      </x:c>
      <x:c r="J25" s="42" t="str">
        <x:v>Discovery</x:v>
      </x:c>
      <x:c r="K25" s="42" t="str">
        <x:v>Evaluar regla pública para Security Discovery</x:v>
      </x:c>
      <x:c r="L25" s="42" t="str">
        <x:v>RuleLevel=Critical,High; RuleStatus=Stable</x:v>
      </x:c>
      <x:c r="M25" s="42" t="str">
        <x:v>Ejecutar técnica; lanzar/observar artifact; registrar RuleTitle, Level, MITRE</x:v>
      </x:c>
      <x:c r="N25" s="42" t="str">
        <x:v>Pendiente</x:v>
      </x:c>
      <x:c r="O25" s="42" t="str"/>
      <x:c r="P25" s="42" t="str"/>
      <x:c r="Q25" s="42" t="str"/>
      <x:c r="R25" s="42" t="str"/>
      <x:c r="S25" s="42" t="str">
        <x:v>Pendiente</x:v>
      </x:c>
      <x:c r="T25" s="42" t="str">
        <x:v>Pendiente</x:v>
      </x:c>
      <x:c r="U25" s="42" t="str">
        <x:v>Pendiente</x:v>
      </x:c>
      <x:c r="V25" s="42" t="str"/>
      <x:c r="W25" s="42" t="str"/>
      <x:c r="X25" s="42" t="str"/>
      <x:c r="Y25" s="39"/>
      <x:c r="Z25" s="39"/>
    </x:row>
    <x:row r="26">
      <x:c r="A26" s="42" t="str">
        <x:v>PUB-022</x:v>
      </x:c>
      <x:c r="B26" s="42" t="str">
        <x:v>F2 Hayabusa histórico</x:v>
      </x:c>
      <x:c r="C26" s="42" t="str">
        <x:v>P3 Medium</x:v>
      </x:c>
      <x:c r="D26" s="42" t="str">
        <x:v>Obligatorio</x:v>
      </x:c>
      <x:c r="E26" s="42" t="str">
        <x:v>Windows.Hayabusa.Rules</x:v>
      </x:c>
      <x:c r="F26" s="42" t="str">
        <x:v>Hunt histórico</x:v>
      </x:c>
      <x:c r="G26" s="42" t="str">
        <x:v>EVTX/Sigma/Hayabusa</x:v>
      </x:c>
      <x:c r="H26" s="42" t="str">
        <x:v>TEC-007</x:v>
      </x:c>
      <x:c r="I26" s="42" t="str">
        <x:v>T1486</x:v>
      </x:c>
      <x:c r="J26" s="42" t="str">
        <x:v>Impact</x:v>
      </x:c>
      <x:c r="K26" s="42" t="str">
        <x:v>Evaluar regla pública para Ransomware-like crypto</x:v>
      </x:c>
      <x:c r="L26" s="42" t="str">
        <x:v>RuleLevel=Critical,High; RuleStatus=Stable</x:v>
      </x:c>
      <x:c r="M26" s="42" t="str">
        <x:v>Ejecutar técnica; lanzar/observar artifact; registrar RuleTitle, Level, MITRE</x:v>
      </x:c>
      <x:c r="N26" s="42" t="str">
        <x:v>Pendiente</x:v>
      </x:c>
      <x:c r="O26" s="42" t="str"/>
      <x:c r="P26" s="42" t="str"/>
      <x:c r="Q26" s="42" t="str"/>
      <x:c r="R26" s="42" t="str"/>
      <x:c r="S26" s="42" t="str">
        <x:v>Pendiente</x:v>
      </x:c>
      <x:c r="T26" s="42" t="str">
        <x:v>Pendiente</x:v>
      </x:c>
      <x:c r="U26" s="42" t="str">
        <x:v>Pendiente</x:v>
      </x:c>
      <x:c r="V26" s="42" t="str"/>
      <x:c r="W26" s="42" t="str"/>
      <x:c r="X26" s="42" t="str"/>
      <x:c r="Y26" s="39"/>
      <x:c r="Z26" s="39"/>
    </x:row>
    <x:row r="27">
      <x:c r="A27" s="42" t="str">
        <x:v>PUB-023</x:v>
      </x:c>
      <x:c r="B27" s="42" t="str">
        <x:v>F2 Hayabusa histórico</x:v>
      </x:c>
      <x:c r="C27" s="42" t="str">
        <x:v>P3 Medium</x:v>
      </x:c>
      <x:c r="D27" s="42" t="str">
        <x:v>Obligatorio</x:v>
      </x:c>
      <x:c r="E27" s="42" t="str">
        <x:v>Windows.Hayabusa.Rules</x:v>
      </x:c>
      <x:c r="F27" s="42" t="str">
        <x:v>Hunt histórico</x:v>
      </x:c>
      <x:c r="G27" s="42" t="str">
        <x:v>EVTX/Sigma/Hayabusa</x:v>
      </x:c>
      <x:c r="H27" s="42" t="str">
        <x:v>TEC-008</x:v>
      </x:c>
      <x:c r="I27" s="42" t="str">
        <x:v>T1485</x:v>
      </x:c>
      <x:c r="J27" s="42" t="str">
        <x:v>Impact</x:v>
      </x:c>
      <x:c r="K27" s="42" t="str">
        <x:v>Evaluar regla pública para Data Destruction</x:v>
      </x:c>
      <x:c r="L27" s="42" t="str">
        <x:v>RuleLevel=Critical,High; RuleStatus=Stable</x:v>
      </x:c>
      <x:c r="M27" s="42" t="str">
        <x:v>Ejecutar técnica; lanzar/observar artifact; registrar RuleTitle, Level, MITRE</x:v>
      </x:c>
      <x:c r="N27" s="42" t="str">
        <x:v>Pendiente</x:v>
      </x:c>
      <x:c r="O27" s="42" t="str"/>
      <x:c r="P27" s="42" t="str"/>
      <x:c r="Q27" s="42" t="str"/>
      <x:c r="R27" s="42" t="str"/>
      <x:c r="S27" s="42" t="str">
        <x:v>Pendiente</x:v>
      </x:c>
      <x:c r="T27" s="42" t="str">
        <x:v>Pendiente</x:v>
      </x:c>
      <x:c r="U27" s="42" t="str">
        <x:v>Pendiente</x:v>
      </x:c>
      <x:c r="V27" s="42" t="str"/>
      <x:c r="W27" s="42" t="str"/>
      <x:c r="X27" s="42" t="str"/>
      <x:c r="Y27" s="39"/>
      <x:c r="Z27" s="39"/>
    </x:row>
    <x:row r="28">
      <x:c r="A28" s="42" t="str">
        <x:v>PUB-024</x:v>
      </x:c>
      <x:c r="B28" s="42" t="str">
        <x:v>F2 Hayabusa histórico</x:v>
      </x:c>
      <x:c r="C28" s="42" t="str">
        <x:v>P3 Medium</x:v>
      </x:c>
      <x:c r="D28" s="42" t="str">
        <x:v>Obligatorio</x:v>
      </x:c>
      <x:c r="E28" s="42" t="str">
        <x:v>Windows.Hayabusa.Rules</x:v>
      </x:c>
      <x:c r="F28" s="42" t="str">
        <x:v>Hunt histórico</x:v>
      </x:c>
      <x:c r="G28" s="42" t="str">
        <x:v>EVTX/Sigma/Hayabusa</x:v>
      </x:c>
      <x:c r="H28" s="42" t="str">
        <x:v>TEC-009</x:v>
      </x:c>
      <x:c r="I28" s="42" t="str">
        <x:v>T1074.001/T1560.001</x:v>
      </x:c>
      <x:c r="J28" s="42" t="str">
        <x:v>Collection</x:v>
      </x:c>
      <x:c r="K28" s="42" t="str">
        <x:v>Evaluar regla pública para Staging/Archive</x:v>
      </x:c>
      <x:c r="L28" s="42" t="str">
        <x:v>RuleLevel=Critical,High; RuleStatus=Stable</x:v>
      </x:c>
      <x:c r="M28" s="42" t="str">
        <x:v>Ejecutar técnica; lanzar/observar artifact; registrar RuleTitle, Level, MITRE</x:v>
      </x:c>
      <x:c r="N28" s="42" t="str">
        <x:v>Pendiente</x:v>
      </x:c>
      <x:c r="O28" s="42" t="str"/>
      <x:c r="P28" s="42" t="str"/>
      <x:c r="Q28" s="42" t="str"/>
      <x:c r="R28" s="42" t="str"/>
      <x:c r="S28" s="42" t="str">
        <x:v>Pendiente</x:v>
      </x:c>
      <x:c r="T28" s="42" t="str">
        <x:v>Pendiente</x:v>
      </x:c>
      <x:c r="U28" s="42" t="str">
        <x:v>Pendiente</x:v>
      </x:c>
      <x:c r="V28" s="42" t="str"/>
      <x:c r="W28" s="42" t="str"/>
      <x:c r="X28" s="42" t="str"/>
      <x:c r="Y28" s="39"/>
      <x:c r="Z28" s="39"/>
    </x:row>
    <x:row r="29">
      <x:c r="A29" s="42" t="str">
        <x:v>PUB-025</x:v>
      </x:c>
      <x:c r="B29" s="42" t="str">
        <x:v>F2 Hayabusa histórico ampliado</x:v>
      </x:c>
      <x:c r="C29" s="42" t="str">
        <x:v>P3 Medium</x:v>
      </x:c>
      <x:c r="D29" s="42" t="str">
        <x:v>Obligatorio</x:v>
      </x:c>
      <x:c r="E29" s="42" t="str">
        <x:v>Windows.Hayabusa.Rules</x:v>
      </x:c>
      <x:c r="F29" s="42" t="str">
        <x:v>Hunt histórico</x:v>
      </x:c>
      <x:c r="G29" s="42" t="str">
        <x:v>EVTX/Sigma/Hayabusa</x:v>
      </x:c>
      <x:c r="H29" s="42" t="str">
        <x:v>TEC-001</x:v>
      </x:c>
      <x:c r="I29" s="42" t="str">
        <x:v>T1059.001</x:v>
      </x:c>
      <x:c r="J29" s="42" t="str">
        <x:v>Execution</x:v>
      </x:c>
      <x:c r="K29" s="42" t="str">
        <x:v>Evaluar regla pública para PowerShell</x:v>
      </x:c>
      <x:c r="L29" s="42" t="str">
        <x:v>RuleLevel=Critical,High,Medium; RuleStatus=Stable</x:v>
      </x:c>
      <x:c r="M29" s="42" t="str">
        <x:v>Ejecutar técnica; lanzar/observar artifact; registrar RuleTitle, Level, MITRE</x:v>
      </x:c>
      <x:c r="N29" s="42" t="str">
        <x:v>Pendiente</x:v>
      </x:c>
      <x:c r="O29" s="42" t="str"/>
      <x:c r="P29" s="42" t="str"/>
      <x:c r="Q29" s="42" t="str"/>
      <x:c r="R29" s="42" t="str"/>
      <x:c r="S29" s="42" t="str">
        <x:v>Pendiente</x:v>
      </x:c>
      <x:c r="T29" s="42" t="str">
        <x:v>Pendiente</x:v>
      </x:c>
      <x:c r="U29" s="42" t="str">
        <x:v>Pendiente</x:v>
      </x:c>
      <x:c r="V29" s="42" t="str"/>
      <x:c r="W29" s="42" t="str"/>
      <x:c r="X29" s="42" t="str"/>
      <x:c r="Y29" s="39"/>
      <x:c r="Z29" s="39"/>
    </x:row>
    <x:row r="30">
      <x:c r="A30" s="42" t="str">
        <x:v>PUB-026</x:v>
      </x:c>
      <x:c r="B30" s="42" t="str">
        <x:v>F2 Hayabusa histórico ampliado</x:v>
      </x:c>
      <x:c r="C30" s="42" t="str">
        <x:v>P3 Medium</x:v>
      </x:c>
      <x:c r="D30" s="42" t="str">
        <x:v>Obligatorio</x:v>
      </x:c>
      <x:c r="E30" s="42" t="str">
        <x:v>Windows.Hayabusa.Rules</x:v>
      </x:c>
      <x:c r="F30" s="42" t="str">
        <x:v>Hunt histórico</x:v>
      </x:c>
      <x:c r="G30" s="42" t="str">
        <x:v>EVTX/Sigma/Hayabusa</x:v>
      </x:c>
      <x:c r="H30" s="42" t="str">
        <x:v>TEC-002</x:v>
      </x:c>
      <x:c r="I30" s="42" t="str">
        <x:v>T1059.003</x:v>
      </x:c>
      <x:c r="J30" s="42" t="str">
        <x:v>Execution</x:v>
      </x:c>
      <x:c r="K30" s="42" t="str">
        <x:v>Evaluar regla pública para CMD</x:v>
      </x:c>
      <x:c r="L30" s="42" t="str">
        <x:v>RuleLevel=Critical,High,Medium; RuleStatus=Stable</x:v>
      </x:c>
      <x:c r="M30" s="42" t="str">
        <x:v>Ejecutar técnica; lanzar/observar artifact; registrar RuleTitle, Level, MITRE</x:v>
      </x:c>
      <x:c r="N30" s="42" t="str">
        <x:v>Pendiente</x:v>
      </x:c>
      <x:c r="O30" s="42" t="str"/>
      <x:c r="P30" s="42" t="str"/>
      <x:c r="Q30" s="42" t="str"/>
      <x:c r="R30" s="42" t="str"/>
      <x:c r="S30" s="42" t="str">
        <x:v>Pendiente</x:v>
      </x:c>
      <x:c r="T30" s="42" t="str">
        <x:v>Pendiente</x:v>
      </x:c>
      <x:c r="U30" s="42" t="str">
        <x:v>Pendiente</x:v>
      </x:c>
      <x:c r="V30" s="42" t="str"/>
      <x:c r="W30" s="42" t="str"/>
      <x:c r="X30" s="42" t="str"/>
      <x:c r="Y30" s="39"/>
      <x:c r="Z30" s="39"/>
    </x:row>
    <x:row r="31">
      <x:c r="A31" s="42" t="str">
        <x:v>PUB-027</x:v>
      </x:c>
      <x:c r="B31" s="42" t="str">
        <x:v>F2 Hayabusa histórico ampliado</x:v>
      </x:c>
      <x:c r="C31" s="42" t="str">
        <x:v>P3 Medium</x:v>
      </x:c>
      <x:c r="D31" s="42" t="str">
        <x:v>Obligatorio</x:v>
      </x:c>
      <x:c r="E31" s="42" t="str">
        <x:v>Windows.Hayabusa.Rules</x:v>
      </x:c>
      <x:c r="F31" s="42" t="str">
        <x:v>Hunt histórico</x:v>
      </x:c>
      <x:c r="G31" s="42" t="str">
        <x:v>EVTX/Sigma/Hayabusa</x:v>
      </x:c>
      <x:c r="H31" s="42" t="str">
        <x:v>TEC-003</x:v>
      </x:c>
      <x:c r="I31" s="42" t="str">
        <x:v>T1053.005</x:v>
      </x:c>
      <x:c r="J31" s="42" t="str">
        <x:v>Execution/Persistence</x:v>
      </x:c>
      <x:c r="K31" s="42" t="str">
        <x:v>Evaluar regla pública para Scheduled Task</x:v>
      </x:c>
      <x:c r="L31" s="42" t="str">
        <x:v>RuleLevel=Critical,High,Medium; RuleStatus=Stable</x:v>
      </x:c>
      <x:c r="M31" s="42" t="str">
        <x:v>Ejecutar técnica; lanzar/observar artifact; registrar RuleTitle, Level, MITRE</x:v>
      </x:c>
      <x:c r="N31" s="42" t="str">
        <x:v>Pendiente</x:v>
      </x:c>
      <x:c r="O31" s="42" t="str"/>
      <x:c r="P31" s="42" t="str"/>
      <x:c r="Q31" s="42" t="str"/>
      <x:c r="R31" s="42" t="str"/>
      <x:c r="S31" s="42" t="str">
        <x:v>Pendiente</x:v>
      </x:c>
      <x:c r="T31" s="42" t="str">
        <x:v>Pendiente</x:v>
      </x:c>
      <x:c r="U31" s="42" t="str">
        <x:v>Pendiente</x:v>
      </x:c>
      <x:c r="V31" s="42" t="str"/>
      <x:c r="W31" s="42" t="str"/>
      <x:c r="X31" s="42" t="str"/>
      <x:c r="Y31" s="39"/>
      <x:c r="Z31" s="39"/>
    </x:row>
    <x:row r="32">
      <x:c r="A32" s="42" t="str">
        <x:v>PUB-028</x:v>
      </x:c>
      <x:c r="B32" s="42" t="str">
        <x:v>F2 Hayabusa histórico ampliado</x:v>
      </x:c>
      <x:c r="C32" s="42" t="str">
        <x:v>P3 Medium</x:v>
      </x:c>
      <x:c r="D32" s="42" t="str">
        <x:v>Obligatorio</x:v>
      </x:c>
      <x:c r="E32" s="42" t="str">
        <x:v>Windows.Hayabusa.Rules</x:v>
      </x:c>
      <x:c r="F32" s="42" t="str">
        <x:v>Hunt histórico</x:v>
      </x:c>
      <x:c r="G32" s="42" t="str">
        <x:v>EVTX/Sigma/Hayabusa</x:v>
      </x:c>
      <x:c r="H32" s="42" t="str">
        <x:v>TEC-004</x:v>
      </x:c>
      <x:c r="I32" s="42" t="str">
        <x:v>T1547.001</x:v>
      </x:c>
      <x:c r="J32" s="42" t="str">
        <x:v>Persistence</x:v>
      </x:c>
      <x:c r="K32" s="42" t="str">
        <x:v>Evaluar regla pública para Run Keys</x:v>
      </x:c>
      <x:c r="L32" s="42" t="str">
        <x:v>RuleLevel=Critical,High,Medium; RuleStatus=Stable</x:v>
      </x:c>
      <x:c r="M32" s="42" t="str">
        <x:v>Ejecutar técnica; lanzar/observar artifact; registrar RuleTitle, Level, MITRE</x:v>
      </x:c>
      <x:c r="N32" s="42" t="str">
        <x:v>Pendiente</x:v>
      </x:c>
      <x:c r="O32" s="42" t="str"/>
      <x:c r="P32" s="42" t="str"/>
      <x:c r="Q32" s="42" t="str"/>
      <x:c r="R32" s="42" t="str"/>
      <x:c r="S32" s="42" t="str">
        <x:v>Pendiente</x:v>
      </x:c>
      <x:c r="T32" s="42" t="str">
        <x:v>Pendiente</x:v>
      </x:c>
      <x:c r="U32" s="42" t="str">
        <x:v>Pendiente</x:v>
      </x:c>
      <x:c r="V32" s="42" t="str"/>
      <x:c r="W32" s="42" t="str"/>
      <x:c r="X32" s="42" t="str"/>
      <x:c r="Y32" s="39"/>
      <x:c r="Z32" s="39"/>
    </x:row>
    <x:row r="33">
      <x:c r="A33" s="42" t="str">
        <x:v>PUB-029</x:v>
      </x:c>
      <x:c r="B33" s="42" t="str">
        <x:v>F2 Hayabusa histórico ampliado</x:v>
      </x:c>
      <x:c r="C33" s="42" t="str">
        <x:v>P3 Medium</x:v>
      </x:c>
      <x:c r="D33" s="42" t="str">
        <x:v>Obligatorio</x:v>
      </x:c>
      <x:c r="E33" s="42" t="str">
        <x:v>Windows.Hayabusa.Rules</x:v>
      </x:c>
      <x:c r="F33" s="42" t="str">
        <x:v>Hunt histórico</x:v>
      </x:c>
      <x:c r="G33" s="42" t="str">
        <x:v>EVTX/Sigma/Hayabusa</x:v>
      </x:c>
      <x:c r="H33" s="42" t="str">
        <x:v>TEC-005</x:v>
      </x:c>
      <x:c r="I33" s="42" t="str">
        <x:v>T1569.002</x:v>
      </x:c>
      <x:c r="J33" s="42" t="str">
        <x:v>Execution</x:v>
      </x:c>
      <x:c r="K33" s="42" t="str">
        <x:v>Evaluar regla pública para Service Execution</x:v>
      </x:c>
      <x:c r="L33" s="42" t="str">
        <x:v>RuleLevel=Critical,High,Medium; RuleStatus=Stable</x:v>
      </x:c>
      <x:c r="M33" s="42" t="str">
        <x:v>Ejecutar técnica; lanzar/observar artifact; registrar RuleTitle, Level, MITRE</x:v>
      </x:c>
      <x:c r="N33" s="42" t="str">
        <x:v>Pendiente</x:v>
      </x:c>
      <x:c r="O33" s="42" t="str"/>
      <x:c r="P33" s="42" t="str"/>
      <x:c r="Q33" s="42" t="str"/>
      <x:c r="R33" s="42" t="str"/>
      <x:c r="S33" s="42" t="str">
        <x:v>Pendiente</x:v>
      </x:c>
      <x:c r="T33" s="42" t="str">
        <x:v>Pendiente</x:v>
      </x:c>
      <x:c r="U33" s="42" t="str">
        <x:v>Pendiente</x:v>
      </x:c>
      <x:c r="V33" s="42" t="str"/>
      <x:c r="W33" s="42" t="str"/>
      <x:c r="X33" s="42" t="str"/>
      <x:c r="Y33" s="39"/>
      <x:c r="Z33" s="39"/>
    </x:row>
    <x:row r="34">
      <x:c r="A34" s="42" t="str">
        <x:v>PUB-030</x:v>
      </x:c>
      <x:c r="B34" s="42" t="str">
        <x:v>F2 Hayabusa histórico ampliado</x:v>
      </x:c>
      <x:c r="C34" s="42" t="str">
        <x:v>P3 Medium</x:v>
      </x:c>
      <x:c r="D34" s="42" t="str">
        <x:v>Obligatorio</x:v>
      </x:c>
      <x:c r="E34" s="42" t="str">
        <x:v>Windows.Hayabusa.Rules</x:v>
      </x:c>
      <x:c r="F34" s="42" t="str">
        <x:v>Hunt histórico</x:v>
      </x:c>
      <x:c r="G34" s="42" t="str">
        <x:v>EVTX/Sigma/Hayabusa</x:v>
      </x:c>
      <x:c r="H34" s="42" t="str">
        <x:v>TEC-006</x:v>
      </x:c>
      <x:c r="I34" s="42" t="str">
        <x:v>T1518.001</x:v>
      </x:c>
      <x:c r="J34" s="42" t="str">
        <x:v>Discovery</x:v>
      </x:c>
      <x:c r="K34" s="42" t="str">
        <x:v>Evaluar regla pública para Security Discovery</x:v>
      </x:c>
      <x:c r="L34" s="42" t="str">
        <x:v>RuleLevel=Critical,High,Medium; RuleStatus=Stable</x:v>
      </x:c>
      <x:c r="M34" s="42" t="str">
        <x:v>Ejecutar técnica; lanzar/observar artifact; registrar RuleTitle, Level, MITRE</x:v>
      </x:c>
      <x:c r="N34" s="42" t="str">
        <x:v>Pendiente</x:v>
      </x:c>
      <x:c r="O34" s="42" t="str"/>
      <x:c r="P34" s="42" t="str"/>
      <x:c r="Q34" s="42" t="str"/>
      <x:c r="R34" s="42" t="str"/>
      <x:c r="S34" s="42" t="str">
        <x:v>Pendiente</x:v>
      </x:c>
      <x:c r="T34" s="42" t="str">
        <x:v>Pendiente</x:v>
      </x:c>
      <x:c r="U34" s="42" t="str">
        <x:v>Pendiente</x:v>
      </x:c>
      <x:c r="V34" s="42" t="str"/>
      <x:c r="W34" s="42" t="str"/>
      <x:c r="X34" s="42" t="str"/>
      <x:c r="Y34" s="39"/>
      <x:c r="Z34" s="39"/>
    </x:row>
    <x:row r="35">
      <x:c r="A35" s="42" t="str">
        <x:v>PUB-031</x:v>
      </x:c>
      <x:c r="B35" s="42" t="str">
        <x:v>F2 Hayabusa histórico ampliado</x:v>
      </x:c>
      <x:c r="C35" s="42" t="str">
        <x:v>P3 Medium</x:v>
      </x:c>
      <x:c r="D35" s="42" t="str">
        <x:v>Obligatorio</x:v>
      </x:c>
      <x:c r="E35" s="42" t="str">
        <x:v>Windows.Hayabusa.Rules</x:v>
      </x:c>
      <x:c r="F35" s="42" t="str">
        <x:v>Hunt histórico</x:v>
      </x:c>
      <x:c r="G35" s="42" t="str">
        <x:v>EVTX/Sigma/Hayabusa</x:v>
      </x:c>
      <x:c r="H35" s="42" t="str">
        <x:v>TEC-007</x:v>
      </x:c>
      <x:c r="I35" s="42" t="str">
        <x:v>T1486</x:v>
      </x:c>
      <x:c r="J35" s="42" t="str">
        <x:v>Impact</x:v>
      </x:c>
      <x:c r="K35" s="42" t="str">
        <x:v>Evaluar regla pública para Ransomware-like crypto</x:v>
      </x:c>
      <x:c r="L35" s="42" t="str">
        <x:v>RuleLevel=Critical,High,Medium; RuleStatus=Stable</x:v>
      </x:c>
      <x:c r="M35" s="42" t="str">
        <x:v>Ejecutar técnica; lanzar/observar artifact; registrar RuleTitle, Level, MITRE</x:v>
      </x:c>
      <x:c r="N35" s="42" t="str">
        <x:v>Pendiente</x:v>
      </x:c>
      <x:c r="O35" s="42" t="str"/>
      <x:c r="P35" s="42" t="str"/>
      <x:c r="Q35" s="42" t="str"/>
      <x:c r="R35" s="42" t="str"/>
      <x:c r="S35" s="42" t="str">
        <x:v>Pendiente</x:v>
      </x:c>
      <x:c r="T35" s="42" t="str">
        <x:v>Pendiente</x:v>
      </x:c>
      <x:c r="U35" s="42" t="str">
        <x:v>Pendiente</x:v>
      </x:c>
      <x:c r="V35" s="42" t="str"/>
      <x:c r="W35" s="42" t="str"/>
      <x:c r="X35" s="42" t="str"/>
      <x:c r="Y35" s="39"/>
      <x:c r="Z35" s="39"/>
    </x:row>
    <x:row r="36">
      <x:c r="A36" s="42" t="str">
        <x:v>PUB-032</x:v>
      </x:c>
      <x:c r="B36" s="42" t="str">
        <x:v>F2 Hayabusa histórico ampliado</x:v>
      </x:c>
      <x:c r="C36" s="42" t="str">
        <x:v>P3 Medium</x:v>
      </x:c>
      <x:c r="D36" s="42" t="str">
        <x:v>Obligatorio</x:v>
      </x:c>
      <x:c r="E36" s="42" t="str">
        <x:v>Windows.Hayabusa.Rules</x:v>
      </x:c>
      <x:c r="F36" s="42" t="str">
        <x:v>Hunt histórico</x:v>
      </x:c>
      <x:c r="G36" s="42" t="str">
        <x:v>EVTX/Sigma/Hayabusa</x:v>
      </x:c>
      <x:c r="H36" s="42" t="str">
        <x:v>TEC-008</x:v>
      </x:c>
      <x:c r="I36" s="42" t="str">
        <x:v>T1485</x:v>
      </x:c>
      <x:c r="J36" s="42" t="str">
        <x:v>Impact</x:v>
      </x:c>
      <x:c r="K36" s="42" t="str">
        <x:v>Evaluar regla pública para Data Destruction</x:v>
      </x:c>
      <x:c r="L36" s="42" t="str">
        <x:v>RuleLevel=Critical,High,Medium; RuleStatus=Stable</x:v>
      </x:c>
      <x:c r="M36" s="42" t="str">
        <x:v>Ejecutar técnica; lanzar/observar artifact; registrar RuleTitle, Level, MITRE</x:v>
      </x:c>
      <x:c r="N36" s="42" t="str">
        <x:v>Pendiente</x:v>
      </x:c>
      <x:c r="O36" s="42" t="str"/>
      <x:c r="P36" s="42" t="str"/>
      <x:c r="Q36" s="42" t="str"/>
      <x:c r="R36" s="42" t="str"/>
      <x:c r="S36" s="42" t="str">
        <x:v>Pendiente</x:v>
      </x:c>
      <x:c r="T36" s="42" t="str">
        <x:v>Pendiente</x:v>
      </x:c>
      <x:c r="U36" s="42" t="str">
        <x:v>Pendiente</x:v>
      </x:c>
      <x:c r="V36" s="42" t="str"/>
      <x:c r="W36" s="42" t="str"/>
      <x:c r="X36" s="42" t="str"/>
      <x:c r="Y36" s="39"/>
      <x:c r="Z36" s="39"/>
    </x:row>
    <x:row r="37">
      <x:c r="A37" s="42" t="str">
        <x:v>PUB-033</x:v>
      </x:c>
      <x:c r="B37" s="42" t="str">
        <x:v>F2 Hayabusa histórico ampliado</x:v>
      </x:c>
      <x:c r="C37" s="42" t="str">
        <x:v>P3 Medium</x:v>
      </x:c>
      <x:c r="D37" s="42" t="str">
        <x:v>Obligatorio</x:v>
      </x:c>
      <x:c r="E37" s="42" t="str">
        <x:v>Windows.Hayabusa.Rules</x:v>
      </x:c>
      <x:c r="F37" s="42" t="str">
        <x:v>Hunt histórico</x:v>
      </x:c>
      <x:c r="G37" s="42" t="str">
        <x:v>EVTX/Sigma/Hayabusa</x:v>
      </x:c>
      <x:c r="H37" s="42" t="str">
        <x:v>TEC-009</x:v>
      </x:c>
      <x:c r="I37" s="42" t="str">
        <x:v>T1074.001/T1560.001</x:v>
      </x:c>
      <x:c r="J37" s="42" t="str">
        <x:v>Collection</x:v>
      </x:c>
      <x:c r="K37" s="42" t="str">
        <x:v>Evaluar regla pública para Staging/Archive</x:v>
      </x:c>
      <x:c r="L37" s="42" t="str">
        <x:v>RuleLevel=Critical,High,Medium; RuleStatus=Stable</x:v>
      </x:c>
      <x:c r="M37" s="42" t="str">
        <x:v>Ejecutar técnica; lanzar/observar artifact; registrar RuleTitle, Level, MITRE</x:v>
      </x:c>
      <x:c r="N37" s="42" t="str">
        <x:v>Pendiente</x:v>
      </x:c>
      <x:c r="O37" s="42" t="str"/>
      <x:c r="P37" s="42" t="str"/>
      <x:c r="Q37" s="42" t="str"/>
      <x:c r="R37" s="42" t="str"/>
      <x:c r="S37" s="42" t="str">
        <x:v>Pendiente</x:v>
      </x:c>
      <x:c r="T37" s="42" t="str">
        <x:v>Pendiente</x:v>
      </x:c>
      <x:c r="U37" s="42" t="str">
        <x:v>Pendiente</x:v>
      </x:c>
      <x:c r="V37" s="42" t="str"/>
      <x:c r="W37" s="42" t="str"/>
      <x:c r="X37" s="42" t="str"/>
      <x:c r="Y37" s="39"/>
      <x:c r="Z37" s="39"/>
    </x:row>
    <x:row r="38">
      <x:c r="A38" s="42" t="str">
        <x:v>PUB-034</x:v>
      </x:c>
      <x:c r="B38" s="42" t="str">
        <x:v>F2 Hayabusa monitoring</x:v>
      </x:c>
      <x:c r="C38" s="42" t="str">
        <x:v>P3 Medium</x:v>
      </x:c>
      <x:c r="D38" s="42" t="str">
        <x:v>Obligatorio</x:v>
      </x:c>
      <x:c r="E38" s="42" t="str">
        <x:v>Windows.Hayabusa.Monitoring</x:v>
      </x:c>
      <x:c r="F38" s="42" t="str">
        <x:v>CLIENT_EVENT</x:v>
      </x:c>
      <x:c r="G38" s="42" t="str">
        <x:v>EVTX/Sigma/Hayabusa</x:v>
      </x:c>
      <x:c r="H38" s="42" t="str">
        <x:v>TEC-001</x:v>
      </x:c>
      <x:c r="I38" s="42" t="str">
        <x:v>T1059.001</x:v>
      </x:c>
      <x:c r="J38" s="42" t="str">
        <x:v>Execution</x:v>
      </x:c>
      <x:c r="K38" s="42" t="str">
        <x:v>Evaluar regla pública para PowerShell</x:v>
      </x:c>
      <x:c r="L38" s="42" t="str">
        <x:v>RuleLevel=Critical,High; RuleStatus=Stable</x:v>
      </x:c>
      <x:c r="M38" s="42" t="str">
        <x:v>Ejecutar técnica; lanzar/observar artifact; registrar RuleTitle, Level, MITRE</x:v>
      </x:c>
      <x:c r="N38" s="42" t="str">
        <x:v>Pendiente</x:v>
      </x:c>
      <x:c r="O38" s="42" t="str"/>
      <x:c r="P38" s="42" t="str"/>
      <x:c r="Q38" s="42" t="str"/>
      <x:c r="R38" s="42" t="str"/>
      <x:c r="S38" s="42" t="str">
        <x:v>Pendiente</x:v>
      </x:c>
      <x:c r="T38" s="42" t="str">
        <x:v>Pendiente</x:v>
      </x:c>
      <x:c r="U38" s="42" t="str">
        <x:v>Pendiente</x:v>
      </x:c>
      <x:c r="V38" s="42" t="str"/>
      <x:c r="W38" s="42" t="str"/>
      <x:c r="X38" s="42" t="str"/>
      <x:c r="Y38" s="39"/>
      <x:c r="Z38" s="39"/>
    </x:row>
    <x:row r="39">
      <x:c r="A39" s="42" t="str">
        <x:v>PUB-035</x:v>
      </x:c>
      <x:c r="B39" s="42" t="str">
        <x:v>F2 Hayabusa monitoring</x:v>
      </x:c>
      <x:c r="C39" s="42" t="str">
        <x:v>P3 Medium</x:v>
      </x:c>
      <x:c r="D39" s="42" t="str">
        <x:v>Obligatorio</x:v>
      </x:c>
      <x:c r="E39" s="42" t="str">
        <x:v>Windows.Hayabusa.Monitoring</x:v>
      </x:c>
      <x:c r="F39" s="42" t="str">
        <x:v>CLIENT_EVENT</x:v>
      </x:c>
      <x:c r="G39" s="42" t="str">
        <x:v>EVTX/Sigma/Hayabusa</x:v>
      </x:c>
      <x:c r="H39" s="42" t="str">
        <x:v>TEC-002</x:v>
      </x:c>
      <x:c r="I39" s="42" t="str">
        <x:v>T1059.003</x:v>
      </x:c>
      <x:c r="J39" s="42" t="str">
        <x:v>Execution</x:v>
      </x:c>
      <x:c r="K39" s="42" t="str">
        <x:v>Evaluar regla pública para CMD</x:v>
      </x:c>
      <x:c r="L39" s="42" t="str">
        <x:v>RuleLevel=Critical,High; RuleStatus=Stable</x:v>
      </x:c>
      <x:c r="M39" s="42" t="str">
        <x:v>Ejecutar técnica; lanzar/observar artifact; registrar RuleTitle, Level, MITRE</x:v>
      </x:c>
      <x:c r="N39" s="42" t="str">
        <x:v>Pendiente</x:v>
      </x:c>
      <x:c r="O39" s="42" t="str"/>
      <x:c r="P39" s="42" t="str"/>
      <x:c r="Q39" s="42" t="str"/>
      <x:c r="R39" s="42" t="str"/>
      <x:c r="S39" s="42" t="str">
        <x:v>Pendiente</x:v>
      </x:c>
      <x:c r="T39" s="42" t="str">
        <x:v>Pendiente</x:v>
      </x:c>
      <x:c r="U39" s="42" t="str">
        <x:v>Pendiente</x:v>
      </x:c>
      <x:c r="V39" s="42" t="str"/>
      <x:c r="W39" s="42" t="str"/>
      <x:c r="X39" s="42" t="str"/>
      <x:c r="Y39" s="39"/>
      <x:c r="Z39" s="39"/>
    </x:row>
    <x:row r="40">
      <x:c r="A40" s="42" t="str">
        <x:v>PUB-036</x:v>
      </x:c>
      <x:c r="B40" s="42" t="str">
        <x:v>F2 Hayabusa monitoring</x:v>
      </x:c>
      <x:c r="C40" s="42" t="str">
        <x:v>P3 Medium</x:v>
      </x:c>
      <x:c r="D40" s="42" t="str">
        <x:v>Obligatorio</x:v>
      </x:c>
      <x:c r="E40" s="42" t="str">
        <x:v>Windows.Hayabusa.Monitoring</x:v>
      </x:c>
      <x:c r="F40" s="42" t="str">
        <x:v>CLIENT_EVENT</x:v>
      </x:c>
      <x:c r="G40" s="42" t="str">
        <x:v>EVTX/Sigma/Hayabusa</x:v>
      </x:c>
      <x:c r="H40" s="42" t="str">
        <x:v>TEC-003</x:v>
      </x:c>
      <x:c r="I40" s="42" t="str">
        <x:v>T1053.005</x:v>
      </x:c>
      <x:c r="J40" s="42" t="str">
        <x:v>Execution/Persistence</x:v>
      </x:c>
      <x:c r="K40" s="42" t="str">
        <x:v>Evaluar regla pública para Scheduled Task</x:v>
      </x:c>
      <x:c r="L40" s="42" t="str">
        <x:v>RuleLevel=Critical,High; RuleStatus=Stable</x:v>
      </x:c>
      <x:c r="M40" s="42" t="str">
        <x:v>Ejecutar técnica; lanzar/observar artifact; registrar RuleTitle, Level, MITRE</x:v>
      </x:c>
      <x:c r="N40" s="42" t="str">
        <x:v>Pendiente</x:v>
      </x:c>
      <x:c r="O40" s="42" t="str"/>
      <x:c r="P40" s="42" t="str"/>
      <x:c r="Q40" s="42" t="str"/>
      <x:c r="R40" s="42" t="str"/>
      <x:c r="S40" s="42" t="str">
        <x:v>Pendiente</x:v>
      </x:c>
      <x:c r="T40" s="42" t="str">
        <x:v>Pendiente</x:v>
      </x:c>
      <x:c r="U40" s="42" t="str">
        <x:v>Pendiente</x:v>
      </x:c>
      <x:c r="V40" s="42" t="str"/>
      <x:c r="W40" s="42" t="str"/>
      <x:c r="X40" s="42" t="str"/>
      <x:c r="Y40" s="39"/>
      <x:c r="Z40" s="39"/>
    </x:row>
    <x:row r="41">
      <x:c r="A41" s="42" t="str">
        <x:v>PUB-037</x:v>
      </x:c>
      <x:c r="B41" s="42" t="str">
        <x:v>F2 Hayabusa monitoring</x:v>
      </x:c>
      <x:c r="C41" s="42" t="str">
        <x:v>P3 Medium</x:v>
      </x:c>
      <x:c r="D41" s="42" t="str">
        <x:v>Obligatorio</x:v>
      </x:c>
      <x:c r="E41" s="42" t="str">
        <x:v>Windows.Hayabusa.Monitoring</x:v>
      </x:c>
      <x:c r="F41" s="42" t="str">
        <x:v>CLIENT_EVENT</x:v>
      </x:c>
      <x:c r="G41" s="42" t="str">
        <x:v>EVTX/Sigma/Hayabusa</x:v>
      </x:c>
      <x:c r="H41" s="42" t="str">
        <x:v>TEC-004</x:v>
      </x:c>
      <x:c r="I41" s="42" t="str">
        <x:v>T1547.001</x:v>
      </x:c>
      <x:c r="J41" s="42" t="str">
        <x:v>Persistence</x:v>
      </x:c>
      <x:c r="K41" s="42" t="str">
        <x:v>Evaluar regla pública para Run Keys</x:v>
      </x:c>
      <x:c r="L41" s="42" t="str">
        <x:v>RuleLevel=Critical,High; RuleStatus=Stable</x:v>
      </x:c>
      <x:c r="M41" s="42" t="str">
        <x:v>Ejecutar técnica; lanzar/observar artifact; registrar RuleTitle, Level, MITRE</x:v>
      </x:c>
      <x:c r="N41" s="42" t="str">
        <x:v>Pendiente</x:v>
      </x:c>
      <x:c r="O41" s="42" t="str"/>
      <x:c r="P41" s="42" t="str"/>
      <x:c r="Q41" s="42" t="str"/>
      <x:c r="R41" s="42" t="str"/>
      <x:c r="S41" s="42" t="str">
        <x:v>Pendiente</x:v>
      </x:c>
      <x:c r="T41" s="42" t="str">
        <x:v>Pendiente</x:v>
      </x:c>
      <x:c r="U41" s="42" t="str">
        <x:v>Pendiente</x:v>
      </x:c>
      <x:c r="V41" s="42" t="str"/>
      <x:c r="W41" s="42" t="str"/>
      <x:c r="X41" s="42" t="str"/>
      <x:c r="Y41" s="39"/>
      <x:c r="Z41" s="39"/>
    </x:row>
    <x:row r="42">
      <x:c r="A42" s="42" t="str">
        <x:v>PUB-038</x:v>
      </x:c>
      <x:c r="B42" s="42" t="str">
        <x:v>F2 Hayabusa monitoring</x:v>
      </x:c>
      <x:c r="C42" s="42" t="str">
        <x:v>P3 Medium</x:v>
      </x:c>
      <x:c r="D42" s="42" t="str">
        <x:v>Obligatorio</x:v>
      </x:c>
      <x:c r="E42" s="42" t="str">
        <x:v>Windows.Hayabusa.Monitoring</x:v>
      </x:c>
      <x:c r="F42" s="42" t="str">
        <x:v>CLIENT_EVENT</x:v>
      </x:c>
      <x:c r="G42" s="42" t="str">
        <x:v>EVTX/Sigma/Hayabusa</x:v>
      </x:c>
      <x:c r="H42" s="42" t="str">
        <x:v>TEC-005</x:v>
      </x:c>
      <x:c r="I42" s="42" t="str">
        <x:v>T1569.002</x:v>
      </x:c>
      <x:c r="J42" s="42" t="str">
        <x:v>Execution</x:v>
      </x:c>
      <x:c r="K42" s="42" t="str">
        <x:v>Evaluar regla pública para Service Execution</x:v>
      </x:c>
      <x:c r="L42" s="42" t="str">
        <x:v>RuleLevel=Critical,High; RuleStatus=Stable</x:v>
      </x:c>
      <x:c r="M42" s="42" t="str">
        <x:v>Ejecutar técnica; lanzar/observar artifact; registrar RuleTitle, Level, MITRE</x:v>
      </x:c>
      <x:c r="N42" s="42" t="str">
        <x:v>Pendiente</x:v>
      </x:c>
      <x:c r="O42" s="42" t="str"/>
      <x:c r="P42" s="42" t="str"/>
      <x:c r="Q42" s="42" t="str"/>
      <x:c r="R42" s="42" t="str"/>
      <x:c r="S42" s="42" t="str">
        <x:v>Pendiente</x:v>
      </x:c>
      <x:c r="T42" s="42" t="str">
        <x:v>Pendiente</x:v>
      </x:c>
      <x:c r="U42" s="42" t="str">
        <x:v>Pendiente</x:v>
      </x:c>
      <x:c r="V42" s="42" t="str"/>
      <x:c r="W42" s="42" t="str"/>
      <x:c r="X42" s="42" t="str"/>
      <x:c r="Y42" s="39"/>
      <x:c r="Z42" s="39"/>
    </x:row>
    <x:row r="43">
      <x:c r="A43" s="42" t="str">
        <x:v>PUB-039</x:v>
      </x:c>
      <x:c r="B43" s="42" t="str">
        <x:v>F2 Hayabusa monitoring</x:v>
      </x:c>
      <x:c r="C43" s="42" t="str">
        <x:v>P3 Medium</x:v>
      </x:c>
      <x:c r="D43" s="42" t="str">
        <x:v>Obligatorio</x:v>
      </x:c>
      <x:c r="E43" s="42" t="str">
        <x:v>Windows.Hayabusa.Monitoring</x:v>
      </x:c>
      <x:c r="F43" s="42" t="str">
        <x:v>CLIENT_EVENT</x:v>
      </x:c>
      <x:c r="G43" s="42" t="str">
        <x:v>EVTX/Sigma/Hayabusa</x:v>
      </x:c>
      <x:c r="H43" s="42" t="str">
        <x:v>TEC-006</x:v>
      </x:c>
      <x:c r="I43" s="42" t="str">
        <x:v>T1518.001</x:v>
      </x:c>
      <x:c r="J43" s="42" t="str">
        <x:v>Discovery</x:v>
      </x:c>
      <x:c r="K43" s="42" t="str">
        <x:v>Evaluar regla pública para Security Discovery</x:v>
      </x:c>
      <x:c r="L43" s="42" t="str">
        <x:v>RuleLevel=Critical,High; RuleStatus=Stable</x:v>
      </x:c>
      <x:c r="M43" s="42" t="str">
        <x:v>Ejecutar técnica; lanzar/observar artifact; registrar RuleTitle, Level, MITRE</x:v>
      </x:c>
      <x:c r="N43" s="42" t="str">
        <x:v>Pendiente</x:v>
      </x:c>
      <x:c r="O43" s="42" t="str"/>
      <x:c r="P43" s="42" t="str"/>
      <x:c r="Q43" s="42" t="str"/>
      <x:c r="R43" s="42" t="str"/>
      <x:c r="S43" s="42" t="str">
        <x:v>Pendiente</x:v>
      </x:c>
      <x:c r="T43" s="42" t="str">
        <x:v>Pendiente</x:v>
      </x:c>
      <x:c r="U43" s="42" t="str">
        <x:v>Pendiente</x:v>
      </x:c>
      <x:c r="V43" s="42" t="str"/>
      <x:c r="W43" s="42" t="str"/>
      <x:c r="X43" s="42" t="str"/>
      <x:c r="Y43" s="39"/>
      <x:c r="Z43" s="39"/>
    </x:row>
    <x:row r="44">
      <x:c r="A44" s="42" t="str">
        <x:v>PUB-040</x:v>
      </x:c>
      <x:c r="B44" s="42" t="str">
        <x:v>F2 Hayabusa monitoring</x:v>
      </x:c>
      <x:c r="C44" s="42" t="str">
        <x:v>P3 Medium</x:v>
      </x:c>
      <x:c r="D44" s="42" t="str">
        <x:v>Obligatorio</x:v>
      </x:c>
      <x:c r="E44" s="42" t="str">
        <x:v>Windows.Hayabusa.Monitoring</x:v>
      </x:c>
      <x:c r="F44" s="42" t="str">
        <x:v>CLIENT_EVENT</x:v>
      </x:c>
      <x:c r="G44" s="42" t="str">
        <x:v>EVTX/Sigma/Hayabusa</x:v>
      </x:c>
      <x:c r="H44" s="42" t="str">
        <x:v>TEC-007</x:v>
      </x:c>
      <x:c r="I44" s="42" t="str">
        <x:v>T1486</x:v>
      </x:c>
      <x:c r="J44" s="42" t="str">
        <x:v>Impact</x:v>
      </x:c>
      <x:c r="K44" s="42" t="str">
        <x:v>Evaluar regla pública para Ransomware-like crypto</x:v>
      </x:c>
      <x:c r="L44" s="42" t="str">
        <x:v>RuleLevel=Critical,High; RuleStatus=Stable</x:v>
      </x:c>
      <x:c r="M44" s="42" t="str">
        <x:v>Ejecutar técnica; lanzar/observar artifact; registrar RuleTitle, Level, MITRE</x:v>
      </x:c>
      <x:c r="N44" s="42" t="str">
        <x:v>Pendiente</x:v>
      </x:c>
      <x:c r="O44" s="42" t="str"/>
      <x:c r="P44" s="42" t="str"/>
      <x:c r="Q44" s="42" t="str"/>
      <x:c r="R44" s="42" t="str"/>
      <x:c r="S44" s="42" t="str">
        <x:v>Pendiente</x:v>
      </x:c>
      <x:c r="T44" s="42" t="str">
        <x:v>Pendiente</x:v>
      </x:c>
      <x:c r="U44" s="42" t="str">
        <x:v>Pendiente</x:v>
      </x:c>
      <x:c r="V44" s="42" t="str"/>
      <x:c r="W44" s="42" t="str"/>
      <x:c r="X44" s="42" t="str"/>
      <x:c r="Y44" s="39"/>
      <x:c r="Z44" s="39"/>
    </x:row>
    <x:row r="45">
      <x:c r="A45" s="42" t="str">
        <x:v>PUB-041</x:v>
      </x:c>
      <x:c r="B45" s="42" t="str">
        <x:v>F2 Hayabusa monitoring</x:v>
      </x:c>
      <x:c r="C45" s="42" t="str">
        <x:v>P3 Medium</x:v>
      </x:c>
      <x:c r="D45" s="42" t="str">
        <x:v>Obligatorio</x:v>
      </x:c>
      <x:c r="E45" s="42" t="str">
        <x:v>Windows.Hayabusa.Monitoring</x:v>
      </x:c>
      <x:c r="F45" s="42" t="str">
        <x:v>CLIENT_EVENT</x:v>
      </x:c>
      <x:c r="G45" s="42" t="str">
        <x:v>EVTX/Sigma/Hayabusa</x:v>
      </x:c>
      <x:c r="H45" s="42" t="str">
        <x:v>TEC-008</x:v>
      </x:c>
      <x:c r="I45" s="42" t="str">
        <x:v>T1485</x:v>
      </x:c>
      <x:c r="J45" s="42" t="str">
        <x:v>Impact</x:v>
      </x:c>
      <x:c r="K45" s="42" t="str">
        <x:v>Evaluar regla pública para Data Destruction</x:v>
      </x:c>
      <x:c r="L45" s="42" t="str">
        <x:v>RuleLevel=Critical,High; RuleStatus=Stable</x:v>
      </x:c>
      <x:c r="M45" s="42" t="str">
        <x:v>Ejecutar técnica; lanzar/observar artifact; registrar RuleTitle, Level, MITRE</x:v>
      </x:c>
      <x:c r="N45" s="42" t="str">
        <x:v>Pendiente</x:v>
      </x:c>
      <x:c r="O45" s="42" t="str"/>
      <x:c r="P45" s="42" t="str"/>
      <x:c r="Q45" s="42" t="str"/>
      <x:c r="R45" s="42" t="str"/>
      <x:c r="S45" s="42" t="str">
        <x:v>Pendiente</x:v>
      </x:c>
      <x:c r="T45" s="42" t="str">
        <x:v>Pendiente</x:v>
      </x:c>
      <x:c r="U45" s="42" t="str">
        <x:v>Pendiente</x:v>
      </x:c>
      <x:c r="V45" s="42" t="str"/>
      <x:c r="W45" s="42" t="str"/>
      <x:c r="X45" s="42" t="str"/>
      <x:c r="Y45" s="39"/>
      <x:c r="Z45" s="39"/>
    </x:row>
    <x:row r="46">
      <x:c r="A46" s="42" t="str">
        <x:v>PUB-042</x:v>
      </x:c>
      <x:c r="B46" s="42" t="str">
        <x:v>F2 Hayabusa monitoring</x:v>
      </x:c>
      <x:c r="C46" s="42" t="str">
        <x:v>P3 Medium</x:v>
      </x:c>
      <x:c r="D46" s="42" t="str">
        <x:v>Obligatorio</x:v>
      </x:c>
      <x:c r="E46" s="42" t="str">
        <x:v>Windows.Hayabusa.Monitoring</x:v>
      </x:c>
      <x:c r="F46" s="42" t="str">
        <x:v>CLIENT_EVENT</x:v>
      </x:c>
      <x:c r="G46" s="42" t="str">
        <x:v>EVTX/Sigma/Hayabusa</x:v>
      </x:c>
      <x:c r="H46" s="42" t="str">
        <x:v>TEC-009</x:v>
      </x:c>
      <x:c r="I46" s="42" t="str">
        <x:v>T1074.001/T1560.001</x:v>
      </x:c>
      <x:c r="J46" s="42" t="str">
        <x:v>Collection</x:v>
      </x:c>
      <x:c r="K46" s="42" t="str">
        <x:v>Evaluar regla pública para Staging/Archive</x:v>
      </x:c>
      <x:c r="L46" s="42" t="str">
        <x:v>RuleLevel=Critical,High; RuleStatus=Stable</x:v>
      </x:c>
      <x:c r="M46" s="42" t="str">
        <x:v>Ejecutar técnica; lanzar/observar artifact; registrar RuleTitle, Level, MITRE</x:v>
      </x:c>
      <x:c r="N46" s="42" t="str">
        <x:v>Pendiente</x:v>
      </x:c>
      <x:c r="O46" s="42" t="str"/>
      <x:c r="P46" s="42" t="str"/>
      <x:c r="Q46" s="42" t="str"/>
      <x:c r="R46" s="42" t="str"/>
      <x:c r="S46" s="42" t="str">
        <x:v>Pendiente</x:v>
      </x:c>
      <x:c r="T46" s="42" t="str">
        <x:v>Pendiente</x:v>
      </x:c>
      <x:c r="U46" s="42" t="str">
        <x:v>Pendiente</x:v>
      </x:c>
      <x:c r="V46" s="42" t="str"/>
      <x:c r="W46" s="42" t="str"/>
      <x:c r="X46" s="42" t="str"/>
      <x:c r="Y46" s="39"/>
      <x:c r="Z46" s="39"/>
    </x:row>
    <x:row r="47">
      <x:c r="A47" s="42" t="str">
        <x:v>PUB-043</x:v>
      </x:c>
      <x:c r="B47" s="42" t="str">
        <x:v>F2 Hayabusa monitoring ampliado</x:v>
      </x:c>
      <x:c r="C47" s="42" t="str">
        <x:v>P3 Medium</x:v>
      </x:c>
      <x:c r="D47" s="42" t="str">
        <x:v>Obligatorio</x:v>
      </x:c>
      <x:c r="E47" s="42" t="str">
        <x:v>Windows.Hayabusa.Monitoring</x:v>
      </x:c>
      <x:c r="F47" s="42" t="str">
        <x:v>CLIENT_EVENT</x:v>
      </x:c>
      <x:c r="G47" s="42" t="str">
        <x:v>EVTX/Sigma/Hayabusa</x:v>
      </x:c>
      <x:c r="H47" s="42" t="str">
        <x:v>TEC-001</x:v>
      </x:c>
      <x:c r="I47" s="42" t="str">
        <x:v>T1059.001</x:v>
      </x:c>
      <x:c r="J47" s="42" t="str">
        <x:v>Execution</x:v>
      </x:c>
      <x:c r="K47" s="42" t="str">
        <x:v>Evaluar regla pública para PowerShell</x:v>
      </x:c>
      <x:c r="L47" s="42" t="str">
        <x:v>RuleLevel=Critical,High,Medium; RuleStatus=Stable</x:v>
      </x:c>
      <x:c r="M47" s="42" t="str">
        <x:v>Ejecutar técnica; lanzar/observar artifact; registrar RuleTitle, Level, MITRE</x:v>
      </x:c>
      <x:c r="N47" s="42" t="str">
        <x:v>Pendiente</x:v>
      </x:c>
      <x:c r="O47" s="42" t="str"/>
      <x:c r="P47" s="42" t="str"/>
      <x:c r="Q47" s="42" t="str"/>
      <x:c r="R47" s="42" t="str"/>
      <x:c r="S47" s="42" t="str">
        <x:v>Pendiente</x:v>
      </x:c>
      <x:c r="T47" s="42" t="str">
        <x:v>Pendiente</x:v>
      </x:c>
      <x:c r="U47" s="42" t="str">
        <x:v>Pendiente</x:v>
      </x:c>
      <x:c r="V47" s="42" t="str"/>
      <x:c r="W47" s="42" t="str"/>
      <x:c r="X47" s="42" t="str"/>
      <x:c r="Y47" s="39"/>
      <x:c r="Z47" s="39"/>
    </x:row>
    <x:row r="48">
      <x:c r="A48" s="42" t="str">
        <x:v>PUB-044</x:v>
      </x:c>
      <x:c r="B48" s="42" t="str">
        <x:v>F2 Hayabusa monitoring ampliado</x:v>
      </x:c>
      <x:c r="C48" s="42" t="str">
        <x:v>P3 Medium</x:v>
      </x:c>
      <x:c r="D48" s="42" t="str">
        <x:v>Obligatorio</x:v>
      </x:c>
      <x:c r="E48" s="42" t="str">
        <x:v>Windows.Hayabusa.Monitoring</x:v>
      </x:c>
      <x:c r="F48" s="42" t="str">
        <x:v>CLIENT_EVENT</x:v>
      </x:c>
      <x:c r="G48" s="42" t="str">
        <x:v>EVTX/Sigma/Hayabusa</x:v>
      </x:c>
      <x:c r="H48" s="42" t="str">
        <x:v>TEC-002</x:v>
      </x:c>
      <x:c r="I48" s="42" t="str">
        <x:v>T1059.003</x:v>
      </x:c>
      <x:c r="J48" s="42" t="str">
        <x:v>Execution</x:v>
      </x:c>
      <x:c r="K48" s="42" t="str">
        <x:v>Evaluar regla pública para CMD</x:v>
      </x:c>
      <x:c r="L48" s="42" t="str">
        <x:v>RuleLevel=Critical,High,Medium; RuleStatus=Stable</x:v>
      </x:c>
      <x:c r="M48" s="42" t="str">
        <x:v>Ejecutar técnica; lanzar/observar artifact; registrar RuleTitle, Level, MITRE</x:v>
      </x:c>
      <x:c r="N48" s="42" t="str">
        <x:v>Pendiente</x:v>
      </x:c>
      <x:c r="O48" s="42" t="str"/>
      <x:c r="P48" s="42" t="str"/>
      <x:c r="Q48" s="42" t="str"/>
      <x:c r="R48" s="42" t="str"/>
      <x:c r="S48" s="42" t="str">
        <x:v>Pendiente</x:v>
      </x:c>
      <x:c r="T48" s="42" t="str">
        <x:v>Pendiente</x:v>
      </x:c>
      <x:c r="U48" s="42" t="str">
        <x:v>Pendiente</x:v>
      </x:c>
      <x:c r="V48" s="42" t="str"/>
      <x:c r="W48" s="42" t="str"/>
      <x:c r="X48" s="42" t="str"/>
      <x:c r="Y48" s="39"/>
      <x:c r="Z48" s="39"/>
    </x:row>
    <x:row r="49">
      <x:c r="A49" s="42" t="str">
        <x:v>PUB-045</x:v>
      </x:c>
      <x:c r="B49" s="42" t="str">
        <x:v>F2 Hayabusa monitoring ampliado</x:v>
      </x:c>
      <x:c r="C49" s="42" t="str">
        <x:v>P3 Medium</x:v>
      </x:c>
      <x:c r="D49" s="42" t="str">
        <x:v>Obligatorio</x:v>
      </x:c>
      <x:c r="E49" s="42" t="str">
        <x:v>Windows.Hayabusa.Monitoring</x:v>
      </x:c>
      <x:c r="F49" s="42" t="str">
        <x:v>CLIENT_EVENT</x:v>
      </x:c>
      <x:c r="G49" s="42" t="str">
        <x:v>EVTX/Sigma/Hayabusa</x:v>
      </x:c>
      <x:c r="H49" s="42" t="str">
        <x:v>TEC-003</x:v>
      </x:c>
      <x:c r="I49" s="42" t="str">
        <x:v>T1053.005</x:v>
      </x:c>
      <x:c r="J49" s="42" t="str">
        <x:v>Execution/Persistence</x:v>
      </x:c>
      <x:c r="K49" s="42" t="str">
        <x:v>Evaluar regla pública para Scheduled Task</x:v>
      </x:c>
      <x:c r="L49" s="42" t="str">
        <x:v>RuleLevel=Critical,High,Medium; RuleStatus=Stable</x:v>
      </x:c>
      <x:c r="M49" s="42" t="str">
        <x:v>Ejecutar técnica; lanzar/observar artifact; registrar RuleTitle, Level, MITRE</x:v>
      </x:c>
      <x:c r="N49" s="42" t="str">
        <x:v>Pendiente</x:v>
      </x:c>
      <x:c r="O49" s="42" t="str"/>
      <x:c r="P49" s="42" t="str"/>
      <x:c r="Q49" s="42" t="str"/>
      <x:c r="R49" s="42" t="str"/>
      <x:c r="S49" s="42" t="str">
        <x:v>Pendiente</x:v>
      </x:c>
      <x:c r="T49" s="42" t="str">
        <x:v>Pendiente</x:v>
      </x:c>
      <x:c r="U49" s="42" t="str">
        <x:v>Pendiente</x:v>
      </x:c>
      <x:c r="V49" s="42" t="str"/>
      <x:c r="W49" s="42" t="str"/>
      <x:c r="X49" s="42" t="str"/>
      <x:c r="Y49" s="39"/>
      <x:c r="Z49" s="39"/>
    </x:row>
    <x:row r="50">
      <x:c r="A50" s="42" t="str">
        <x:v>PUB-046</x:v>
      </x:c>
      <x:c r="B50" s="42" t="str">
        <x:v>F2 Hayabusa monitoring ampliado</x:v>
      </x:c>
      <x:c r="C50" s="42" t="str">
        <x:v>P3 Medium</x:v>
      </x:c>
      <x:c r="D50" s="42" t="str">
        <x:v>Obligatorio</x:v>
      </x:c>
      <x:c r="E50" s="42" t="str">
        <x:v>Windows.Hayabusa.Monitoring</x:v>
      </x:c>
      <x:c r="F50" s="42" t="str">
        <x:v>CLIENT_EVENT</x:v>
      </x:c>
      <x:c r="G50" s="42" t="str">
        <x:v>EVTX/Sigma/Hayabusa</x:v>
      </x:c>
      <x:c r="H50" s="42" t="str">
        <x:v>TEC-004</x:v>
      </x:c>
      <x:c r="I50" s="42" t="str">
        <x:v>T1547.001</x:v>
      </x:c>
      <x:c r="J50" s="42" t="str">
        <x:v>Persistence</x:v>
      </x:c>
      <x:c r="K50" s="42" t="str">
        <x:v>Evaluar regla pública para Run Keys</x:v>
      </x:c>
      <x:c r="L50" s="42" t="str">
        <x:v>RuleLevel=Critical,High,Medium; RuleStatus=Stable</x:v>
      </x:c>
      <x:c r="M50" s="42" t="str">
        <x:v>Ejecutar técnica; lanzar/observar artifact; registrar RuleTitle, Level, MITRE</x:v>
      </x:c>
      <x:c r="N50" s="42" t="str">
        <x:v>Pendiente</x:v>
      </x:c>
      <x:c r="O50" s="42" t="str"/>
      <x:c r="P50" s="42" t="str"/>
      <x:c r="Q50" s="42" t="str"/>
      <x:c r="R50" s="42" t="str"/>
      <x:c r="S50" s="42" t="str">
        <x:v>Pendiente</x:v>
      </x:c>
      <x:c r="T50" s="42" t="str">
        <x:v>Pendiente</x:v>
      </x:c>
      <x:c r="U50" s="42" t="str">
        <x:v>Pendiente</x:v>
      </x:c>
      <x:c r="V50" s="42" t="str"/>
      <x:c r="W50" s="42" t="str"/>
      <x:c r="X50" s="42" t="str"/>
      <x:c r="Y50" s="39"/>
      <x:c r="Z50" s="39"/>
    </x:row>
    <x:row r="51">
      <x:c r="A51" s="42" t="str">
        <x:v>PUB-047</x:v>
      </x:c>
      <x:c r="B51" s="42" t="str">
        <x:v>F2 Hayabusa monitoring ampliado</x:v>
      </x:c>
      <x:c r="C51" s="42" t="str">
        <x:v>P3 Medium</x:v>
      </x:c>
      <x:c r="D51" s="42" t="str">
        <x:v>Obligatorio</x:v>
      </x:c>
      <x:c r="E51" s="42" t="str">
        <x:v>Windows.Hayabusa.Monitoring</x:v>
      </x:c>
      <x:c r="F51" s="42" t="str">
        <x:v>CLIENT_EVENT</x:v>
      </x:c>
      <x:c r="G51" s="42" t="str">
        <x:v>EVTX/Sigma/Hayabusa</x:v>
      </x:c>
      <x:c r="H51" s="42" t="str">
        <x:v>TEC-005</x:v>
      </x:c>
      <x:c r="I51" s="42" t="str">
        <x:v>T1569.002</x:v>
      </x:c>
      <x:c r="J51" s="42" t="str">
        <x:v>Execution</x:v>
      </x:c>
      <x:c r="K51" s="42" t="str">
        <x:v>Evaluar regla pública para Service Execution</x:v>
      </x:c>
      <x:c r="L51" s="42" t="str">
        <x:v>RuleLevel=Critical,High,Medium; RuleStatus=Stable</x:v>
      </x:c>
      <x:c r="M51" s="42" t="str">
        <x:v>Ejecutar técnica; lanzar/observar artifact; registrar RuleTitle, Level, MITRE</x:v>
      </x:c>
      <x:c r="N51" s="42" t="str">
        <x:v>Pendiente</x:v>
      </x:c>
      <x:c r="O51" s="42" t="str"/>
      <x:c r="P51" s="42" t="str"/>
      <x:c r="Q51" s="42" t="str"/>
      <x:c r="R51" s="42" t="str"/>
      <x:c r="S51" s="42" t="str">
        <x:v>Pendiente</x:v>
      </x:c>
      <x:c r="T51" s="42" t="str">
        <x:v>Pendiente</x:v>
      </x:c>
      <x:c r="U51" s="42" t="str">
        <x:v>Pendiente</x:v>
      </x:c>
      <x:c r="V51" s="42" t="str"/>
      <x:c r="W51" s="42" t="str"/>
      <x:c r="X51" s="42" t="str"/>
      <x:c r="Y51" s="39"/>
      <x:c r="Z51" s="39"/>
    </x:row>
    <x:row r="52">
      <x:c r="A52" s="42" t="str">
        <x:v>PUB-048</x:v>
      </x:c>
      <x:c r="B52" s="42" t="str">
        <x:v>F2 Hayabusa monitoring ampliado</x:v>
      </x:c>
      <x:c r="C52" s="42" t="str">
        <x:v>P3 Medium</x:v>
      </x:c>
      <x:c r="D52" s="42" t="str">
        <x:v>Obligatorio</x:v>
      </x:c>
      <x:c r="E52" s="42" t="str">
        <x:v>Windows.Hayabusa.Monitoring</x:v>
      </x:c>
      <x:c r="F52" s="42" t="str">
        <x:v>CLIENT_EVENT</x:v>
      </x:c>
      <x:c r="G52" s="42" t="str">
        <x:v>EVTX/Sigma/Hayabusa</x:v>
      </x:c>
      <x:c r="H52" s="42" t="str">
        <x:v>TEC-006</x:v>
      </x:c>
      <x:c r="I52" s="42" t="str">
        <x:v>T1518.001</x:v>
      </x:c>
      <x:c r="J52" s="42" t="str">
        <x:v>Discovery</x:v>
      </x:c>
      <x:c r="K52" s="42" t="str">
        <x:v>Evaluar regla pública para Security Discovery</x:v>
      </x:c>
      <x:c r="L52" s="42" t="str">
        <x:v>RuleLevel=Critical,High,Medium; RuleStatus=Stable</x:v>
      </x:c>
      <x:c r="M52" s="42" t="str">
        <x:v>Ejecutar técnica; lanzar/observar artifact; registrar RuleTitle, Level, MITRE</x:v>
      </x:c>
      <x:c r="N52" s="42" t="str">
        <x:v>Pendiente</x:v>
      </x:c>
      <x:c r="O52" s="42" t="str"/>
      <x:c r="P52" s="42" t="str"/>
      <x:c r="Q52" s="42" t="str"/>
      <x:c r="R52" s="42" t="str"/>
      <x:c r="S52" s="42" t="str">
        <x:v>Pendiente</x:v>
      </x:c>
      <x:c r="T52" s="42" t="str">
        <x:v>Pendiente</x:v>
      </x:c>
      <x:c r="U52" s="42" t="str">
        <x:v>Pendiente</x:v>
      </x:c>
      <x:c r="V52" s="42" t="str"/>
      <x:c r="W52" s="42" t="str"/>
      <x:c r="X52" s="42" t="str"/>
      <x:c r="Y52" s="39"/>
      <x:c r="Z52" s="39"/>
    </x:row>
    <x:row r="53">
      <x:c r="A53" s="42" t="str">
        <x:v>PUB-049</x:v>
      </x:c>
      <x:c r="B53" s="42" t="str">
        <x:v>F2 Hayabusa monitoring ampliado</x:v>
      </x:c>
      <x:c r="C53" s="42" t="str">
        <x:v>P3 Medium</x:v>
      </x:c>
      <x:c r="D53" s="42" t="str">
        <x:v>Obligatorio</x:v>
      </x:c>
      <x:c r="E53" s="42" t="str">
        <x:v>Windows.Hayabusa.Monitoring</x:v>
      </x:c>
      <x:c r="F53" s="42" t="str">
        <x:v>CLIENT_EVENT</x:v>
      </x:c>
      <x:c r="G53" s="42" t="str">
        <x:v>EVTX/Sigma/Hayabusa</x:v>
      </x:c>
      <x:c r="H53" s="42" t="str">
        <x:v>TEC-007</x:v>
      </x:c>
      <x:c r="I53" s="42" t="str">
        <x:v>T1486</x:v>
      </x:c>
      <x:c r="J53" s="42" t="str">
        <x:v>Impact</x:v>
      </x:c>
      <x:c r="K53" s="42" t="str">
        <x:v>Evaluar regla pública para Ransomware-like crypto</x:v>
      </x:c>
      <x:c r="L53" s="42" t="str">
        <x:v>RuleLevel=Critical,High,Medium; RuleStatus=Stable</x:v>
      </x:c>
      <x:c r="M53" s="42" t="str">
        <x:v>Ejecutar técnica; lanzar/observar artifact; registrar RuleTitle, Level, MITRE</x:v>
      </x:c>
      <x:c r="N53" s="42" t="str">
        <x:v>Pendiente</x:v>
      </x:c>
      <x:c r="O53" s="42" t="str"/>
      <x:c r="P53" s="42" t="str"/>
      <x:c r="Q53" s="42" t="str"/>
      <x:c r="R53" s="42" t="str"/>
      <x:c r="S53" s="42" t="str">
        <x:v>Pendiente</x:v>
      </x:c>
      <x:c r="T53" s="42" t="str">
        <x:v>Pendiente</x:v>
      </x:c>
      <x:c r="U53" s="42" t="str">
        <x:v>Pendiente</x:v>
      </x:c>
      <x:c r="V53" s="42" t="str"/>
      <x:c r="W53" s="42" t="str"/>
      <x:c r="X53" s="42" t="str"/>
      <x:c r="Y53" s="39"/>
      <x:c r="Z53" s="39"/>
    </x:row>
    <x:row r="54">
      <x:c r="A54" s="42" t="str">
        <x:v>PUB-050</x:v>
      </x:c>
      <x:c r="B54" s="42" t="str">
        <x:v>F2 Hayabusa monitoring ampliado</x:v>
      </x:c>
      <x:c r="C54" s="42" t="str">
        <x:v>P3 Medium</x:v>
      </x:c>
      <x:c r="D54" s="42" t="str">
        <x:v>Obligatorio</x:v>
      </x:c>
      <x:c r="E54" s="42" t="str">
        <x:v>Windows.Hayabusa.Monitoring</x:v>
      </x:c>
      <x:c r="F54" s="42" t="str">
        <x:v>CLIENT_EVENT</x:v>
      </x:c>
      <x:c r="G54" s="42" t="str">
        <x:v>EVTX/Sigma/Hayabusa</x:v>
      </x:c>
      <x:c r="H54" s="42" t="str">
        <x:v>TEC-008</x:v>
      </x:c>
      <x:c r="I54" s="42" t="str">
        <x:v>T1485</x:v>
      </x:c>
      <x:c r="J54" s="42" t="str">
        <x:v>Impact</x:v>
      </x:c>
      <x:c r="K54" s="42" t="str">
        <x:v>Evaluar regla pública para Data Destruction</x:v>
      </x:c>
      <x:c r="L54" s="42" t="str">
        <x:v>RuleLevel=Critical,High,Medium; RuleStatus=Stable</x:v>
      </x:c>
      <x:c r="M54" s="42" t="str">
        <x:v>Ejecutar técnica; lanzar/observar artifact; registrar RuleTitle, Level, MITRE</x:v>
      </x:c>
      <x:c r="N54" s="42" t="str">
        <x:v>Pendiente</x:v>
      </x:c>
      <x:c r="O54" s="42" t="str"/>
      <x:c r="P54" s="42" t="str"/>
      <x:c r="Q54" s="42" t="str"/>
      <x:c r="R54" s="42" t="str"/>
      <x:c r="S54" s="42" t="str">
        <x:v>Pendiente</x:v>
      </x:c>
      <x:c r="T54" s="42" t="str">
        <x:v>Pendiente</x:v>
      </x:c>
      <x:c r="U54" s="42" t="str">
        <x:v>Pendiente</x:v>
      </x:c>
      <x:c r="V54" s="42" t="str"/>
      <x:c r="W54" s="42" t="str"/>
      <x:c r="X54" s="42" t="str"/>
      <x:c r="Y54" s="39"/>
      <x:c r="Z54" s="39"/>
    </x:row>
    <x:row r="55">
      <x:c r="A55" s="42" t="str">
        <x:v>PUB-051</x:v>
      </x:c>
      <x:c r="B55" s="42" t="str">
        <x:v>F2 Hayabusa monitoring ampliado</x:v>
      </x:c>
      <x:c r="C55" s="42" t="str">
        <x:v>P3 Medium</x:v>
      </x:c>
      <x:c r="D55" s="42" t="str">
        <x:v>Obligatorio</x:v>
      </x:c>
      <x:c r="E55" s="42" t="str">
        <x:v>Windows.Hayabusa.Monitoring</x:v>
      </x:c>
      <x:c r="F55" s="42" t="str">
        <x:v>CLIENT_EVENT</x:v>
      </x:c>
      <x:c r="G55" s="42" t="str">
        <x:v>EVTX/Sigma/Hayabusa</x:v>
      </x:c>
      <x:c r="H55" s="42" t="str">
        <x:v>TEC-009</x:v>
      </x:c>
      <x:c r="I55" s="42" t="str">
        <x:v>T1074.001/T1560.001</x:v>
      </x:c>
      <x:c r="J55" s="42" t="str">
        <x:v>Collection</x:v>
      </x:c>
      <x:c r="K55" s="42" t="str">
        <x:v>Evaluar regla pública para Staging/Archive</x:v>
      </x:c>
      <x:c r="L55" s="42" t="str">
        <x:v>RuleLevel=Critical,High,Medium; RuleStatus=Stable</x:v>
      </x:c>
      <x:c r="M55" s="42" t="str">
        <x:v>Ejecutar técnica; lanzar/observar artifact; registrar RuleTitle, Level, MITRE</x:v>
      </x:c>
      <x:c r="N55" s="42" t="str">
        <x:v>Pendiente</x:v>
      </x:c>
      <x:c r="O55" s="42" t="str"/>
      <x:c r="P55" s="42" t="str"/>
      <x:c r="Q55" s="42" t="str"/>
      <x:c r="R55" s="42" t="str"/>
      <x:c r="S55" s="42" t="str">
        <x:v>Pendiente</x:v>
      </x:c>
      <x:c r="T55" s="42" t="str">
        <x:v>Pendiente</x:v>
      </x:c>
      <x:c r="U55" s="42" t="str">
        <x:v>Pendiente</x:v>
      </x:c>
      <x:c r="V55" s="42" t="str"/>
      <x:c r="W55" s="42" t="str"/>
      <x:c r="X55" s="42" t="str"/>
      <x:c r="Y55" s="39"/>
      <x:c r="Z55" s="39"/>
    </x:row>
    <x:row r="56">
      <x:c r="A56" s="42" t="str">
        <x:v>PUB-052</x:v>
      </x:c>
      <x:c r="B56" s="42" t="str">
        <x:v>F3 Persistencia/Triage</x:v>
      </x:c>
      <x:c r="C56" s="42" t="str">
        <x:v>P2 High</x:v>
      </x:c>
      <x:c r="D56" s="42" t="str">
        <x:v>Recomendado</x:v>
      </x:c>
      <x:c r="E56" s="42" t="str">
        <x:v>Windows.Packs.Persistence</x:v>
      </x:c>
      <x:c r="F56" s="42" t="str">
        <x:v>Hunt post-ejecución</x:v>
      </x:c>
      <x:c r="G56" s="42" t="str">
        <x:v>Persistencia Windows</x:v>
      </x:c>
      <x:c r="H56" s="42" t="str">
        <x:v>TEC-003/004/005</x:v>
      </x:c>
      <x:c r="I56" s="42" t="str">
        <x:v>Varios</x:v>
      </x:c>
      <x:c r="J56" s="42" t="str">
        <x:v>Persistence/Execution</x:v>
      </x:c>
      <x:c r="K56" s="42" t="str">
        <x:v>Evaluar persistencia general tras ejecutar técnica</x:v>
      </x:c>
      <x:c r="L56" s="42" t="str">
        <x:v>Post-ejecución</x:v>
      </x:c>
      <x:c r="M56" s="42" t="str">
        <x:v>Ejecutar técnica, lanzar artifact, registrar evidencia y ruido</x:v>
      </x:c>
      <x:c r="N56" s="42" t="str">
        <x:v>Pendiente</x:v>
      </x:c>
      <x:c r="O56" s="42" t="str"/>
      <x:c r="P56" s="42" t="str"/>
      <x:c r="Q56" s="42" t="str"/>
      <x:c r="R56" s="42" t="str"/>
      <x:c r="S56" s="42" t="str">
        <x:v>Pendiente</x:v>
      </x:c>
      <x:c r="T56" s="42" t="str">
        <x:v>Pendiente</x:v>
      </x:c>
      <x:c r="U56" s="42" t="str">
        <x:v>Pendiente</x:v>
      </x:c>
      <x:c r="V56" s="42" t="str"/>
      <x:c r="W56" s="42" t="str"/>
      <x:c r="X56" s="42" t="str"/>
      <x:c r="Y56" s="39"/>
      <x:c r="Z56" s="39"/>
    </x:row>
    <x:row r="57">
      <x:c r="A57" s="42" t="str">
        <x:v>PUB-053</x:v>
      </x:c>
      <x:c r="B57" s="42" t="str">
        <x:v>F3 Persistencia/Triage</x:v>
      </x:c>
      <x:c r="C57" s="42" t="str">
        <x:v>P2 High</x:v>
      </x:c>
      <x:c r="D57" s="42" t="str">
        <x:v>Recomendado</x:v>
      </x:c>
      <x:c r="E57" s="42" t="str">
        <x:v>Windows.Sys.StartupItems</x:v>
      </x:c>
      <x:c r="F57" s="42" t="str">
        <x:v>Hunt post-ejecución</x:v>
      </x:c>
      <x:c r="G57" s="42" t="str">
        <x:v>Persistencia Windows</x:v>
      </x:c>
      <x:c r="H57" s="42" t="str">
        <x:v>TEC-004</x:v>
      </x:c>
      <x:c r="I57" s="42" t="str">
        <x:v>Varios</x:v>
      </x:c>
      <x:c r="J57" s="42" t="str">
        <x:v>Persistence/Execution</x:v>
      </x:c>
      <x:c r="K57" s="42" t="str">
        <x:v>Evaluar Run Keys / Startup Folder tras ejecutar técnica</x:v>
      </x:c>
      <x:c r="L57" s="42" t="str">
        <x:v>Post-ejecución</x:v>
      </x:c>
      <x:c r="M57" s="42" t="str">
        <x:v>Ejecutar técnica, lanzar artifact, registrar evidencia y ruido</x:v>
      </x:c>
      <x:c r="N57" s="42" t="str">
        <x:v>Pendiente</x:v>
      </x:c>
      <x:c r="O57" s="42" t="str"/>
      <x:c r="P57" s="42" t="str"/>
      <x:c r="Q57" s="42" t="str"/>
      <x:c r="R57" s="42" t="str"/>
      <x:c r="S57" s="42" t="str">
        <x:v>Pendiente</x:v>
      </x:c>
      <x:c r="T57" s="42" t="str">
        <x:v>Pendiente</x:v>
      </x:c>
      <x:c r="U57" s="42" t="str">
        <x:v>Pendiente</x:v>
      </x:c>
      <x:c r="V57" s="42" t="str"/>
      <x:c r="W57" s="42" t="str"/>
      <x:c r="X57" s="42" t="str"/>
      <x:c r="Y57" s="39"/>
      <x:c r="Z57" s="39"/>
    </x:row>
    <x:row r="58">
      <x:c r="A58" s="42" t="str">
        <x:v>PUB-054</x:v>
      </x:c>
      <x:c r="B58" s="42" t="str">
        <x:v>F3 Persistencia/Triage</x:v>
      </x:c>
      <x:c r="C58" s="42" t="str">
        <x:v>P2 High</x:v>
      </x:c>
      <x:c r="D58" s="42" t="str">
        <x:v>Recomendado</x:v>
      </x:c>
      <x:c r="E58" s="42" t="str">
        <x:v>Windows.System.TaskScheduler</x:v>
      </x:c>
      <x:c r="F58" s="42" t="str">
        <x:v>Hunt post-ejecución</x:v>
      </x:c>
      <x:c r="G58" s="42" t="str">
        <x:v>Persistencia Windows</x:v>
      </x:c>
      <x:c r="H58" s="42" t="str">
        <x:v>TEC-003</x:v>
      </x:c>
      <x:c r="I58" s="42" t="str">
        <x:v>Varios</x:v>
      </x:c>
      <x:c r="J58" s="42" t="str">
        <x:v>Persistence/Execution</x:v>
      </x:c>
      <x:c r="K58" s="42" t="str">
        <x:v>Evaluar tareas programadas tras ejecutar técnica</x:v>
      </x:c>
      <x:c r="L58" s="42" t="str">
        <x:v>Post-ejecución</x:v>
      </x:c>
      <x:c r="M58" s="42" t="str">
        <x:v>Ejecutar técnica, lanzar artifact, registrar evidencia y ruido</x:v>
      </x:c>
      <x:c r="N58" s="42" t="str">
        <x:v>Pendiente</x:v>
      </x:c>
      <x:c r="O58" s="42" t="str"/>
      <x:c r="P58" s="42" t="str"/>
      <x:c r="Q58" s="42" t="str"/>
      <x:c r="R58" s="42" t="str"/>
      <x:c r="S58" s="42" t="str">
        <x:v>Pendiente</x:v>
      </x:c>
      <x:c r="T58" s="42" t="str">
        <x:v>Pendiente</x:v>
      </x:c>
      <x:c r="U58" s="42" t="str">
        <x:v>Pendiente</x:v>
      </x:c>
      <x:c r="V58" s="42" t="str"/>
      <x:c r="W58" s="42" t="str"/>
      <x:c r="X58" s="42" t="str"/>
      <x:c r="Y58" s="39"/>
      <x:c r="Z58" s="39"/>
    </x:row>
    <x:row r="59">
      <x:c r="A59" s="42" t="str">
        <x:v>PUB-055</x:v>
      </x:c>
      <x:c r="B59" s="42" t="str">
        <x:v>F3 Persistencia/Triage</x:v>
      </x:c>
      <x:c r="C59" s="42" t="str">
        <x:v>P2 High</x:v>
      </x:c>
      <x:c r="D59" s="42" t="str">
        <x:v>Recomendado</x:v>
      </x:c>
      <x:c r="E59" s="42" t="str">
        <x:v>Windows.Registry.ScheduledTasks</x:v>
      </x:c>
      <x:c r="F59" s="42" t="str">
        <x:v>Hunt post-ejecución</x:v>
      </x:c>
      <x:c r="G59" s="42" t="str">
        <x:v>Persistencia Windows</x:v>
      </x:c>
      <x:c r="H59" s="42" t="str">
        <x:v>TEC-003</x:v>
      </x:c>
      <x:c r="I59" s="42" t="str">
        <x:v>Varios</x:v>
      </x:c>
      <x:c r="J59" s="42" t="str">
        <x:v>Persistence/Execution</x:v>
      </x:c>
      <x:c r="K59" s="42" t="str">
        <x:v>Evaluar tareas desde registro tras ejecutar técnica</x:v>
      </x:c>
      <x:c r="L59" s="42" t="str">
        <x:v>Post-ejecución</x:v>
      </x:c>
      <x:c r="M59" s="42" t="str">
        <x:v>Ejecutar técnica, lanzar artifact, registrar evidencia y ruido</x:v>
      </x:c>
      <x:c r="N59" s="42" t="str">
        <x:v>Pendiente</x:v>
      </x:c>
      <x:c r="O59" s="42" t="str"/>
      <x:c r="P59" s="42" t="str"/>
      <x:c r="Q59" s="42" t="str"/>
      <x:c r="R59" s="42" t="str"/>
      <x:c r="S59" s="42" t="str">
        <x:v>Pendiente</x:v>
      </x:c>
      <x:c r="T59" s="42" t="str">
        <x:v>Pendiente</x:v>
      </x:c>
      <x:c r="U59" s="42" t="str">
        <x:v>Pendiente</x:v>
      </x:c>
      <x:c r="V59" s="42" t="str"/>
      <x:c r="W59" s="42" t="str"/>
      <x:c r="X59" s="42" t="str"/>
      <x:c r="Y59" s="39"/>
      <x:c r="Z59" s="39"/>
    </x:row>
    <x:row r="60">
      <x:c r="A60" s="42" t="str">
        <x:v>PUB-056</x:v>
      </x:c>
      <x:c r="B60" s="42" t="str">
        <x:v>F3 Persistencia/Triage</x:v>
      </x:c>
      <x:c r="C60" s="42" t="str">
        <x:v>P2 High</x:v>
      </x:c>
      <x:c r="D60" s="42" t="str">
        <x:v>Recomendado</x:v>
      </x:c>
      <x:c r="E60" s="42" t="str">
        <x:v>Windows.System.Services</x:v>
      </x:c>
      <x:c r="F60" s="42" t="str">
        <x:v>Hunt post-ejecución</x:v>
      </x:c>
      <x:c r="G60" s="42" t="str">
        <x:v>Persistencia Windows</x:v>
      </x:c>
      <x:c r="H60" s="42" t="str">
        <x:v>TEC-005</x:v>
      </x:c>
      <x:c r="I60" s="42" t="str">
        <x:v>Varios</x:v>
      </x:c>
      <x:c r="J60" s="42" t="str">
        <x:v>Persistence/Execution</x:v>
      </x:c>
      <x:c r="K60" s="42" t="str">
        <x:v>Evaluar servicios instalados tras ejecutar técnica</x:v>
      </x:c>
      <x:c r="L60" s="42" t="str">
        <x:v>Post-ejecución</x:v>
      </x:c>
      <x:c r="M60" s="42" t="str">
        <x:v>Ejecutar técnica, lanzar artifact, registrar evidencia y ruido</x:v>
      </x:c>
      <x:c r="N60" s="42" t="str">
        <x:v>Pendiente</x:v>
      </x:c>
      <x:c r="O60" s="42" t="str"/>
      <x:c r="P60" s="42" t="str"/>
      <x:c r="Q60" s="42" t="str"/>
      <x:c r="R60" s="42" t="str"/>
      <x:c r="S60" s="42" t="str">
        <x:v>Pendiente</x:v>
      </x:c>
      <x:c r="T60" s="42" t="str">
        <x:v>Pendiente</x:v>
      </x:c>
      <x:c r="U60" s="42" t="str">
        <x:v>Pendiente</x:v>
      </x:c>
      <x:c r="V60" s="42" t="str"/>
      <x:c r="W60" s="42" t="str"/>
      <x:c r="X60" s="42" t="str"/>
      <x:c r="Y60" s="39"/>
      <x:c r="Z60" s="39"/>
    </x:row>
    <x:row r="61">
      <x:c r="A61" s="42" t="str">
        <x:v>PUB-057</x:v>
      </x:c>
      <x:c r="B61" s="42" t="str">
        <x:v>F3 Persistencia/Triage</x:v>
      </x:c>
      <x:c r="C61" s="42" t="str">
        <x:v>P2 High</x:v>
      </x:c>
      <x:c r="D61" s="42" t="str">
        <x:v>Recomendado</x:v>
      </x:c>
      <x:c r="E61" s="42" t="str">
        <x:v>Windows.Sysinternals.Autoruns</x:v>
      </x:c>
      <x:c r="F61" s="42" t="str">
        <x:v>Hunt post-ejecución</x:v>
      </x:c>
      <x:c r="G61" s="42" t="str">
        <x:v>Persistencia Windows</x:v>
      </x:c>
      <x:c r="H61" s="42" t="str">
        <x:v>TEC-003/004/005</x:v>
      </x:c>
      <x:c r="I61" s="42" t="str">
        <x:v>Varios</x:v>
      </x:c>
      <x:c r="J61" s="42" t="str">
        <x:v>Persistence/Execution</x:v>
      </x:c>
      <x:c r="K61" s="42" t="str">
        <x:v>Evaluar autoruns/persistencia amplia tras ejecutar técnica</x:v>
      </x:c>
      <x:c r="L61" s="42" t="str">
        <x:v>Post-ejecución</x:v>
      </x:c>
      <x:c r="M61" s="42" t="str">
        <x:v>Ejecutar técnica, lanzar artifact, registrar evidencia y ruido</x:v>
      </x:c>
      <x:c r="N61" s="42" t="str">
        <x:v>Pendiente</x:v>
      </x:c>
      <x:c r="O61" s="42" t="str"/>
      <x:c r="P61" s="42" t="str"/>
      <x:c r="Q61" s="42" t="str"/>
      <x:c r="R61" s="42" t="str"/>
      <x:c r="S61" s="42" t="str">
        <x:v>Pendiente</x:v>
      </x:c>
      <x:c r="T61" s="42" t="str">
        <x:v>Pendiente</x:v>
      </x:c>
      <x:c r="U61" s="42" t="str">
        <x:v>Pendiente</x:v>
      </x:c>
      <x:c r="V61" s="42" t="str"/>
      <x:c r="W61" s="42" t="str"/>
      <x:c r="X61" s="42" t="str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X1"/>
    <x:mergeCell ref="A2:X2"/>
  </x:mergeCells>
  <x:conditionalFormatting sqref="N5:N61">
    <x:cfRule type="expression" dxfId="0" priority="1">
      <x:formula>N5="Sí"</x:formula>
    </x:cfRule>
    <x:cfRule type="expression" dxfId="1" priority="2">
      <x:formula>N5="Parcial"</x:formula>
    </x:cfRule>
    <x:cfRule type="expression" dxfId="2" priority="3">
      <x:formula>N5="No"</x:formula>
    </x:cfRule>
  </x:conditionalFormatting>
  <x:conditionalFormatting sqref="U5:U61">
    <x:cfRule type="expression" dxfId="3" priority="4">
      <x:formula>U5="Completado"</x:formula>
    </x:cfRule>
    <x:cfRule type="expression" dxfId="4" priority="5">
      <x:formula>U5="Pendiente"</x:formula>
    </x:cfRule>
  </x:conditionalFormatting>
  <x:conditionalFormatting sqref="T5:T61">
    <x:cfRule type="expression" dxfId="5" priority="6">
      <x:formula>T5="Sí"</x:formula>
    </x:cfRule>
  </x:conditionalFormatting>
  <x:dataValidations count="8">
    <x:dataValidation type="list" sqref="N5:N61">
      <x:formula1>99_Listas!$A$2:$A$6</x:formula1>
    </x:dataValidation>
    <x:dataValidation type="list" sqref="U5:U61">
      <x:formula1>99_Listas!$B$2:$B$5</x:formula1>
    </x:dataValidation>
    <x:dataValidation type="list" sqref="C5:C61">
      <x:formula1>99_Listas!$C$2:$C$6</x:formula1>
    </x:dataValidation>
    <x:dataValidation type="list" sqref="D5:D61">
      <x:formula1>99_Listas!$D$2:$D$5</x:formula1>
    </x:dataValidation>
    <x:dataValidation type="list" sqref="F5:F61">
      <x:formula1>99_Listas!$E$2:$E$7</x:formula1>
    </x:dataValidation>
    <x:dataValidation type="list" sqref="P5:P61">
      <x:formula1>99_Listas!$H$2:$H$7</x:formula1>
    </x:dataValidation>
    <x:dataValidation type="list" sqref="S5:S61">
      <x:formula1>99_Listas!$F$2:$F$6</x:formula1>
    </x:dataValidation>
    <x:dataValidation type="list" sqref="T5:T61">
      <x:formula1>99_Listas!$G$2:$G$5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52efa1180f43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18" hidden="0" customWidth="1"/>
    <x:col min="14" max="14" width="45" hidden="0" customWidth="1"/>
    <x:col min="15" max="15" width="32" hidden="0" customWidth="1"/>
    <x:col min="16" max="16" width="18" hidden="0" customWidth="1"/>
    <x:col min="17" max="17" width="18" hidden="0" customWidth="1"/>
    <x:col min="18" max="18" width="20" hidden="0" customWidth="1"/>
    <x:col min="19" max="19" width="38" hidden="0" customWidth="1"/>
    <x:col min="20" max="20" width="36" hidden="0" customWidth="1"/>
  </x:cols>
  <x:sheetData>
    <x:row r="1" ht="30" customHeight="1">
      <x:c r="A1" s="52" t="str">
        <x:v>Matriz de resultados · artifacts públicos por técnica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Vista principal para decidir si los artifacts públicos cubren cada técnica o si justifican artifacts custom.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TEC</x:v>
      </x:c>
      <x:c r="B4" s="41" t="str">
        <x:v>MITRE</x:v>
      </x:c>
      <x:c r="C4" s="41" t="str">
        <x:v>Técnica</x:v>
      </x:c>
      <x:c r="D4" s="41" t="str">
        <x:v>ProcessCreation</x:v>
      </x:c>
      <x:c r="E4" s="41" t="str">
        <x:v>ServiceCreation</x:v>
      </x:c>
      <x:c r="F4" s="41" t="str">
        <x:v>SysmonLogForward</x:v>
      </x:c>
      <x:c r="G4" s="41" t="str">
        <x:v>Hayabusa.Rules CH</x:v>
      </x:c>
      <x:c r="H4" s="41" t="str">
        <x:v>Hayabusa.Rules CHM</x:v>
      </x:c>
      <x:c r="I4" s="41" t="str">
        <x:v>Hayabusa.Monitoring CH</x:v>
      </x:c>
      <x:c r="J4" s="41" t="str">
        <x:v>Hayabusa.Monitoring CHM</x:v>
      </x:c>
      <x:c r="K4" s="41" t="str">
        <x:v>Persistence/Triage</x:v>
      </x:c>
      <x:c r="L4" s="41" t="str">
        <x:v>Cobertura pública</x:v>
      </x:c>
      <x:c r="M4" s="41" t="str">
        <x:v>Custom necesario</x:v>
      </x:c>
      <x:c r="N4" s="41" t="str">
        <x:v>Evidencia principal</x:v>
      </x:c>
      <x:c r="O4" s="41" t="str">
        <x:v>Decisión</x:v>
      </x:c>
      <x:c r="P4" s="67" t="str">
        <x:v>Visibilidad pública</x:v>
      </x:c>
      <x:c r="Q4" s="67" t="str">
        <x:v>Detección pública</x:v>
      </x:c>
      <x:c r="R4" s="67" t="str">
        <x:v>Alerta RT pública</x:v>
      </x:c>
      <x:c r="S4" s="67" t="str">
        <x:v>Artifact alertante público</x:v>
      </x:c>
      <x:c r="T4" s="67" t="str">
        <x:v>Necesidad custom alerta</x:v>
      </x:c>
      <x:c r="U4" s="39"/>
      <x:c r="V4" s="39"/>
      <x:c r="W4" s="39"/>
      <x:c r="X4" s="39"/>
      <x:c r="Y4" s="39"/>
      <x:c r="Z4" s="39"/>
    </x:row>
    <x:row r="5">
      <x:c r="A5" s="42" t="str">
        <x:v>TEC-001</x:v>
      </x:c>
      <x:c r="B5" s="42" t="str">
        <x:v>T1059.001</x:v>
      </x:c>
      <x:c r="C5" s="42" t="str">
        <x:v>PowerShell</x:v>
      </x:c>
      <x:c r="D5" s="42" t="str">
        <x:v>Sí</x:v>
      </x:c>
      <x:c r="E5" s="42" t="str">
        <x:v>N/A</x:v>
      </x:c>
      <x:c r="F5" s="42" t="str">
        <x:v>Pendiente</x:v>
      </x:c>
      <x:c r="G5" s="42" t="str">
        <x:v>Pendiente</x:v>
      </x:c>
      <x:c r="H5" s="42" t="str">
        <x:v>Pendiente</x:v>
      </x:c>
      <x:c r="I5" s="42" t="str">
        <x:v>Pendiente</x:v>
      </x:c>
      <x:c r="J5" s="42" t="str">
        <x:v>Pendiente</x:v>
      </x:c>
      <x:c r="K5" s="42" t="str">
        <x:v>N/A</x:v>
      </x:c>
      <x:c r="L5" s="42" t="str">
        <x:v>Parcial</x:v>
      </x:c>
      <x:c r="M5" s="42" t="str">
        <x:v>Parcial</x:v>
      </x:c>
      <x:c r="N5" s="42" t="str">
        <x:v>ProcessCreation ya observa PowerShell con flags</x:v>
      </x:c>
      <x:c r="O5" s="42" t="str">
        <x:v>Completar Hayabusa</x:v>
      </x:c>
      <x:c r="P5" s="42" t="str">
        <x:v>Sí</x:v>
      </x:c>
      <x:c r="Q5" s="42" t="str">
        <x:v>Parcial</x:v>
      </x:c>
      <x:c r="R5" s="42" t="str">
        <x:v>Pendiente</x:v>
      </x:c>
      <x:c r="S5" s="42" t="str">
        <x:v>Hayabusa.Monitoring si regla PwSh</x:v>
      </x:c>
      <x:c r="T5" s="42" t="str">
        <x:v>Sí, para CU_ID/Discord limpio</x:v>
      </x:c>
      <x:c r="U5" s="39"/>
      <x:c r="V5" s="39"/>
      <x:c r="W5" s="39"/>
      <x:c r="X5" s="39"/>
      <x:c r="Y5" s="39"/>
      <x:c r="Z5" s="39"/>
    </x:row>
    <x:row r="6">
      <x:c r="A6" s="42" t="str">
        <x:v>TEC-002</x:v>
      </x:c>
      <x:c r="B6" s="42" t="str">
        <x:v>T1059.003</x:v>
      </x:c>
      <x:c r="C6" s="42" t="str">
        <x:v>Windows Command Shell</x:v>
      </x:c>
      <x:c r="D6" s="42" t="str">
        <x:v>Sí</x:v>
      </x:c>
      <x:c r="E6" s="42" t="str">
        <x:v>N/A</x:v>
      </x:c>
      <x:c r="F6" s="42" t="str">
        <x:v>Pendiente</x:v>
      </x:c>
      <x:c r="G6" s="42" t="str">
        <x:v>Pendiente</x:v>
      </x:c>
      <x:c r="H6" s="42" t="str">
        <x:v>Pendiente</x:v>
      </x:c>
      <x:c r="I6" s="42" t="str">
        <x:v>Pendiente</x:v>
      </x:c>
      <x:c r="J6" s="42" t="str">
        <x:v>Pendiente</x:v>
      </x:c>
      <x:c r="K6" s="42" t="str">
        <x:v>N/A</x:v>
      </x:c>
      <x:c r="L6" s="42" t="str">
        <x:v>Parcial</x:v>
      </x:c>
      <x:c r="M6" s="42" t="str">
        <x:v>Parcial</x:v>
      </x:c>
      <x:c r="N6" s="42" t="str">
        <x:v>ProcessCreation observa cmd.exe</x:v>
      </x:c>
      <x:c r="O6" s="42" t="str">
        <x:v>Completar Hayabusa</x:v>
      </x:c>
      <x:c r="P6" s="42" t="str">
        <x:v>Sí</x:v>
      </x:c>
      <x:c r="Q6" s="42" t="str">
        <x:v>Parcial</x:v>
      </x:c>
      <x:c r="R6" s="42" t="str">
        <x:v>Pendiente</x:v>
      </x:c>
      <x:c r="S6" s="42" t="str">
        <x:v>Hayabusa.Monitoring si regla CMD/PowerShell</x:v>
      </x:c>
      <x:c r="T6" s="42" t="str">
        <x:v>Sí</x:v>
      </x:c>
      <x:c r="U6" s="39"/>
      <x:c r="V6" s="39"/>
      <x:c r="W6" s="39"/>
      <x:c r="X6" s="39"/>
      <x:c r="Y6" s="39"/>
      <x:c r="Z6" s="39"/>
    </x:row>
    <x:row r="7">
      <x:c r="A7" s="42" t="str">
        <x:v>TEC-003</x:v>
      </x:c>
      <x:c r="B7" s="42" t="str">
        <x:v>T1053.005</x:v>
      </x:c>
      <x:c r="C7" s="42" t="str">
        <x:v>Scheduled Task</x:v>
      </x:c>
      <x:c r="D7" s="42" t="str">
        <x:v>Sí</x:v>
      </x:c>
      <x:c r="E7" s="42" t="str">
        <x:v>N/A</x:v>
      </x:c>
      <x:c r="F7" s="42" t="str">
        <x:v>Pendiente</x:v>
      </x:c>
      <x:c r="G7" s="42" t="str">
        <x:v>Pendiente</x:v>
      </x:c>
      <x:c r="H7" s="42" t="str">
        <x:v>Pendiente</x:v>
      </x:c>
      <x:c r="I7" s="42" t="str">
        <x:v>Pendiente</x:v>
      </x:c>
      <x:c r="J7" s="42" t="str">
        <x:v>Pendiente</x:v>
      </x:c>
      <x:c r="K7" s="42" t="str">
        <x:v>Pendiente</x:v>
      </x:c>
      <x:c r="L7" s="42" t="str">
        <x:v>Parcial</x:v>
      </x:c>
      <x:c r="M7" s="42" t="str">
        <x:v>Parcial</x:v>
      </x:c>
      <x:c r="N7" s="42" t="str">
        <x:v>ProcessCreation observa schtasks.exe</x:v>
      </x:c>
      <x:c r="O7" s="42" t="str">
        <x:v>Completar Hayabusa + TaskScheduler</x:v>
      </x:c>
      <x:c r="P7" s="42" t="str">
        <x:v>Sí</x:v>
      </x:c>
      <x:c r="Q7" s="42" t="str">
        <x:v>Parcial</x:v>
      </x:c>
      <x:c r="R7" s="42" t="str">
        <x:v>Pendiente</x:v>
      </x:c>
      <x:c r="S7" s="42" t="str">
        <x:v>Hayabusa.Monitoring si regla Scheduled Task</x:v>
      </x:c>
      <x:c r="T7" s="42" t="str">
        <x:v>Sí/Parcial</x:v>
      </x:c>
      <x:c r="U7" s="39"/>
      <x:c r="V7" s="39"/>
      <x:c r="W7" s="39"/>
      <x:c r="X7" s="39"/>
      <x:c r="Y7" s="39"/>
      <x:c r="Z7" s="39"/>
    </x:row>
    <x:row r="8">
      <x:c r="A8" s="42" t="str">
        <x:v>TEC-004</x:v>
      </x:c>
      <x:c r="B8" s="42" t="str">
        <x:v>T1547.001</x:v>
      </x:c>
      <x:c r="C8" s="42" t="str">
        <x:v>Registry Run Keys / Startup Folder</x:v>
      </x:c>
      <x:c r="D8" s="42" t="str">
        <x:v>Pendiente</x:v>
      </x:c>
      <x:c r="E8" s="42" t="str">
        <x:v>N/A</x:v>
      </x:c>
      <x:c r="F8" s="42" t="str">
        <x:v>Pendiente</x:v>
      </x:c>
      <x:c r="G8" s="42" t="str">
        <x:v>Pendiente</x:v>
      </x:c>
      <x:c r="H8" s="42" t="str">
        <x:v>Pendiente</x:v>
      </x:c>
      <x:c r="I8" s="42" t="str">
        <x:v>Pendiente</x:v>
      </x:c>
      <x:c r="J8" s="42" t="str">
        <x:v>Pendiente</x:v>
      </x:c>
      <x:c r="K8" s="42" t="str">
        <x:v>Pendiente</x:v>
      </x:c>
      <x:c r="L8" s="42" t="str">
        <x:v>Pendiente</x:v>
      </x:c>
      <x:c r="M8" s="42" t="str">
        <x:v>Sí</x:v>
      </x:c>
      <x:c r="N8" s="42" t="str">
        <x:v>Debe validarse registro/autoruns</x:v>
      </x:c>
      <x:c r="O8" s="42" t="str">
        <x:v>Probar Sysmon/StartupItems</x:v>
      </x:c>
      <x:c r="P8" s="42" t="str">
        <x:v>Sí</x:v>
      </x:c>
      <x:c r="Q8" s="42" t="str">
        <x:v>Parcial</x:v>
      </x:c>
      <x:c r="R8" s="42" t="str">
        <x:v>Pendiente</x:v>
      </x:c>
      <x:c r="S8" s="42" t="str">
        <x:v>Hayabusa.Monitoring si regla Run Key</x:v>
      </x:c>
      <x:c r="T8" s="42" t="str">
        <x:v>Sí</x:v>
      </x:c>
      <x:c r="U8" s="39"/>
      <x:c r="V8" s="39"/>
      <x:c r="W8" s="39"/>
      <x:c r="X8" s="39"/>
      <x:c r="Y8" s="39"/>
      <x:c r="Z8" s="39"/>
    </x:row>
    <x:row r="9">
      <x:c r="A9" s="42" t="str">
        <x:v>TEC-005</x:v>
      </x:c>
      <x:c r="B9" s="42" t="str">
        <x:v>T1569.002</x:v>
      </x:c>
      <x:c r="C9" s="42" t="str">
        <x:v>Service Execution</x:v>
      </x:c>
      <x:c r="D9" s="42" t="str">
        <x:v>Parcial</x:v>
      </x:c>
      <x:c r="E9" s="42" t="str">
        <x:v>Sí</x:v>
      </x:c>
      <x:c r="F9" s="42" t="str">
        <x:v>Pendiente</x:v>
      </x:c>
      <x:c r="G9" s="42" t="str">
        <x:v>Pendiente</x:v>
      </x:c>
      <x:c r="H9" s="42" t="str">
        <x:v>Pendiente</x:v>
      </x:c>
      <x:c r="I9" s="42" t="str">
        <x:v>Pendiente</x:v>
      </x:c>
      <x:c r="J9" s="42" t="str">
        <x:v>Pendiente</x:v>
      </x:c>
      <x:c r="K9" s="42" t="str">
        <x:v>Pendiente</x:v>
      </x:c>
      <x:c r="L9" s="42" t="str">
        <x:v>Parcial</x:v>
      </x:c>
      <x:c r="M9" s="42" t="str">
        <x:v>Parcial</x:v>
      </x:c>
      <x:c r="N9" s="42" t="str">
        <x:v>ServiceCreation detecta 7045</x:v>
      </x:c>
      <x:c r="O9" s="42" t="str">
        <x:v>Completar Hayabusa</x:v>
      </x:c>
      <x:c r="P9" s="42" t="str">
        <x:v>Sí</x:v>
      </x:c>
      <x:c r="Q9" s="42" t="str">
        <x:v>Sí/Parcial</x:v>
      </x:c>
      <x:c r="R9" s="42" t="str">
        <x:v>Parcial</x:v>
      </x:c>
      <x:c r="S9" s="42" t="str">
        <x:v>ServiceCreation + Hayabusa.Monitoring</x:v>
      </x:c>
      <x:c r="T9" s="42" t="str">
        <x:v>Router custom recomendado</x:v>
      </x:c>
      <x:c r="U9" s="39"/>
      <x:c r="V9" s="39"/>
      <x:c r="W9" s="39"/>
      <x:c r="X9" s="39"/>
      <x:c r="Y9" s="39"/>
      <x:c r="Z9" s="39"/>
    </x:row>
    <x:row r="10">
      <x:c r="A10" s="42" t="str">
        <x:v>TEC-006</x:v>
      </x:c>
      <x:c r="B10" s="42" t="str">
        <x:v>T1518.001</x:v>
      </x:c>
      <x:c r="C10" s="42" t="str">
        <x:v>Security Software Discovery</x:v>
      </x:c>
      <x:c r="D10" s="42" t="str">
        <x:v>Pendiente</x:v>
      </x:c>
      <x:c r="E10" s="42" t="str">
        <x:v>N/A</x:v>
      </x:c>
      <x:c r="F10" s="42" t="str">
        <x:v>Pendiente</x:v>
      </x:c>
      <x:c r="G10" s="42" t="str">
        <x:v>Pendiente</x:v>
      </x:c>
      <x:c r="H10" s="42" t="str">
        <x:v>Pendiente</x:v>
      </x:c>
      <x:c r="I10" s="42" t="str">
        <x:v>Pendiente</x:v>
      </x:c>
      <x:c r="J10" s="42" t="str">
        <x:v>Pendiente</x:v>
      </x:c>
      <x:c r="K10" s="42" t="str">
        <x:v>N/A</x:v>
      </x:c>
      <x:c r="L10" s="42" t="str">
        <x:v>Pendiente</x:v>
      </x:c>
      <x:c r="M10" s="42" t="str">
        <x:v>Sí</x:v>
      </x:c>
      <x:c r="N10" s="42" t="str">
        <x:v>Requiere discovery con CommandLine/4104</x:v>
      </x:c>
      <x:c r="O10" s="42" t="str">
        <x:v>Probar Hayabusa</x:v>
      </x:c>
      <x:c r="P10" s="42" t="str">
        <x:v>Sí</x:v>
      </x:c>
      <x:c r="Q10" s="42" t="str">
        <x:v>Parcial</x:v>
      </x:c>
      <x:c r="R10" s="42" t="str">
        <x:v>Pendiente</x:v>
      </x:c>
      <x:c r="S10" s="42" t="str">
        <x:v>Hayabusa.Monitoring si rule discovery</x:v>
      </x:c>
      <x:c r="T10" s="42" t="str">
        <x:v>Sí</x:v>
      </x:c>
      <x:c r="U10" s="39"/>
      <x:c r="V10" s="39"/>
      <x:c r="W10" s="39"/>
      <x:c r="X10" s="39"/>
      <x:c r="Y10" s="39"/>
      <x:c r="Z10" s="39"/>
    </x:row>
    <x:row r="11">
      <x:c r="A11" s="42" t="str">
        <x:v>TEC-007</x:v>
      </x:c>
      <x:c r="B11" s="42" t="str">
        <x:v>T1486</x:v>
      </x:c>
      <x:c r="C11" s="42" t="str">
        <x:v>Data Encrypted for Impact</x:v>
      </x:c>
      <x:c r="D11" s="42" t="str">
        <x:v>Parcial</x:v>
      </x:c>
      <x:c r="E11" s="42" t="str">
        <x:v>N/A</x:v>
      </x:c>
      <x:c r="F11" s="42" t="str">
        <x:v>Pendiente</x:v>
      </x:c>
      <x:c r="G11" s="42" t="str">
        <x:v>Pendiente</x:v>
      </x:c>
      <x:c r="H11" s="42" t="str">
        <x:v>Pendiente</x:v>
      </x:c>
      <x:c r="I11" s="42" t="str">
        <x:v>Pendiente</x:v>
      </x:c>
      <x:c r="J11" s="42" t="str">
        <x:v>Pendiente</x:v>
      </x:c>
      <x:c r="K11" s="42" t="str">
        <x:v>N/A</x:v>
      </x:c>
      <x:c r="L11" s="42" t="str">
        <x:v>Parcial</x:v>
      </x:c>
      <x:c r="M11" s="42" t="str">
        <x:v>Sí</x:v>
      </x:c>
      <x:c r="N11" s="42" t="str">
        <x:v>Proceso visible, no crypto/umbral</x:v>
      </x:c>
      <x:c r="O11" s="42" t="str">
        <x:v>Custom necesario</x:v>
      </x:c>
      <x:c r="P11" s="42" t="str">
        <x:v>Sí</x:v>
      </x:c>
      <x:c r="Q11" s="42" t="str">
        <x:v>Parcial</x:v>
      </x:c>
      <x:c r="R11" s="42" t="str">
        <x:v>No suficiente</x:v>
      </x:c>
      <x:c r="S11" s="42" t="str">
        <x:v>Hayabusa.Monitoring genérico</x:v>
      </x:c>
      <x:c r="T11" s="42" t="str">
        <x:v>Sí, necesario</x:v>
      </x:c>
      <x:c r="U11" s="39"/>
      <x:c r="V11" s="39"/>
      <x:c r="W11" s="39"/>
      <x:c r="X11" s="39"/>
      <x:c r="Y11" s="39"/>
      <x:c r="Z11" s="39"/>
    </x:row>
    <x:row r="12">
      <x:c r="A12" s="42" t="str">
        <x:v>TEC-008</x:v>
      </x:c>
      <x:c r="B12" s="42" t="str">
        <x:v>T1485</x:v>
      </x:c>
      <x:c r="C12" s="42" t="str">
        <x:v>Data Destruction</x:v>
      </x:c>
      <x:c r="D12" s="42" t="str">
        <x:v>Parcial</x:v>
      </x:c>
      <x:c r="E12" s="42" t="str">
        <x:v>N/A</x:v>
      </x:c>
      <x:c r="F12" s="42" t="str">
        <x:v>Pendiente</x:v>
      </x:c>
      <x:c r="G12" s="42" t="str">
        <x:v>Pendiente</x:v>
      </x:c>
      <x:c r="H12" s="42" t="str">
        <x:v>Pendiente</x:v>
      </x:c>
      <x:c r="I12" s="42" t="str">
        <x:v>Pendiente</x:v>
      </x:c>
      <x:c r="J12" s="42" t="str">
        <x:v>Pendiente</x:v>
      </x:c>
      <x:c r="K12" s="42" t="str">
        <x:v>N/A</x:v>
      </x:c>
      <x:c r="L12" s="42" t="str">
        <x:v>Parcial</x:v>
      </x:c>
      <x:c r="M12" s="42" t="str">
        <x:v>Sí</x:v>
      </x:c>
      <x:c r="N12" s="42" t="str">
        <x:v>Proceso/ID26, no alerta resumida</x:v>
      </x:c>
      <x:c r="O12" s="42" t="str">
        <x:v>Custom necesario</x:v>
      </x:c>
      <x:c r="P12" s="42" t="str">
        <x:v>Sí</x:v>
      </x:c>
      <x:c r="Q12" s="42" t="str">
        <x:v>Parcial/Ruido</x:v>
      </x:c>
      <x:c r="R12" s="42" t="str">
        <x:v>No suficiente</x:v>
      </x:c>
      <x:c r="S12" s="42" t="str">
        <x:v>Hayabusa.Monitoring/File Deleted no útil directo</x:v>
      </x:c>
      <x:c r="T12" s="42" t="str">
        <x:v>Sí, necesario</x:v>
      </x:c>
      <x:c r="U12" s="39"/>
      <x:c r="V12" s="39"/>
      <x:c r="W12" s="39"/>
      <x:c r="X12" s="39"/>
      <x:c r="Y12" s="39"/>
      <x:c r="Z12" s="39"/>
    </x:row>
    <x:row r="13">
      <x:c r="A13" s="42" t="str">
        <x:v>TEC-009</x:v>
      </x:c>
      <x:c r="B13" s="42" t="str">
        <x:v>T1074.001 / T1560.001</x:v>
      </x:c>
      <x:c r="C13" s="42" t="str">
        <x:v>Staging / Archive Collected Data</x:v>
      </x:c>
      <x:c r="D13" s="42" t="str">
        <x:v>Parcial</x:v>
      </x:c>
      <x:c r="E13" s="42" t="str">
        <x:v>N/A</x:v>
      </x:c>
      <x:c r="F13" s="42" t="str">
        <x:v>Pendiente</x:v>
      </x:c>
      <x:c r="G13" s="42" t="str">
        <x:v>Pendiente</x:v>
      </x:c>
      <x:c r="H13" s="42" t="str">
        <x:v>Pendiente</x:v>
      </x:c>
      <x:c r="I13" s="42" t="str">
        <x:v>Pendiente</x:v>
      </x:c>
      <x:c r="J13" s="42" t="str">
        <x:v>Pendiente</x:v>
      </x:c>
      <x:c r="K13" s="42" t="str">
        <x:v>N/A</x:v>
      </x:c>
      <x:c r="L13" s="42" t="str">
        <x:v>Parcial</x:v>
      </x:c>
      <x:c r="M13" s="42" t="str">
        <x:v>Sí</x:v>
      </x:c>
      <x:c r="N13" s="42" t="str">
        <x:v>Proceso visible, no staging/exfil claro</x:v>
      </x:c>
      <x:c r="O13" s="42" t="str">
        <x:v>Custom necesario</x:v>
      </x:c>
      <x:c r="P13" s="42" t="str">
        <x:v>Sí</x:v>
      </x:c>
      <x:c r="Q13" s="42" t="str">
        <x:v>Parcial</x:v>
      </x:c>
      <x:c r="R13" s="42" t="str">
        <x:v>No suficiente</x:v>
      </x:c>
      <x:c r="S13" s="42" t="str">
        <x:v>Hayabusa.Monitoring si archive rule</x:v>
      </x:c>
      <x:c r="T13" s="42" t="str">
        <x:v>Sí, necesario</x:v>
      </x:c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O1"/>
    <x:mergeCell ref="A2:O2"/>
  </x:mergeCells>
  <x:conditionalFormatting sqref="D5:D13">
    <x:cfRule type="expression" dxfId="6" priority="1">
      <x:formula>D5="Sí"</x:formula>
    </x:cfRule>
    <x:cfRule type="expression" dxfId="7" priority="2">
      <x:formula>D5="Parcial"</x:formula>
    </x:cfRule>
    <x:cfRule type="expression" dxfId="8" priority="3">
      <x:formula>D5="No"</x:formula>
    </x:cfRule>
  </x:conditionalFormatting>
  <x:conditionalFormatting sqref="E5:E13">
    <x:cfRule type="expression" dxfId="9" priority="4">
      <x:formula>E5="Sí"</x:formula>
    </x:cfRule>
    <x:cfRule type="expression" dxfId="10" priority="5">
      <x:formula>E5="Parcial"</x:formula>
    </x:cfRule>
    <x:cfRule type="expression" dxfId="11" priority="6">
      <x:formula>E5="No"</x:formula>
    </x:cfRule>
  </x:conditionalFormatting>
  <x:conditionalFormatting sqref="F5:F13">
    <x:cfRule type="expression" dxfId="12" priority="7">
      <x:formula>F5="Sí"</x:formula>
    </x:cfRule>
    <x:cfRule type="expression" dxfId="13" priority="8">
      <x:formula>F5="Parcial"</x:formula>
    </x:cfRule>
    <x:cfRule type="expression" dxfId="14" priority="9">
      <x:formula>F5="No"</x:formula>
    </x:cfRule>
  </x:conditionalFormatting>
  <x:conditionalFormatting sqref="G5:G13">
    <x:cfRule type="expression" dxfId="15" priority="10">
      <x:formula>G5="Sí"</x:formula>
    </x:cfRule>
    <x:cfRule type="expression" dxfId="16" priority="11">
      <x:formula>G5="Parcial"</x:formula>
    </x:cfRule>
    <x:cfRule type="expression" dxfId="17" priority="12">
      <x:formula>G5="No"</x:formula>
    </x:cfRule>
  </x:conditionalFormatting>
  <x:conditionalFormatting sqref="H5:H13">
    <x:cfRule type="expression" dxfId="18" priority="13">
      <x:formula>H5="Sí"</x:formula>
    </x:cfRule>
    <x:cfRule type="expression" dxfId="19" priority="14">
      <x:formula>H5="Parcial"</x:formula>
    </x:cfRule>
    <x:cfRule type="expression" dxfId="20" priority="15">
      <x:formula>H5="No"</x:formula>
    </x:cfRule>
  </x:conditionalFormatting>
  <x:conditionalFormatting sqref="I5:I13">
    <x:cfRule type="expression" dxfId="21" priority="16">
      <x:formula>I5="Sí"</x:formula>
    </x:cfRule>
    <x:cfRule type="expression" dxfId="22" priority="17">
      <x:formula>I5="Parcial"</x:formula>
    </x:cfRule>
    <x:cfRule type="expression" dxfId="23" priority="18">
      <x:formula>I5="No"</x:formula>
    </x:cfRule>
  </x:conditionalFormatting>
  <x:conditionalFormatting sqref="J5:J13">
    <x:cfRule type="expression" dxfId="24" priority="19">
      <x:formula>J5="Sí"</x:formula>
    </x:cfRule>
    <x:cfRule type="expression" dxfId="25" priority="20">
      <x:formula>J5="Parcial"</x:formula>
    </x:cfRule>
    <x:cfRule type="expression" dxfId="26" priority="21">
      <x:formula>J5="No"</x:formula>
    </x:cfRule>
  </x:conditionalFormatting>
  <x:conditionalFormatting sqref="K5:K13">
    <x:cfRule type="expression" dxfId="27" priority="22">
      <x:formula>K5="Sí"</x:formula>
    </x:cfRule>
    <x:cfRule type="expression" dxfId="28" priority="23">
      <x:formula>K5="Parcial"</x:formula>
    </x:cfRule>
    <x:cfRule type="expression" dxfId="29" priority="24">
      <x:formula>K5="No"</x:formula>
    </x:cfRule>
  </x:conditionalFormatting>
  <x:conditionalFormatting sqref="L5:L13">
    <x:cfRule type="expression" dxfId="30" priority="25">
      <x:formula>L5="Sí"</x:formula>
    </x:cfRule>
    <x:cfRule type="expression" dxfId="31" priority="26">
      <x:formula>L5="Parcial"</x:formula>
    </x:cfRule>
    <x:cfRule type="expression" dxfId="32" priority="27">
      <x:formula>L5="No"</x:formula>
    </x:cfRule>
  </x:conditionalFormatting>
  <x:conditionalFormatting sqref="M5:M13">
    <x:cfRule type="expression" dxfId="33" priority="28">
      <x:formula>M5="Sí"</x:formula>
    </x:cfRule>
    <x:cfRule type="expression" dxfId="34" priority="29">
      <x:formula>M5="Parcial"</x:formula>
    </x:cfRule>
    <x:cfRule type="expression" dxfId="35" priority="30">
      <x:formula>M5="No"</x:formula>
    </x:cfRule>
  </x:conditionalFormatting>
  <x:dataValidations count="10">
    <x:dataValidation type="list" sqref="D5:D13">
      <x:formula1>99_Listas!$A$2:$A$6</x:formula1>
    </x:dataValidation>
    <x:dataValidation type="list" sqref="E5:E13">
      <x:formula1>99_Listas!$A$2:$A$6</x:formula1>
    </x:dataValidation>
    <x:dataValidation type="list" sqref="F5:F13">
      <x:formula1>99_Listas!$A$2:$A$6</x:formula1>
    </x:dataValidation>
    <x:dataValidation type="list" sqref="G5:G13">
      <x:formula1>99_Listas!$A$2:$A$6</x:formula1>
    </x:dataValidation>
    <x:dataValidation type="list" sqref="H5:H13">
      <x:formula1>99_Listas!$A$2:$A$6</x:formula1>
    </x:dataValidation>
    <x:dataValidation type="list" sqref="I5:I13">
      <x:formula1>99_Listas!$A$2:$A$6</x:formula1>
    </x:dataValidation>
    <x:dataValidation type="list" sqref="J5:J13">
      <x:formula1>99_Listas!$A$2:$A$6</x:formula1>
    </x:dataValidation>
    <x:dataValidation type="list" sqref="K5:K13">
      <x:formula1>99_Listas!$A$2:$A$6</x:formula1>
    </x:dataValidation>
    <x:dataValidation type="list" sqref="L5:L13">
      <x:formula1>99_Listas!$A$2:$A$6</x:formula1>
    </x:dataValidation>
    <x:dataValidation type="list" sqref="M5:M13">
      <x:formula1>99_Listas!$A$2:$A$6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40fb09a064b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88" hidden="0" customWidth="1"/>
  </x:cols>
  <x:sheetData>
    <x:row r="1" ht="30" customHeight="1">
      <x:c r="A1" s="78" t="str">
        <x:v>Resumen definitivo · evaluación de artifacts</x:v>
      </x:c>
      <x:c r="B1" s="79"/>
      <x:c r="C1" s="7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82" t="str">
        <x:v>Indicadores consolidados tras resolver incoherencias: públicos útiles como base, custom necesario para semántica TFM.</x:v>
      </x:c>
      <x:c r="B2" s="82"/>
      <x:c r="C2" s="82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88" t="str">
        <x:v>Indicador</x:v>
      </x:c>
      <x:c r="B4" s="88" t="str">
        <x:v>Valor</x:v>
      </x:c>
      <x:c r="C4" s="88" t="str">
        <x:v>Fórmula / interpretación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Artifacts públicos RT núcleo</x:v>
      </x:c>
      <x:c r="B5" s="42" t="n">
        <x:v>6</x:v>
      </x:c>
      <x:c r="C5" s="42" t="str">
        <x:v>Hayabusa.Monitoring, ServiceCreation, ProcessCreation, SysmonLogForward, ETW.Monitoring, TrackNetworkConnections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Artifact histórico complementario</x:v>
      </x:c>
      <x:c r="B6" s="42" t="n">
        <x:v>1</x:v>
      </x:c>
      <x:c r="C6" s="42" t="str">
        <x:v>Windows.Hayabusa.Rules = análisis histórico; no HIDS RT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Artifacts server/transporte</x:v>
      </x:c>
      <x:c r="B7" s="42" t="n">
        <x:v>2</x:v>
      </x:c>
      <x:c r="C7" s="42" t="str">
        <x:v>Server.Alerts.TrackNetworkConnections + Custom Router Discord; no cuentan como detección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Alertas públicas RT validadas</x:v>
      </x:c>
      <x:c r="B8" s="42" t="n">
        <x:v>2</x:v>
      </x:c>
      <x:c r="C8" s="42" t="str">
        <x:v>Hayabusa.Monitoring genérica + ServiceCreation precisa</x:v>
      </x:c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Públicos con visibilidad/evidencia sin semántica completa</x:v>
      </x:c>
      <x:c r="B9" s="42" t="n">
        <x:v>3</x:v>
      </x:c>
      <x:c r="C9" s="42" t="str">
        <x:v>ProcessCreation, SysmonLogForward, TrackNetworkConnections si no se filtra</x:v>
      </x:c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ETW.Monitoring</x:v>
      </x:c>
      <x:c r="B10" s="42" t="str">
        <x:v>No útil en entorno</x:v>
      </x:c>
      <x:c r="C10" s="42" t="str">
        <x:v>No generó eventos útiles; documentar resultado negativo</x:v>
      </x:c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Custom necesario</x:v>
      </x:c>
      <x:c r="B11" s="42" t="str">
        <x:v>Sí</x:v>
      </x:c>
      <x:c r="C11" s="42" t="str">
        <x:v>Para CU_ID, severidad, confianza, MITRE específico, anti-FP y control P4-P1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Arquitectura custom</x:v>
      </x:c>
      <x:c r="B12" s="50" t="str">
        <x:v>4 artifacts</x:v>
      </x:c>
      <x:c r="C12" s="42" t="str">
        <x:v>Custom.TFM.HIDS.P4.Low.Basic / P3.Medium.Behavioral / P2.High.Forensic / P1.Critical.Correlation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 t="str">
        <x:v>Técnicas evaluadas</x:v>
      </x:c>
      <x:c r="B13" s="50" t="n">
        <x:v>9</x:v>
      </x:c>
      <x:c r="C13" s="42" t="str">
        <x:v>TEC-001 a TEC-009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91" t="str">
        <x:v>Cobertura principal /14</x:v>
      </x:c>
      <x:c r="B14" s="92" t="n">
        <x:f>5/14</x:f>
        <x:v>0.35714285714285715</x:v>
      </x:c>
      <x:c r="C14" s="91" t="str">
        <x:v>5/14: Execution, Persistence, Discovery, Collection, Impact</x:v>
      </x:c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91" t="str">
        <x:v>Cobertura ampliada /14</x:v>
      </x:c>
      <x:c r="B15" s="92" t="n">
        <x:f>6/14</x:f>
        <x:v>0.42857142857142855</x:v>
      </x:c>
      <x:c r="C15" s="91" t="str">
        <x:v>6/14: principal + Privilege Escalation secundaria/contextual</x:v>
      </x:c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91" t="str">
        <x:v>Cobertura contextual con red /14</x:v>
      </x:c>
      <x:c r="B16" s="92" t="n">
        <x:f>7/14</x:f>
        <x:v>0.5</x:v>
      </x:c>
      <x:c r="C16" s="91" t="str">
        <x:v>7/14: añade Exfiltration si TEC-009 tiene red externa documentada</x:v>
      </x:c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95" t="str">
        <x:v>TEC-009</x:v>
      </x:c>
      <x:c r="B17" s="96" t="str">
        <x:v>Red externa controlada</x:v>
      </x:c>
      <x:c r="C17" s="95" t="str">
        <x:v>Compress-Archive + Copy-Item + TcpClient example.com:80; no transferencia real del ZIP</x:v>
      </x:c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2" t="str">
        <x:v>Benchmark</x:v>
      </x:c>
      <x:c r="B18" s="50" t="str">
        <x:v>Por proceso</x:v>
      </x:c>
      <x:c r="C18" s="42" t="str">
        <x:v>B0-B8; CPU/RAM/I/O para velociraptor.exe, Sysmon64.exe y proceso de técnica</x:v>
      </x:c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2"/>
      <x:c r="B19" s="42"/>
      <x:c r="C19" s="42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67" t="str">
        <x:v>Conclusión pública</x:v>
      </x:c>
      <x:c r="B20" s="67" t="str">
        <x:v>Parcial</x:v>
      </x:c>
      <x:c r="C20" s="67" t="str">
        <x:v>Los públicos demuestran que VR alerta, pero no cubren suficientemente TEC-007/008/009</x:v>
      </x:c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2" t="str">
        <x:v>Conclusión custom</x:v>
      </x:c>
      <x:c r="B21" s="42" t="str">
        <x:v>Necesario</x:v>
      </x:c>
      <x:c r="C21" s="42" t="str">
        <x:v>La adaptación convierte telemetría en alertas accionables y defendibles como HIDS</x:v>
      </x:c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2" t="str">
        <x:v>Decisión FortiEDR</x:v>
      </x:c>
      <x:c r="B22" s="42" t="str">
        <x:v>Fuera de evaluación empírica</x:v>
      </x:c>
      <x:c r="C22" s="42" t="str">
        <x:v>Mantener EDR/SIEM/HIDS como marco conceptual, no comparativa experimental</x:v>
      </x:c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2"/>
      <x:c r="B23" s="42"/>
      <x:c r="C23" s="42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2"/>
      <x:c r="B24" s="42"/>
      <x:c r="C24" s="42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2"/>
      <x:c r="B25" s="42"/>
      <x:c r="C25" s="42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2"/>
      <x:c r="B26" s="42"/>
      <x:c r="C26" s="42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d6da2b9c1d84c0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42" hidden="0" customWidth="1"/>
    <x:col min="9" max="9" width="30" hidden="0" customWidth="1"/>
    <x:col min="10" max="10" width="20" hidden="0" customWidth="1"/>
    <x:col min="11" max="11" width="58" hidden="0" customWidth="1"/>
  </x:cols>
  <x:sheetData>
    <x:row r="1" ht="33.599998474121094" hidden="0" customHeight="1">
      <x:c r="A1" s="78" t="str">
        <x:v>Catálogo definitivo de artifacts públicos y rol metodológico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24" hidden="0" customHeight="1">
      <x:c r="A2" s="82" t="str">
        <x:v>Separación estricta: detección CLIENT_EVENT / hunt histórico / server-side transporte.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15" hidden="0" customHeight="1">
      <x:c r="A4" s="88" t="str">
        <x:v>Artifact</x:v>
      </x:c>
      <x:c r="B4" s="88" t="str">
        <x:v>Tipo</x:v>
      </x:c>
      <x:c r="C4" s="88" t="str">
        <x:v>Modo recomendado</x:v>
      </x:c>
      <x:c r="D4" s="88" t="str">
        <x:v>Perfil</x:v>
      </x:c>
      <x:c r="E4" s="88" t="str">
        <x:v>Consumo esperado</x:v>
      </x:c>
      <x:c r="F4" s="88" t="str">
        <x:v>Prioridad</x:v>
      </x:c>
      <x:c r="G4" s="88" t="str">
        <x:v>Técnicas objetivo</x:v>
      </x:c>
      <x:c r="H4" s="88" t="str">
        <x:v>Uso TFM</x:v>
      </x:c>
      <x:c r="I4" s="88" t="str">
        <x:v>Dónde obtener</x:v>
      </x:c>
      <x:c r="J4" s="88" t="str">
        <x:v>Decisión</x:v>
      </x:c>
      <x:c r="K4" s="88" t="str">
        <x:v>Notas</x:v>
      </x:c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15" hidden="0" customHeight="1">
      <x:c r="A5" s="42" t="str">
        <x:v>Windows.Events.ProcessCreation</x:v>
      </x:c>
      <x:c r="B5" s="42" t="str">
        <x:v>Built-in</x:v>
      </x:c>
      <x:c r="C5" s="42" t="str">
        <x:v>Client Monitoring</x:v>
      </x:c>
      <x:c r="D5" s="42" t="str">
        <x:v>P4 Low</x:v>
      </x:c>
      <x:c r="E5" s="42" t="str">
        <x:v>Bajo</x:v>
      </x:c>
      <x:c r="F5" s="42" t="str">
        <x:v>Obligatorio</x:v>
      </x:c>
      <x:c r="G5" s="42" t="str">
        <x:v>TEC-001/002/003/004/006; visibilidad 007/008/009</x:v>
      </x:c>
      <x:c r="H5" s="42" t="str">
        <x:v>Fuente base de procesos en tiempo real</x:v>
      </x:c>
      <x:c r="I5" s="42" t="str">
        <x:v>Built-in GUI</x:v>
      </x:c>
      <x:c r="J5" s="42" t="str">
        <x:v>Mantener</x:v>
      </x:c>
      <x:c r="K5" s="42" t="str">
        <x:v>Visibilidad alta; no clasifica MITRE por sí solo</x:v>
      </x:c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15" hidden="0" customHeight="1">
      <x:c r="A6" s="42" t="str">
        <x:v>Windows.Events.ServiceCreation</x:v>
      </x:c>
      <x:c r="B6" s="42" t="str">
        <x:v>Built-in</x:v>
      </x:c>
      <x:c r="C6" s="42" t="str">
        <x:v>Client Monitoring</x:v>
      </x:c>
      <x:c r="D6" s="42" t="str">
        <x:v>P4 Low</x:v>
      </x:c>
      <x:c r="E6" s="42" t="str">
        <x:v>Bajo</x:v>
      </x:c>
      <x:c r="F6" s="42" t="str">
        <x:v>Obligatorio</x:v>
      </x:c>
      <x:c r="G6" s="42" t="str">
        <x:v>TEC-005</x:v>
      </x:c>
      <x:c r="H6" s="42" t="str">
        <x:v>EventID 7045 / creación de servicios</x:v>
      </x:c>
      <x:c r="I6" s="42" t="str">
        <x:v>Built-in GUI</x:v>
      </x:c>
      <x:c r="J6" s="42" t="str">
        <x:v>Mantener</x:v>
      </x:c>
      <x:c r="K6" s="42" t="str">
        <x:v>Caso público exitoso: alerta precisa para TEC-005</x:v>
      </x:c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15" hidden="0" customHeight="1">
      <x:c r="A7" s="42" t="str">
        <x:v>Windows.Sysinternals.SysmonLogForward</x:v>
      </x:c>
      <x:c r="B7" s="42" t="str">
        <x:v>Built-in</x:v>
      </x:c>
      <x:c r="C7" s="42" t="str">
        <x:v>Client Monitoring</x:v>
      </x:c>
      <x:c r="D7" s="42" t="str">
        <x:v>P4 Low / P2 High</x:v>
      </x:c>
      <x:c r="E7" s="42" t="str">
        <x:v>Bajo/medio</x:v>
      </x:c>
      <x:c r="F7" s="42" t="str">
        <x:v>Obligatorio</x:v>
      </x:c>
      <x:c r="G7" s="42" t="str">
        <x:v>TEC-004/007/008/009</x:v>
      </x:c>
      <x:c r="H7" s="42" t="str">
        <x:v>Evidencia Sysmon 3/11/12/13/14/26</x:v>
      </x:c>
      <x:c r="I7" s="42" t="str">
        <x:v>Built-in GUI</x:v>
      </x:c>
      <x:c r="J7" s="42" t="str">
        <x:v>Mantener</x:v>
      </x:c>
      <x:c r="K7" s="42" t="str">
        <x:v>Evidencia, no semántica; ID26 no enviar a Discord</x:v>
      </x:c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24" hidden="0" customHeight="1">
      <x:c r="A8" s="42" t="str">
        <x:v>Windows.Hayabusa.Monitoring</x:v>
      </x:c>
      <x:c r="B8" s="42" t="str">
        <x:v>Sigma/Hayabusa</x:v>
      </x:c>
      <x:c r="C8" s="42" t="str">
        <x:v>Client Monitoring</x:v>
      </x:c>
      <x:c r="D8" s="42" t="str">
        <x:v>P3 Medium</x:v>
      </x:c>
      <x:c r="E8" s="42" t="str">
        <x:v>Medio</x:v>
      </x:c>
      <x:c r="F8" s="42" t="str">
        <x:v>Obligatorio</x:v>
      </x:c>
      <x:c r="G8" s="42" t="str">
        <x:v>TEC-001 parcial; 007/008/009 parcial/no específico</x:v>
      </x:c>
      <x:c r="H8" s="42" t="str">
        <x:v>Alerta pública RT Sigma/Hayabusa</x:v>
      </x:c>
      <x:c r="I8" s="42" t="str">
        <x:v>Sigma artifacts / Server.Import.Extras</x:v>
      </x:c>
      <x:c r="J8" s="42" t="str">
        <x:v>Mantener</x:v>
      </x:c>
      <x:c r="K8" s="42" t="str">
        <x:v>Genera alerta PowerShell genérica; insuficiente para técnicas de impacto/staging</x:v>
      </x:c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15" hidden="0" customHeight="1">
      <x:c r="A9" s="42" t="str">
        <x:v>Windows.ETW.Monitoring</x:v>
      </x:c>
      <x:c r="B9" s="42" t="str">
        <x:v>Sigma/ETW</x:v>
      </x:c>
      <x:c r="C9" s="42" t="str">
        <x:v>Client Monitoring</x:v>
      </x:c>
      <x:c r="D9" s="42" t="str">
        <x:v>P2/P1 opcional</x:v>
      </x:c>
      <x:c r="E9" s="42" t="str">
        <x:v>Medio/alto</x:v>
      </x:c>
      <x:c r="F9" s="42" t="str">
        <x:v>Documentar</x:v>
      </x:c>
      <x:c r="G9" s="42" t="str">
        <x:v>Varias esperadas</x:v>
      </x:c>
      <x:c r="H9" s="42" t="str">
        <x:v>Prueba negativa en entorno</x:v>
      </x:c>
      <x:c r="I9" s="42" t="str">
        <x:v>Sigma artifacts / Server.Import.Extras</x:v>
      </x:c>
      <x:c r="J9" s="42" t="str">
        <x:v>No priorizar</x:v>
      </x:c>
      <x:c r="K9" s="42" t="str">
        <x:v>No generó eventos útiles; resultado válido para memoria</x:v>
      </x:c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24" hidden="0" customHeight="1">
      <x:c r="A10" s="42" t="str">
        <x:v>Generic.Events.TrackNetworkConnections</x:v>
      </x:c>
      <x:c r="B10" s="42" t="str">
        <x:v>Community / SEC Consult</x:v>
      </x:c>
      <x:c r="C10" s="42" t="str">
        <x:v>Client Monitoring</x:v>
      </x:c>
      <x:c r="D10" s="42" t="str">
        <x:v>P3/P2</x:v>
      </x:c>
      <x:c r="E10" s="42" t="str">
        <x:v>Medio</x:v>
      </x:c>
      <x:c r="F10" s="42" t="str">
        <x:v>Importante</x:v>
      </x:c>
      <x:c r="G10" s="42" t="str">
        <x:v>TEC-009 contextual</x:v>
      </x:c>
      <x:c r="H10" s="42" t="str">
        <x:v>Conexiones nuevas/eliminadas por endpoint</x:v>
      </x:c>
      <x:c r="I10" s="42" t="str">
        <x:v>Artifact Exchange / SEC Consult</x:v>
      </x:c>
      <x:c r="J10" s="42" t="str">
        <x:v>Mantener con filtro</x:v>
      </x:c>
      <x:c r="K10" s="42" t="str">
        <x:v>Usa netstat+diff; filtrar TCP added, puerto 80/443, destino externo y proceso powershell/curl</x:v>
      </x:c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15" hidden="0" customHeight="1">
      <x:c r="A11" s="42" t="str">
        <x:v>Windows.Hayabusa.Rules</x:v>
      </x:c>
      <x:c r="B11" s="42" t="str">
        <x:v>Sigma/Hayabusa</x:v>
      </x:c>
      <x:c r="C11" s="42" t="str">
        <x:v>Hunt histórico</x:v>
      </x:c>
      <x:c r="D11" s="42" t="str">
        <x:v>P3 Medium</x:v>
      </x:c>
      <x:c r="E11" s="42" t="str">
        <x:v>Medio</x:v>
      </x:c>
      <x:c r="F11" s="42" t="str">
        <x:v>Complementario</x:v>
      </x:c>
      <x:c r="G11" s="42" t="str">
        <x:v>TEC-001 a TEC-009 parcial</x:v>
      </x:c>
      <x:c r="H11" s="42" t="str">
        <x:v>Comparación histórica sobre EVTX</x:v>
      </x:c>
      <x:c r="I11" s="42" t="str">
        <x:v>Sigma artifacts / Server.Import.Extras</x:v>
      </x:c>
      <x:c r="J11" s="42" t="str">
        <x:v>Mantener como histórico</x:v>
      </x:c>
      <x:c r="K11" s="42" t="str">
        <x:v>No es HIDS RT; útil para demostrar ruido y detección parcial</x:v>
      </x:c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15" hidden="0" customHeight="1">
      <x:c r="A12" s="42" t="str">
        <x:v>Server.Alerts.TrackNetworkConnections</x:v>
      </x:c>
      <x:c r="B12" s="42" t="str">
        <x:v>Server-side companion</x:v>
      </x:c>
      <x:c r="C12" s="42" t="str">
        <x:v>Server Monitoring</x:v>
      </x:c>
      <x:c r="D12" s="42" t="str">
        <x:v>Transporte</x:v>
      </x:c>
      <x:c r="E12" s="42" t="str">
        <x:v>Bajo</x:v>
      </x:c>
      <x:c r="F12" s="42" t="str">
        <x:v>Complementario</x:v>
      </x:c>
      <x:c r="G12" s="42" t="str">
        <x:v>TEC-009 contextual</x:v>
      </x:c>
      <x:c r="H12" s="42" t="str">
        <x:v>Reacción/alerta server-side de conexiones</x:v>
      </x:c>
      <x:c r="I12" s="42" t="str">
        <x:v>SEC Consult companion</x:v>
      </x:c>
      <x:c r="J12" s="42" t="str">
        <x:v>No contar como detección</x:v>
      </x:c>
      <x:c r="K12" s="42" t="str">
        <x:v>No es CLIENT_EVENT; sirve para notificación</x:v>
      </x:c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15" hidden="0" customHeight="1">
      <x:c r="A13" s="42" t="str">
        <x:v>Custom.TFM.PublicAlerts.Discord.Router</x:v>
      </x:c>
      <x:c r="B13" s="42" t="str">
        <x:v>Custom SERVER_EVENT</x:v>
      </x:c>
      <x:c r="C13" s="42" t="str">
        <x:v>Server Monitoring</x:v>
      </x:c>
      <x:c r="D13" s="42" t="str">
        <x:v>Transporte normalizado</x:v>
      </x:c>
      <x:c r="E13" s="42" t="str">
        <x:v>Bajo/medio</x:v>
      </x:c>
      <x:c r="F13" s="42" t="str">
        <x:v>Necesario TFM</x:v>
      </x:c>
      <x:c r="G13" s="42" t="str">
        <x:v>Todas alertables</x:v>
      </x:c>
      <x:c r="H13" s="42" t="str">
        <x:v>Normalizar Discord: CU_ID, MITRE, severidad, evidencia</x:v>
      </x:c>
      <x:c r="I13" s="42" t="str">
        <x:v>Desarrollo propio</x:v>
      </x:c>
      <x:c r="J13" s="42" t="str">
        <x:v>Mantener</x:v>
      </x:c>
      <x:c r="K13" s="42" t="str">
        <x:v>No detecta; transporta alertas filtradas</x:v>
      </x:c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c4b9d245e8644e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20" hidden="0" customWidth="1"/>
    <x:col min="5" max="5" width="28" hidden="0" customWidth="1"/>
    <x:col min="6" max="6" width="30" hidden="0" customWidth="1"/>
    <x:col min="7" max="7" width="16" hidden="0" customWidth="1"/>
    <x:col min="8" max="8" width="14" hidden="0" customWidth="1"/>
    <x:col min="9" max="9" width="14" hidden="0" customWidth="1"/>
    <x:col min="10" max="10" width="42" hidden="0" customWidth="1"/>
  </x:cols>
  <x:sheetData>
    <x:row r="1" ht="30" customHeight="1">
      <x:c r="A1" s="52" t="str">
        <x:v>Operaciones benignas y control de falsos positivos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34" customHeight="1">
      <x:c r="A2" s="40" t="str">
        <x:v>Pruebas negativas o dual-use para valorar discriminación de artifacts públicos/custom.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1" t="str">
        <x:v>ID_OB</x:v>
      </x:c>
      <x:c r="B4" s="41" t="str">
        <x:v>Operación benigna</x:v>
      </x:c>
      <x:c r="C4" s="41" t="str">
        <x:v>Comando/acción</x:v>
      </x:c>
      <x:c r="D4" s="41" t="str">
        <x:v>Técnica que podría parecer</x:v>
      </x:c>
      <x:c r="E4" s="41" t="str">
        <x:v>Resultado esperado</x:v>
      </x:c>
      <x:c r="F4" s="41" t="str">
        <x:v>Artifact a comprobar</x:v>
      </x:c>
      <x:c r="G4" s="41" t="str">
        <x:v>Resultado real</x:v>
      </x:c>
      <x:c r="H4" s="41" t="str">
        <x:v>Veredicto</x:v>
      </x:c>
      <x:c r="I4" s="41" t="str">
        <x:v>FP_Risk</x:v>
      </x:c>
      <x:c r="J4" s="41" t="str">
        <x:v>Notas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OB-001</x:v>
      </x:c>
      <x:c r="B5" s="42" t="str">
        <x:v>Apertura PowerShell normal</x:v>
      </x:c>
      <x:c r="C5" s="42" t="str">
        <x:v>powershell.exe</x:v>
      </x:c>
      <x:c r="D5" s="42" t="str">
        <x:v>TEC-001</x:v>
      </x:c>
      <x:c r="E5" s="42" t="str">
        <x:v>No alerta o baja prioridad</x:v>
      </x:c>
      <x:c r="F5" s="42" t="str">
        <x:v>ProcessCreation / Hayabusa</x:v>
      </x:c>
      <x:c r="G5" s="42" t="str">
        <x:v>Pendiente</x:v>
      </x:c>
      <x:c r="H5" s="42" t="str">
        <x:v>Pendiente</x:v>
      </x:c>
      <x:c r="I5" s="42" t="str">
        <x:v>Bajo</x:v>
      </x:c>
      <x:c r="J5" s="42" t="str">
        <x:v>Control de ruido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OB-002</x:v>
      </x:c>
      <x:c r="B6" s="42" t="str">
        <x:v>CMD normal</x:v>
      </x:c>
      <x:c r="C6" s="42" t="str">
        <x:v>cmd.exe</x:v>
      </x:c>
      <x:c r="D6" s="42" t="str">
        <x:v>TEC-002</x:v>
      </x:c>
      <x:c r="E6" s="42" t="str">
        <x:v>No alerta</x:v>
      </x:c>
      <x:c r="F6" s="42" t="str">
        <x:v>ProcessCreation / Hayabusa</x:v>
      </x:c>
      <x:c r="G6" s="42" t="str">
        <x:v>Pendiente</x:v>
      </x:c>
      <x:c r="H6" s="42" t="str">
        <x:v>Pendiente</x:v>
      </x:c>
      <x:c r="I6" s="42" t="str">
        <x:v>Bajo</x:v>
      </x:c>
      <x:c r="J6" s="42" t="str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 t="str">
        <x:v>OB-003</x:v>
      </x:c>
      <x:c r="B7" s="42" t="str">
        <x:v>Consulta eventos defensiva</x:v>
      </x:c>
      <x:c r="C7" s="42" t="str">
        <x:v>Get-WinEvent Sysmon/PowerShell</x:v>
      </x:c>
      <x:c r="D7" s="42" t="str">
        <x:v>TEC-006/008</x:v>
      </x:c>
      <x:c r="E7" s="42" t="str">
        <x:v>No clasificar como ataque</x:v>
      </x:c>
      <x:c r="F7" s="42" t="str">
        <x:v>Hayabusa/custom</x:v>
      </x:c>
      <x:c r="G7" s="42" t="str">
        <x:v>Pendiente</x:v>
      </x:c>
      <x:c r="H7" s="42" t="str">
        <x:v>Pendiente</x:v>
      </x:c>
      <x:c r="I7" s="42" t="str">
        <x:v>Medio</x:v>
      </x:c>
      <x:c r="J7" s="42" t="str">
        <x:v>Excluir diagnósticos defensivos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 t="str">
        <x:v>OB-004</x:v>
      </x:c>
      <x:c r="B8" s="42" t="str">
        <x:v>Crear ZIP administrativo</x:v>
      </x:c>
      <x:c r="C8" s="42" t="str">
        <x:v>Compress-Archive documentos</x:v>
      </x:c>
      <x:c r="D8" s="42" t="str">
        <x:v>TEC-009</x:v>
      </x:c>
      <x:c r="E8" s="42" t="str">
        <x:v>No exfil si no hay contexto</x:v>
      </x:c>
      <x:c r="F8" s="42" t="str">
        <x:v>Hayabusa/custom</x:v>
      </x:c>
      <x:c r="G8" s="42" t="str">
        <x:v>Pendiente</x:v>
      </x:c>
      <x:c r="H8" s="42" t="str">
        <x:v>Pendiente</x:v>
      </x:c>
      <x:c r="I8" s="42" t="str">
        <x:v>Medio</x:v>
      </x:c>
      <x:c r="J8" s="42" t="str">
        <x:v>Diferenciar backup vs staging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2" t="str">
        <x:v>OB-005</x:v>
      </x:c>
      <x:c r="B9" s="42" t="str">
        <x:v>Borrado individual</x:v>
      </x:c>
      <x:c r="C9" s="42" t="str">
        <x:v>Remove-Item un fichero</x:v>
      </x:c>
      <x:c r="D9" s="42" t="str">
        <x:v>TEC-008</x:v>
      </x:c>
      <x:c r="E9" s="42" t="str">
        <x:v>No alerta crítica</x:v>
      </x:c>
      <x:c r="F9" s="42" t="str">
        <x:v>Sysmon ID 26 / custom</x:v>
      </x:c>
      <x:c r="G9" s="42" t="str">
        <x:v>Pendiente</x:v>
      </x:c>
      <x:c r="H9" s="42" t="str">
        <x:v>Pendiente</x:v>
      </x:c>
      <x:c r="I9" s="42" t="str">
        <x:v>Bajo</x:v>
      </x:c>
      <x:c r="J9" s="42" t="str">
        <x:v>No alertar por fichero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2" t="str">
        <x:v>OB-006</x:v>
      </x:c>
      <x:c r="B10" s="42" t="str">
        <x:v>Scheduled task administrativa</x:v>
      </x:c>
      <x:c r="C10" s="42" t="str">
        <x:v>schtasks create/delete controlado</x:v>
      </x:c>
      <x:c r="D10" s="42" t="str">
        <x:v>TEC-003</x:v>
      </x:c>
      <x:c r="E10" s="42" t="str">
        <x:v>Posible dual-use</x:v>
      </x:c>
      <x:c r="F10" s="42" t="str">
        <x:v>Hayabusa/public/custom</x:v>
      </x:c>
      <x:c r="G10" s="42" t="str">
        <x:v>Pendiente</x:v>
      </x:c>
      <x:c r="H10" s="42" t="str">
        <x:v>Pendiente</x:v>
      </x:c>
      <x:c r="I10" s="42" t="str">
        <x:v>Alto</x:v>
      </x:c>
      <x:c r="J10" s="42" t="str">
        <x:v>Puede generar FP controlado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2" t="str">
        <x:v>OB-007</x:v>
      </x:c>
      <x:c r="B11" s="42" t="str">
        <x:v>Servicio legítimo Windows</x:v>
      </x:c>
      <x:c r="C11" s="42" t="str">
        <x:v>Actualización/instalador crea servicio</x:v>
      </x:c>
      <x:c r="D11" s="42" t="str">
        <x:v>TEC-005</x:v>
      </x:c>
      <x:c r="E11" s="42" t="str">
        <x:v>No alerta crítica si contexto legítimo</x:v>
      </x:c>
      <x:c r="F11" s="42" t="str">
        <x:v>ServiceCreation/Hayabusa</x:v>
      </x:c>
      <x:c r="G11" s="42" t="str">
        <x:v>Pendiente</x:v>
      </x:c>
      <x:c r="H11" s="42" t="str">
        <x:v>Pendiente</x:v>
      </x:c>
      <x:c r="I11" s="42" t="str">
        <x:v>Medio</x:v>
      </x:c>
      <x:c r="J11" s="42" t="str">
        <x:v>Control de ruido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2" t="str">
        <x:v>OB-008</x:v>
      </x:c>
      <x:c r="B12" s="42" t="str">
        <x:v>Consulta AV defensiva</x:v>
      </x:c>
      <x:c r="C12" s="42" t="str">
        <x:v>Get-CimInstance AntivirusProduct</x:v>
      </x:c>
      <x:c r="D12" s="42" t="str">
        <x:v>TEC-006</x:v>
      </x:c>
      <x:c r="E12" s="42" t="str">
        <x:v>Puede ser positivo si prueba; benigno si admin</x:v>
      </x:c>
      <x:c r="F12" s="42" t="str">
        <x:v>ProcessCreation/4104</x:v>
      </x:c>
      <x:c r="G12" s="42" t="str">
        <x:v>Pendiente</x:v>
      </x:c>
      <x:c r="H12" s="42" t="str">
        <x:v>Pendiente</x:v>
      </x:c>
      <x:c r="I12" s="42" t="str">
        <x:v>Medio</x:v>
      </x:c>
      <x:c r="J12" s="42" t="str">
        <x:v>Dual-use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54a2aea9ea54ac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2" hidden="0" customWidth="1"/>
    <x:col min="4" max="4" width="44" hidden="0" customWidth="1"/>
    <x:col min="5" max="5" width="42" hidden="0" customWidth="1"/>
    <x:col min="6" max="6" width="52" hidden="0" customWidth="1"/>
    <x:col min="7" max="7" width="14" hidden="0" customWidth="1"/>
    <x:col min="8" max="8" width="14" hidden="0" customWidth="1"/>
    <x:col min="9" max="9" width="14" hidden="0" customWidth="1"/>
    <x:col min="10" max="10" width="52" hidden="0" customWidth="1"/>
  </x:cols>
  <x:sheetData>
    <x:row r="1" ht="100.80000305175781" hidden="0" customHeight="1">
      <x:c r="A1" s="78" t="str">
        <x:v>Plan definitivo de benchmark por proceso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132" hidden="0" customHeight="1">
      <x:c r="A2" s="82" t="str">
        <x:v>Equivalente tipo top/ntop en Windows: foco en velociraptor.exe, Sysmon64.exe y proceso de la técnica; comparar reposo vs ejecución.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15" hidden="0" customHeight="1">
      <x:c r="A4" s="88" t="str">
        <x:v>Escenario</x:v>
      </x:c>
      <x:c r="B4" s="88" t="str">
        <x:v>Objetivo</x:v>
      </x:c>
      <x:c r="C4" s="88" t="str">
        <x:v>VR activo</x:v>
      </x:c>
      <x:c r="D4" s="88" t="str">
        <x:v>Artifacts activos</x:v>
      </x:c>
      <x:c r="E4" s="88" t="str">
        <x:v>Procesos medidos</x:v>
      </x:c>
      <x:c r="F4" s="88" t="str">
        <x:v>Métricas</x:v>
      </x:c>
      <x:c r="G4" s="88" t="str">
        <x:v>Duración</x:v>
      </x:c>
      <x:c r="H4" s="88" t="str">
        <x:v>Repeticiones</x:v>
      </x:c>
      <x:c r="I4" s="88" t="str">
        <x:v>Estado</x:v>
      </x:c>
      <x:c r="J4" s="88" t="str">
        <x:v>Notas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15" hidden="0" customHeight="1">
      <x:c r="A5" s="42" t="str">
        <x:v>B0</x:v>
      </x:c>
      <x:c r="B5" s="42" t="str">
        <x:v>Baseline Windows + Sysmon sin Velociraptor</x:v>
      </x:c>
      <x:c r="C5" s="42" t="str">
        <x:v>No</x:v>
      </x:c>
      <x:c r="D5" s="42" t="str">
        <x:v>N/A</x:v>
      </x:c>
      <x:c r="E5" s="42" t="str">
        <x:v>Sysmon64.exe; proceso técnica si aplica</x:v>
      </x:c>
      <x:c r="F5" s="42" t="str">
        <x:v>CPU media/P95/max; Working Set; Private Bytes; I/O read/write</x:v>
      </x:c>
      <x:c r="G5" s="42" t="str">
        <x:v>5-10 min</x:v>
      </x:c>
      <x:c r="H5" s="42" t="str">
        <x:v>3</x:v>
      </x:c>
      <x:c r="I5" s="42" t="str">
        <x:v>Pendiente</x:v>
      </x:c>
      <x:c r="J5" s="42" t="str">
        <x:v>Control basal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15" hidden="0" customHeight="1">
      <x:c r="A6" s="42" t="str">
        <x:v>B1</x:v>
      </x:c>
      <x:c r="B6" s="42" t="str">
        <x:v>Velociraptor activo sin artifacts custom</x:v>
      </x:c>
      <x:c r="C6" s="42" t="str">
        <x:v>Sí</x:v>
      </x:c>
      <x:c r="D6" s="42" t="str">
        <x:v>Sin custom</x:v>
      </x:c>
      <x:c r="E6" s="42" t="str">
        <x:v>velociraptor.exe; Sysmon64.exe</x:v>
      </x:c>
      <x:c r="F6" s="42" t="str">
        <x:v>CPU/RAM/I/O por proceso</x:v>
      </x:c>
      <x:c r="G6" s="42" t="str">
        <x:v>5-10 min</x:v>
      </x:c>
      <x:c r="H6" s="42" t="str">
        <x:v>3</x:v>
      </x:c>
      <x:c r="I6" s="42" t="str">
        <x:v>Pendiente</x:v>
      </x:c>
      <x:c r="J6" s="42" t="str">
        <x:v>Coste VR en reposo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15" hidden="0" customHeight="1">
      <x:c r="A7" s="42" t="str">
        <x:v>B2</x:v>
      </x:c>
      <x:c r="B7" s="42" t="str">
        <x:v>Artifacts públicos básicos</x:v>
      </x:c>
      <x:c r="C7" s="42" t="str">
        <x:v>Sí</x:v>
      </x:c>
      <x:c r="D7" s="42" t="str">
        <x:v>ProcessCreation; ServiceCreation; SysmonLogForward</x:v>
      </x:c>
      <x:c r="E7" s="42" t="str">
        <x:v>velociraptor.exe; Sysmon64.exe</x:v>
      </x:c>
      <x:c r="F7" s="42" t="str">
        <x:v>CPU/RAM/I/O</x:v>
      </x:c>
      <x:c r="G7" s="42" t="str">
        <x:v>5-10 min</x:v>
      </x:c>
      <x:c r="H7" s="42" t="str">
        <x:v>3</x:v>
      </x:c>
      <x:c r="I7" s="42" t="str">
        <x:v>Pendiente</x:v>
      </x:c>
      <x:c r="J7" s="42" t="str">
        <x:v>P4 público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15" hidden="0" customHeight="1">
      <x:c r="A8" s="42" t="str">
        <x:v>B3</x:v>
      </x:c>
      <x:c r="B8" s="42" t="str">
        <x:v>Hayabusa/Sigma público</x:v>
      </x:c>
      <x:c r="C8" s="42" t="str">
        <x:v>Sí</x:v>
      </x:c>
      <x:c r="D8" s="42" t="str">
        <x:v>Hayabusa.Monitoring; Hayabusa.Rules si histórico</x:v>
      </x:c>
      <x:c r="E8" s="42" t="str">
        <x:v>velociraptor.exe; Sysmon64.exe</x:v>
      </x:c>
      <x:c r="F8" s="42" t="str">
        <x:v>CPU/RAM/I/O</x:v>
      </x:c>
      <x:c r="G8" s="42" t="str">
        <x:v>5-10 min</x:v>
      </x:c>
      <x:c r="H8" s="42" t="str">
        <x:v>3</x:v>
      </x:c>
      <x:c r="I8" s="42" t="str">
        <x:v>Pendiente</x:v>
      </x:c>
      <x:c r="J8" s="42" t="str">
        <x:v>P3 público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24" hidden="0" customHeight="1">
      <x:c r="A9" s="42" t="str">
        <x:v>B4</x:v>
      </x:c>
      <x:c r="B9" s="42" t="str">
        <x:v>Red host-based pública</x:v>
      </x:c>
      <x:c r="C9" s="42" t="str">
        <x:v>Sí</x:v>
      </x:c>
      <x:c r="D9" s="42" t="str">
        <x:v>Generic.Events.TrackNetworkConnections + companion/router</x:v>
      </x:c>
      <x:c r="E9" s="42" t="str">
        <x:v>velociraptor.exe; Sysmon64.exe; powershell.exe</x:v>
      </x:c>
      <x:c r="F9" s="42" t="str">
        <x:v>CPU/RAM/I/O + nº conexiones/eventos</x:v>
      </x:c>
      <x:c r="G9" s="42" t="str">
        <x:v>5-10 min</x:v>
      </x:c>
      <x:c r="H9" s="42" t="str">
        <x:v>3</x:v>
      </x:c>
      <x:c r="I9" s="42" t="str">
        <x:v>Pendiente</x:v>
      </x:c>
      <x:c r="J9" s="42" t="str">
        <x:v>TEC-009 contextual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15" hidden="0" customHeight="1">
      <x:c r="A10" s="42" t="str">
        <x:v>B5</x:v>
      </x:c>
      <x:c r="B10" s="42" t="str">
        <x:v>Custom P4 Low</x:v>
      </x:c>
      <x:c r="C10" s="42" t="str">
        <x:v>Sí</x:v>
      </x:c>
      <x:c r="D10" s="42" t="str">
        <x:v>Custom.TFM.HIDS.P4.Low.Basic</x:v>
      </x:c>
      <x:c r="E10" s="42" t="str">
        <x:v>velociraptor.exe; Sysmon64.exe</x:v>
      </x:c>
      <x:c r="F10" s="42" t="str">
        <x:v>CPU/RAM/I/O</x:v>
      </x:c>
      <x:c r="G10" s="42" t="str">
        <x:v>5-10 min</x:v>
      </x:c>
      <x:c r="H10" s="42" t="str">
        <x:v>3</x:v>
      </x:c>
      <x:c r="I10" s="42" t="str">
        <x:v>Pendiente</x:v>
      </x:c>
      <x:c r="J10" s="42" t="str">
        <x:v>Señales baratas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15" hidden="0" customHeight="1">
      <x:c r="A11" s="42" t="str">
        <x:v>B6</x:v>
      </x:c>
      <x:c r="B11" s="42" t="str">
        <x:v>Custom P3 Medium</x:v>
      </x:c>
      <x:c r="C11" s="42" t="str">
        <x:v>Sí</x:v>
      </x:c>
      <x:c r="D11" s="42" t="str">
        <x:v>Custom.TFM.HIDS.P3.Medium.Behavioral</x:v>
      </x:c>
      <x:c r="E11" s="42" t="str">
        <x:v>velociraptor.exe; Sysmon64.exe; powershell.exe</x:v>
      </x:c>
      <x:c r="F11" s="42" t="str">
        <x:v>CPU/RAM/I/O + eventos 4104</x:v>
      </x:c>
      <x:c r="G11" s="42" t="str">
        <x:v>5-10 min</x:v>
      </x:c>
      <x:c r="H11" s="42" t="str">
        <x:v>3</x:v>
      </x:c>
      <x:c r="I11" s="42" t="str">
        <x:v>Pendiente</x:v>
      </x:c>
      <x:c r="J11" s="42" t="str">
        <x:v>Comportamiento 4104 selectivo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15" hidden="0" customHeight="1">
      <x:c r="A12" s="42" t="str">
        <x:v>B7</x:v>
      </x:c>
      <x:c r="B12" s="42" t="str">
        <x:v>Custom P2 High</x:v>
      </x:c>
      <x:c r="C12" s="42" t="str">
        <x:v>Sí</x:v>
      </x:c>
      <x:c r="D12" s="42" t="str">
        <x:v>Custom.TFM.HIDS.P2.High.Forensic</x:v>
      </x:c>
      <x:c r="E12" s="42" t="str">
        <x:v>velociraptor.exe; Sysmon64.exe; powershell.exe</x:v>
      </x:c>
      <x:c r="F12" s="42" t="str">
        <x:v>CPU/RAM/I/O + Sysmon 3/11/26</x:v>
      </x:c>
      <x:c r="G12" s="42" t="str">
        <x:v>5-10 min</x:v>
      </x:c>
      <x:c r="H12" s="42" t="str">
        <x:v>3</x:v>
      </x:c>
      <x:c r="I12" s="42" t="str">
        <x:v>Pendiente</x:v>
      </x:c>
      <x:c r="J12" s="42" t="str">
        <x:v>Evidencia forense</x:v>
      </x:c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15" hidden="0" customHeight="1">
      <x:c r="A13" s="42" t="str">
        <x:v>B8</x:v>
      </x:c>
      <x:c r="B13" s="42" t="str">
        <x:v>Custom P1 Critical</x:v>
      </x:c>
      <x:c r="C13" s="42" t="str">
        <x:v>Sí</x:v>
      </x:c>
      <x:c r="D13" s="42" t="str">
        <x:v>Custom.TFM.HIDS.P1.Critical.Correlation</x:v>
      </x:c>
      <x:c r="E13" s="42" t="str">
        <x:v>velociraptor.exe; Sysmon64.exe; procesos técnica</x:v>
      </x:c>
      <x:c r="F13" s="42" t="str">
        <x:v>CPU/RAM/I/O + correlaciones + umbrales</x:v>
      </x:c>
      <x:c r="G13" s="42" t="str">
        <x:v>5-10 min</x:v>
      </x:c>
      <x:c r="H13" s="42" t="str">
        <x:v>3</x:v>
      </x:c>
      <x:c r="I13" s="42" t="str">
        <x:v>Pendiente</x:v>
      </x:c>
      <x:c r="J13" s="42" t="str">
        <x:v>Máxima visibilidad; no usar siempre</x:v>
      </x:c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3a88d02fefc4c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6" hidden="0" customWidth="1"/>
    <x:col min="4" max="4" width="14" hidden="0" customWidth="1"/>
    <x:col min="5" max="5" width="28" hidden="0" customWidth="1"/>
    <x:col min="6" max="6" width="42" hidden="0" customWidth="1"/>
    <x:col min="7" max="7" width="34" hidden="0" customWidth="1"/>
    <x:col min="8" max="8" width="52" hidden="0" customWidth="1"/>
    <x:col min="9" max="9" width="14" hidden="0" customWidth="1"/>
  </x:cols>
  <x:sheetData>
    <x:row r="1" ht="84" hidden="0" customHeight="1">
      <x:c r="A1" s="78" t="str">
        <x:v>Gaps públicos y diseño custom P4-P1</x:v>
      </x:c>
      <x:c r="B1" s="79"/>
      <x:c r="C1" s="79"/>
      <x:c r="D1" s="79"/>
      <x:c r="E1" s="79"/>
      <x:c r="F1" s="79"/>
      <x:c r="G1" s="79"/>
      <x:c r="H1" s="79"/>
      <x:c r="I1" s="7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96" hidden="0" customHeight="1">
      <x:c r="A2" s="82" t="str">
        <x:v>Justificación técnica: los públicos aportan visibilidad/alerta parcial; los custom aportan semántica, CU_ID y control de consumo.</x:v>
      </x:c>
      <x:c r="B2" s="82"/>
      <x:c r="C2" s="82"/>
      <x:c r="D2" s="82"/>
      <x:c r="E2" s="82"/>
      <x:c r="F2" s="82"/>
      <x:c r="G2" s="82"/>
      <x:c r="H2" s="82"/>
      <x:c r="I2" s="82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 ht="15" hidden="0" customHeight="1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15" hidden="0" customHeight="1">
      <x:c r="A4" s="88" t="str">
        <x:v>Gap_ID</x:v>
      </x:c>
      <x:c r="B4" s="88" t="str">
        <x:v>Técnica/área</x:v>
      </x:c>
      <x:c r="C4" s="88" t="str">
        <x:v>Gap de artifact público</x:v>
      </x:c>
      <x:c r="D4" s="88" t="str">
        <x:v>Riesgo</x:v>
      </x:c>
      <x:c r="E4" s="88" t="str">
        <x:v>Perfil custom propuesto</x:v>
      </x:c>
      <x:c r="F4" s="88" t="str">
        <x:v>Fuente custom</x:v>
      </x:c>
      <x:c r="G4" s="88" t="str">
        <x:v>Discord</x:v>
      </x:c>
      <x:c r="H4" s="88" t="str">
        <x:v>Justificación</x:v>
      </x:c>
      <x:c r="I4" s="88" t="str">
        <x:v>Prioridad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24" hidden="0" customHeight="1">
      <x:c r="A5" s="42" t="str">
        <x:v>GAP-001</x:v>
      </x:c>
      <x:c r="B5" s="42" t="str">
        <x:v>TEC-007 Ransomware</x:v>
      </x:c>
      <x:c r="C5" s="42" t="str">
        <x:v>Hayabusa puede detectar PowerShell genérico, no AES/CryptoStream/.aes con umbral</x:v>
      </x:c>
      <x:c r="D5" s="42" t="str">
        <x:v>Alto</x:v>
      </x:c>
      <x:c r="E5" s="42" t="str">
        <x:v>P3/P2/P1</x:v>
      </x:c>
      <x:c r="F5" s="42" t="str">
        <x:v>4104 + Sysmon ID11 + threshold</x:v>
      </x:c>
      <x:c r="G5" s="42" t="str">
        <x:v>Sí vía resumen</x:v>
      </x:c>
      <x:c r="H5" s="42" t="str">
        <x:v>Necesaria semántica ransomware controlada</x:v>
      </x:c>
      <x:c r="I5" s="42" t="str">
        <x:v>Alta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15" hidden="0" customHeight="1">
      <x:c r="A6" s="42" t="str">
        <x:v>GAP-002</x:v>
      </x:c>
      <x:c r="B6" s="42" t="str">
        <x:v>TEC-008 Sabotaje</x:v>
      </x:c>
      <x:c r="C6" s="42" t="str">
        <x:v>ID26 genera evidencia por fichero, no alerta operativa resumida</x:v>
      </x:c>
      <x:c r="D6" s="42" t="str">
        <x:v>Alto</x:v>
      </x:c>
      <x:c r="E6" s="42" t="str">
        <x:v>P3/P2/P1</x:v>
      </x:c>
      <x:c r="F6" s="42" t="str">
        <x:v>4104 destructivo + ID26 forense</x:v>
      </x:c>
      <x:c r="G6" s="42" t="str">
        <x:v>Sí vía 4104; no vía ID26</x:v>
      </x:c>
      <x:c r="H6" s="42" t="str">
        <x:v>Evitar spam y detectar borrado masivo</x:v>
      </x:c>
      <x:c r="I6" s="42" t="str">
        <x:v>Alta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15" hidden="0" customHeight="1">
      <x:c r="A7" s="42" t="str">
        <x:v>GAP-003</x:v>
      </x:c>
      <x:c r="B7" s="42" t="str">
        <x:v>TEC-009 Staging/red</x:v>
      </x:c>
      <x:c r="C7" s="42" t="str">
        <x:v>ZIP/copia/TCP no se clasifican solos como exfiltración contextual</x:v>
      </x:c>
      <x:c r="D7" s="42" t="str">
        <x:v>Medio/alto</x:v>
      </x:c>
      <x:c r="E7" s="42" t="str">
        <x:v>P3/P2/P1</x:v>
      </x:c>
      <x:c r="F7" s="42" t="str">
        <x:v>4104 + Sysmon ID11 + Sysmon ID3/TrackNetwork</x:v>
      </x:c>
      <x:c r="G7" s="42" t="str">
        <x:v>Sí si resumen filtrado</x:v>
      </x:c>
      <x:c r="H7" s="42" t="str">
        <x:v>Distinguir staging, archivado y red contextual</x:v>
      </x:c>
      <x:c r="I7" s="42" t="str">
        <x:v>Alta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15" hidden="0" customHeight="1">
      <x:c r="A8" s="42" t="str">
        <x:v>GAP-004</x:v>
      </x:c>
      <x:c r="B8" s="42" t="str">
        <x:v>TEC-006 Discovery</x:v>
      </x:c>
      <x:c r="C8" s="42" t="str">
        <x:v>ProcessCreation ve comando, pero no intención de discovery AV/EDR</x:v>
      </x:c>
      <x:c r="D8" s="42" t="str">
        <x:v>Medio</x:v>
      </x:c>
      <x:c r="E8" s="42" t="str">
        <x:v>P3</x:v>
      </x:c>
      <x:c r="F8" s="42" t="str">
        <x:v>4104 + CommandLine</x:v>
      </x:c>
      <x:c r="G8" s="42" t="str">
        <x:v>Sí</x:v>
      </x:c>
      <x:c r="H8" s="42" t="str">
        <x:v>Mejorar clasificación Discovery</x:v>
      </x:c>
      <x:c r="I8" s="42" t="str">
        <x:v>Media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15" hidden="0" customHeight="1">
      <x:c r="A9" s="42" t="str">
        <x:v>GAP-005</x:v>
      </x:c>
      <x:c r="B9" s="42" t="str">
        <x:v>Arquitectura operativa</x:v>
      </x:c>
      <x:c r="C9" s="42" t="str">
        <x:v>Artifact monolítico contradice tutoría y dificulta benchmark</x:v>
      </x:c>
      <x:c r="D9" s="42" t="str">
        <x:v>Medio</x:v>
      </x:c>
      <x:c r="E9" s="42" t="str">
        <x:v>P4-P1</x:v>
      </x:c>
      <x:c r="F9" s="42" t="str">
        <x:v>4 profiles con sources por técnica</x:v>
      </x:c>
      <x:c r="G9" s="42" t="str">
        <x:v>N/A</x:v>
      </x:c>
      <x:c r="H9" s="42" t="str">
        <x:v>Requisito profesor: granularidad por consumo/control</x:v>
      </x:c>
      <x:c r="I9" s="42" t="str">
        <x:v>Alta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24" hidden="0" customHeight="1">
      <x:c r="A10" s="42" t="str">
        <x:v>GAP-006</x:v>
      </x:c>
      <x:c r="B10" s="42" t="str">
        <x:v>Formato SOC/TFM</x:v>
      </x:c>
      <x:c r="C10" s="42" t="str">
        <x:v>Públicos no normalizan CU_ID, severidad, confianza, FP_Risk ni DetectionLogic</x:v>
      </x:c>
      <x:c r="D10" s="42" t="str">
        <x:v>Medio</x:v>
      </x:c>
      <x:c r="E10" s="42" t="str">
        <x:v>Router + custom</x:v>
      </x:c>
      <x:c r="F10" s="42" t="str">
        <x:v>watch_monitoring + http_client</x:v>
      </x:c>
      <x:c r="G10" s="42" t="str">
        <x:v>Sí</x:v>
      </x:c>
      <x:c r="H10" s="42" t="str">
        <x:v>Necesario para comparar y defender alertabilidad</x:v>
      </x:c>
      <x:c r="I10" s="42" t="str">
        <x:v>Alta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5642bed79874bc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4" t="str">
        <x:v>Resultado</x:v>
      </x:c>
      <x:c r="B1" s="41" t="str">
        <x:v>Estado</x:v>
      </x:c>
      <x:c r="C1" s="41" t="str">
        <x:v>Perfil</x:v>
      </x:c>
      <x:c r="D1" s="41" t="str">
        <x:v>Prioridad</x:v>
      </x:c>
      <x:c r="E1" s="41" t="str">
        <x:v>Modo</x:v>
      </x:c>
      <x:c r="F1" s="41" t="str">
        <x:v>Verdicto</x:v>
      </x:c>
      <x:c r="G1" s="41" t="str">
        <x:v>CustomNecesario</x:v>
      </x:c>
      <x:c r="H1" s="41" t="str">
        <x:v>Severidad</x:v>
      </x:c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2" t="str">
        <x:v>Pendiente</x:v>
      </x:c>
      <x:c r="B2" s="42" t="str">
        <x:v>Pendiente</x:v>
      </x:c>
      <x:c r="C2" s="42" t="str">
        <x:v>P4 Low</x:v>
      </x:c>
      <x:c r="D2" s="42" t="str">
        <x:v>Obligatorio</x:v>
      </x:c>
      <x:c r="E2" s="42" t="str">
        <x:v>CLIENT_EVENT</x:v>
      </x:c>
      <x:c r="F2" s="42" t="str">
        <x:v>VP</x:v>
      </x:c>
      <x:c r="G2" s="42" t="str">
        <x:v>Sí</x:v>
      </x:c>
      <x:c r="H2" s="42" t="str">
        <x:v>Critical</x:v>
      </x:c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Sí</x:v>
      </x:c>
      <x:c r="B3" s="42" t="str">
        <x:v>En curso</x:v>
      </x:c>
      <x:c r="C3" s="42" t="str">
        <x:v>P3 Medium</x:v>
      </x:c>
      <x:c r="D3" s="42" t="str">
        <x:v>Recomendado</x:v>
      </x:c>
      <x:c r="E3" s="42" t="str">
        <x:v>CLIENT</x:v>
      </x:c>
      <x:c r="F3" s="42" t="str">
        <x:v>VN</x:v>
      </x:c>
      <x:c r="G3" s="42" t="str">
        <x:v>No</x:v>
      </x:c>
      <x:c r="H3" s="42" t="str">
        <x:v>High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2" t="str">
        <x:v>Parcial</x:v>
      </x:c>
      <x:c r="B4" s="42" t="str">
        <x:v>Completado</x:v>
      </x:c>
      <x:c r="C4" s="42" t="str">
        <x:v>P2 High</x:v>
      </x:c>
      <x:c r="D4" s="42" t="str">
        <x:v>Opcional</x:v>
      </x:c>
      <x:c r="E4" s="42" t="str">
        <x:v>SERVER_EVENT</x:v>
      </x:c>
      <x:c r="F4" s="42" t="str">
        <x:v>FP</x:v>
      </x:c>
      <x:c r="G4" s="42" t="str">
        <x:v>Parcial</x:v>
      </x:c>
      <x:c r="H4" s="42" t="str">
        <x:v>Medium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2" t="str">
        <x:v>No</x:v>
      </x:c>
      <x:c r="B5" s="42" t="str">
        <x:v>Descartado</x:v>
      </x:c>
      <x:c r="C5" s="42" t="str">
        <x:v>P1 Critical</x:v>
      </x:c>
      <x:c r="D5" s="42" t="str">
        <x:v>Descartar</x:v>
      </x:c>
      <x:c r="E5" s="42" t="str">
        <x:v>Hunt histórico</x:v>
      </x:c>
      <x:c r="F5" s="42" t="str">
        <x:v>FN</x:v>
      </x:c>
      <x:c r="G5" s="42" t="str">
        <x:v>Pendiente</x:v>
      </x:c>
      <x:c r="H5" s="42" t="str">
        <x:v>Low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2" t="str">
        <x:v>N/A</x:v>
      </x:c>
      <x:c r="B6" s="42"/>
      <x:c r="C6" s="42" t="str">
        <x:v>P0 Debug</x:v>
      </x:c>
      <x:c r="D6" s="42"/>
      <x:c r="E6" s="42" t="str">
        <x:v>Client Monitoring</x:v>
      </x:c>
      <x:c r="F6" s="42" t="str">
        <x:v>No evaluado</x:v>
      </x:c>
      <x:c r="G6" s="42"/>
      <x:c r="H6" s="42" t="str">
        <x:v>Informational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2"/>
      <x:c r="B7" s="42"/>
      <x:c r="C7" s="42"/>
      <x:c r="D7" s="42"/>
      <x:c r="E7" s="42" t="str">
        <x:v>Post-ejecución</x:v>
      </x:c>
      <x:c r="F7" s="42"/>
      <x:c r="G7" s="42"/>
      <x:c r="H7" s="42" t="str">
        <x:v>N/A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2"/>
      <x:c r="B8" s="42"/>
      <x:c r="C8" s="42"/>
      <x:c r="D8" s="42"/>
      <x:c r="E8" s="42"/>
      <x:c r="F8" s="42"/>
      <x:c r="G8" s="42"/>
      <x:c r="H8" s="42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0" hidden="0" customWidth="1"/>
    <x:col min="4" max="4" width="26" hidden="0" customWidth="1"/>
    <x:col min="5" max="5" width="38" hidden="0" customWidth="1"/>
    <x:col min="6" max="6" width="45" hidden="0" customWidth="1"/>
    <x:col min="7" max="7" width="45" hidden="0" customWidth="1"/>
  </x:cols>
  <x:sheetData>
    <x:row r="1">
      <x:c r="A1" s="59" t="str">
        <x:v>Modelo de alertabilidad · artifacts públicos</x:v>
      </x:c>
      <x:c r="B1" s="59"/>
      <x:c r="C1" s="59"/>
      <x:c r="D1" s="59"/>
      <x:c r="E1" s="59"/>
      <x:c r="F1" s="59"/>
      <x:c r="G1" s="59"/>
    </x:row>
    <x:row r="2">
      <x:c r="A2" t="str">
        <x:v>Separar visibilidad, detección y alerta real-time para decidir qué artifacts públicos sirven como HIDS y dónde empieza la necesidad de custom.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s="62" t="str">
        <x:v>Nivel</x:v>
      </x:c>
      <x:c r="B4" s="62" t="str">
        <x:v>Definición</x:v>
      </x:c>
      <x:c r="C4" s="62" t="str">
        <x:v>Ejemplo</x:v>
      </x:c>
      <x:c r="D4" s="62" t="str">
        <x:v>¿Cuenta como alerta HIDS?</x:v>
      </x:c>
      <x:c r="E4" s="62" t="str">
        <x:v>Uso en el TFM</x:v>
      </x:c>
      <x:c r="F4" s="62"/>
      <x:c r="G4" s="62"/>
    </x:row>
    <x:row r="5">
      <x:c r="A5" s="12" t="str">
        <x:v>Visibilidad</x:v>
      </x:c>
      <x:c r="B5" s="12" t="str">
        <x:v>El evento aparece en logs o Client Events, pero sin regla ni severidad.</x:v>
      </x:c>
      <x:c r="C5" s="12" t="str">
        <x:v>ProcessCreation ve powershell.exe</x:v>
      </x:c>
      <x:c r="D5" s="12" t="str">
        <x:v>No</x:v>
      </x:c>
      <x:c r="E5" s="12" t="str">
        <x:v>Demuestra telemetría host-based.</x:v>
      </x:c>
      <x:c r="F5" s="12"/>
      <x:c r="G5" s="12"/>
    </x:row>
    <x:row r="6">
      <x:c r="A6" s="12" t="str">
        <x:v>Detección</x:v>
      </x:c>
      <x:c r="B6" s="12" t="str">
        <x:v>Una regla/artifact clasifica el evento como sospechoso o relevante.</x:v>
      </x:c>
      <x:c r="C6" s="12" t="str">
        <x:v>Hayabusa.Rules: Potentially Malicious PwSh</x:v>
      </x:c>
      <x:c r="D6" s="12" t="str">
        <x:v>Parcial</x:v>
      </x:c>
      <x:c r="E6" s="12" t="str">
        <x:v>Comparación pública; puede ser histórico.</x:v>
      </x:c>
      <x:c r="F6" s="12"/>
      <x:c r="G6" s="12"/>
    </x:row>
    <x:row r="7">
      <x:c r="A7" s="12" t="str">
        <x:v>Alerta real-time</x:v>
      </x:c>
      <x:c r="B7" s="12" t="str">
        <x:v>CLIENT_EVENT genera detección en tiempo real con severidad/regla.</x:v>
      </x:c>
      <x:c r="C7" s="12" t="str">
        <x:v>Hayabusa.Monitoring con regla Sigma</x:v>
      </x:c>
      <x:c r="D7" s="12" t="str">
        <x:v>Sí</x:v>
      </x:c>
      <x:c r="E7" s="12" t="str">
        <x:v>Base pública más cercana a HIDS.</x:v>
      </x:c>
      <x:c r="F7" s="12"/>
      <x:c r="G7" s="12"/>
    </x:row>
    <x:row r="8">
      <x:c r="A8" s="12" t="str">
        <x:v>Alerta externa</x:v>
      </x:c>
      <x:c r="B8" s="12" t="str">
        <x:v>SERVER_EVENT/router reenvía detección a Discord/SIEM.</x:v>
      </x:c>
      <x:c r="C8" s="12" t="str">
        <x:v>Server.Alerts.Notification o router custom</x:v>
      </x:c>
      <x:c r="D8" s="12" t="str">
        <x:v>Sí, si hay detección previa</x:v>
      </x:c>
      <x:c r="E8" s="12" t="str">
        <x:v>Evalúa operatividad SOC.</x:v>
      </x:c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 t="str">
        <x:v>Artifact</x:v>
      </x:c>
      <x:c r="B10" s="12" t="str">
        <x:v>Tipo</x:v>
      </x:c>
      <x:c r="C10" s="12" t="str">
        <x:v>Rol</x:v>
      </x:c>
      <x:c r="D10" s="12" t="str">
        <x:v>¿Detecta todas las TEC?</x:v>
      </x:c>
      <x:c r="E10" s="12" t="str">
        <x:v>¿Genera alerta real-time?</x:v>
      </x:c>
      <x:c r="F10" s="12" t="str">
        <x:v>Limitación</x:v>
      </x:c>
      <x:c r="G10" s="12" t="str">
        <x:v>Decisión TFM</x:v>
      </x:c>
    </x:row>
    <x:row r="11">
      <x:c r="A11" s="12" t="str">
        <x:v>Windows.Hayabusa.Monitoring</x:v>
      </x:c>
      <x:c r="B11" s="12" t="str">
        <x:v>CLIENT_EVENT</x:v>
      </x:c>
      <x:c r="C11" s="12" t="str">
        <x:v>Detección pública Sigma/Hayabusa en tiempo real</x:v>
      </x:c>
      <x:c r="D11" s="12" t="str">
        <x:v>No garantizado</x:v>
      </x:c>
      <x:c r="E11" s="12" t="str">
        <x:v>Sí, si hay regla que haga match</x:v>
      </x:c>
      <x:c r="F11" s="12" t="str">
        <x:v>Depende de reglas y fuentes EVTX; puede no cubrir TEC-007/008/009 de laboratorio</x:v>
      </x:c>
      <x:c r="G11" s="12" t="str">
        <x:v>Probar como artifact público alertante principal, no como única solución</x:v>
      </x:c>
    </x:row>
    <x:row r="12">
      <x:c r="A12" s="12" t="str">
        <x:v>Windows.Hayabusa.Rules</x:v>
      </x:c>
      <x:c r="B12" s="12" t="str">
        <x:v>CLIENT</x:v>
      </x:c>
      <x:c r="C12" s="12" t="str">
        <x:v>Detección histórica Sigma/Hayabusa sobre EVTX</x:v>
      </x:c>
      <x:c r="D12" s="12" t="str">
        <x:v>No garantizado</x:v>
      </x:c>
      <x:c r="E12" s="12" t="str">
        <x:v>No</x:v>
      </x:c>
      <x:c r="F12" s="12" t="str">
        <x:v>No es tiempo real; genera ruido si no se acota por fecha/reglas</x:v>
      </x:c>
      <x:c r="G12" s="12" t="str">
        <x:v>Usar como línea base pública histórica</x:v>
      </x:c>
    </x:row>
    <x:row r="13">
      <x:c r="A13" s="12" t="str">
        <x:v>Windows.Events.ProcessCreation</x:v>
      </x:c>
      <x:c r="B13" s="12" t="str">
        <x:v>CLIENT_EVENT</x:v>
      </x:c>
      <x:c r="C13" s="12" t="str">
        <x:v>Telemetría de procesos en tiempo real</x:v>
      </x:c>
      <x:c r="D13" s="12" t="str">
        <x:v>No</x:v>
      </x:c>
      <x:c r="E13" s="12" t="str">
        <x:v>No por sí solo</x:v>
      </x:c>
      <x:c r="F13" s="12" t="str">
        <x:v>No tiene severidad ni semántica MITRE</x:v>
      </x:c>
      <x:c r="G13" s="12" t="str">
        <x:v>Fuente P4 y entrada para custom</x:v>
      </x:c>
    </x:row>
    <x:row r="14">
      <x:c r="A14" s="12" t="str">
        <x:v>Windows.Events.ServiceCreation</x:v>
      </x:c>
      <x:c r="B14" s="12" t="str">
        <x:v>CLIENT_EVENT</x:v>
      </x:c>
      <x:c r="C14" s="12" t="str">
        <x:v>Evento fuerte de creación de servicio</x:v>
      </x:c>
      <x:c r="D14" s="12" t="str">
        <x:v>Solo TEC-005</x:v>
      </x:c>
      <x:c r="E14" s="12" t="str">
        <x:v>Parcial</x:v>
      </x:c>
      <x:c r="F14" s="12" t="str">
        <x:v>Detecta 7045, pero no normaliza alerta SOC</x:v>
      </x:c>
      <x:c r="G14" s="12" t="str">
        <x:v>Mantener P4/P3 y enrutar con SERVER_EVENT/custom</x:v>
      </x:c>
    </x:row>
    <x:row r="15">
      <x:c r="A15" s="12" t="str">
        <x:v>Windows.Sysinternals.SysmonLogForward</x:v>
      </x:c>
      <x:c r="B15" s="12" t="str">
        <x:v>CLIENT_EVENT</x:v>
      </x:c>
      <x:c r="C15" s="12" t="str">
        <x:v>Reenvío de eventos Sysmon</x:v>
      </x:c>
      <x:c r="D15" s="12" t="str">
        <x:v>No</x:v>
      </x:c>
      <x:c r="E15" s="12" t="str">
        <x:v>No por sí solo</x:v>
      </x:c>
      <x:c r="F15" s="12" t="str">
        <x:v>Mucho volumen; evidencia raw</x:v>
      </x:c>
      <x:c r="G15" s="12" t="str">
        <x:v>Usar como evidencia P2/P1, no como alerta directa</x:v>
      </x:c>
    </x:row>
    <x:row r="16">
      <x:c r="A16" s="12" t="str">
        <x:v>Windows.Packs.Persistence / Autoruns / StartupItems</x:v>
      </x:c>
      <x:c r="B16" s="12" t="str">
        <x:v>CLIENT</x:v>
      </x:c>
      <x:c r="C16" s="12" t="str">
        <x:v>Hunt post-ejecución de persistencia</x:v>
      </x:c>
      <x:c r="D16" s="12" t="str">
        <x:v>No</x:v>
      </x:c>
      <x:c r="E16" s="12" t="str">
        <x:v>No</x:v>
      </x:c>
      <x:c r="F16" s="12" t="str">
        <x:v>No continuo; útil tras ejecución</x:v>
      </x:c>
      <x:c r="G16" s="12" t="str">
        <x:v>Complemento para TEC-003/004/005</x:v>
      </x:c>
    </x:row>
    <x:row r="17">
      <x:c r="A17" s="12" t="str">
        <x:v>Server.Alerts.Notification</x:v>
      </x:c>
      <x:c r="B17" s="12" t="str">
        <x:v>SERVER_EVENT</x:v>
      </x:c>
      <x:c r="C17" s="12" t="str">
        <x:v>Transporte de alertas a webhook</x:v>
      </x:c>
      <x:c r="D17" s="12" t="str">
        <x:v>N/A</x:v>
      </x:c>
      <x:c r="E17" s="12" t="str">
        <x:v>Sí, como transporte</x:v>
      </x:c>
      <x:c r="F17" s="12" t="str">
        <x:v>No detecta; solo reenvía alertas/eventos</x:v>
      </x:c>
      <x:c r="G17" s="12" t="str">
        <x:v>Probar si encaja; si no, router custom</x:v>
      </x:c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 t="str">
        <x:v>Pregunta</x:v>
      </x:c>
      <x:c r="B19" s="12" t="str">
        <x:v>Respuesta técnica</x:v>
      </x:c>
      <x:c r="C19" s="12"/>
      <x:c r="D19" s="12"/>
      <x:c r="E19" s="12"/>
      <x:c r="F19" s="12"/>
      <x:c r="G19" s="12"/>
    </x:row>
    <x:row r="20">
      <x:c r="A20" s="12" t="str">
        <x:v>¿Hayabusa.Monitoring puede detectar todas las técnicas?</x:v>
      </x:c>
      <x:c r="B20" s="12" t="str">
        <x:v>No de forma garantizada. Es el mejor artifact público para alerta real-time, pero depende de que exista una regla Sigma/Hayabusa compatible con la evidencia generada.</x:v>
      </x:c>
      <x:c r="C20" s="12"/>
      <x:c r="D20" s="12"/>
      <x:c r="E20" s="12"/>
      <x:c r="F20" s="12"/>
      <x:c r="G20" s="12"/>
    </x:row>
    <x:row r="21">
      <x:c r="A21" s="12" t="str">
        <x:v>¿Necesito otros artifacts públicos?</x:v>
      </x:c>
      <x:c r="B21" s="12" t="str">
        <x:v>Sí. Conviene combinar Hayabusa.Monitoring con ProcessCreation, ServiceCreation, SysmonLogForward y Hayabusa.Rules. Los primeros aportan fuentes/evidencia; Hayabusa aporta detección; SERVER_EVENT aporta salida externa.</x:v>
      </x:c>
      <x:c r="C21" s="12"/>
      <x:c r="D21" s="12"/>
      <x:c r="E21" s="12"/>
      <x:c r="F21" s="12"/>
      <x:c r="G21" s="12"/>
    </x:row>
    <x:row r="22">
      <x:c r="A22" s="12" t="str">
        <x:v>¿Cuándo justifico custom?</x:v>
      </x:c>
      <x:c r="B22" s="12" t="str">
        <x:v>Cuando la fuente pública solo da visibilidad, cuando Hayabusa detecta genérico/ruidoso, o cuando no hay alerta resumida por TEC con CU_ID, severidad, confianza y Discord.</x:v>
      </x:c>
      <x:c r="C22" s="12"/>
      <x:c r="D22" s="12"/>
      <x:c r="E22" s="12"/>
      <x:c r="F22" s="12"/>
      <x:c r="G22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6" hidden="0" customWidth="1"/>
    <x:col min="5" max="5" width="40" hidden="0" customWidth="1"/>
    <x:col min="6" max="6" width="40" hidden="0" customWidth="1"/>
    <x:col min="7" max="7" width="24" hidden="0" customWidth="1"/>
    <x:col min="8" max="8" width="20" hidden="0" customWidth="1"/>
  </x:cols>
  <x:sheetData>
    <x:row r="1">
      <x:c r="A1" s="59" t="str">
        <x:v>Plan paso a paso · prueba de alertas públicas</x:v>
      </x:c>
      <x:c r="B1" s="59"/>
      <x:c r="C1" s="59"/>
      <x:c r="D1" s="59"/>
      <x:c r="E1" s="59"/>
      <x:c r="F1" s="59"/>
      <x:c r="G1" s="59"/>
      <x:c r="H1" s="59"/>
    </x:row>
    <x:row r="2">
      <x:c r="A2" t="str">
        <x:v>Secuencia para comprobar no solo visibilidad, sino detección alertable con artifacts públicos antes de crear custom P4–P1.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s="62" t="str">
        <x:v>Paso</x:v>
      </x:c>
      <x:c r="B4" s="62" t="str">
        <x:v>Configuración activa</x:v>
      </x:c>
      <x:c r="C4" s="62" t="str">
        <x:v>Acción</x:v>
      </x:c>
      <x:c r="D4" s="62" t="str">
        <x:v>Técnica</x:v>
      </x:c>
      <x:c r="E4" s="62" t="str">
        <x:v>Qué revisar</x:v>
      </x:c>
      <x:c r="F4" s="62" t="str">
        <x:v>Criterio de éxito</x:v>
      </x:c>
      <x:c r="G4" s="62" t="str">
        <x:v>Resultado esperado</x:v>
      </x:c>
      <x:c r="H4" s="62" t="str">
        <x:v>Excel</x:v>
      </x:c>
    </x:row>
    <x:row r="5">
      <x:c r="A5" s="12" t="n">
        <x:v>1</x:v>
      </x:c>
      <x:c r="B5" s="12" t="str">
        <x:v>Solo Windows.Hayabusa.Monitoring</x:v>
      </x:c>
      <x:c r="C5" s="12" t="str">
        <x:v>Ejecutar TEC-001 aislada</x:v>
      </x:c>
      <x:c r="D5" s="12" t="str">
        <x:v>TEC-001</x:v>
      </x:c>
      <x:c r="E5" s="12" t="str">
        <x:v>Client Events → Hayabusa.Monitoring</x:v>
      </x:c>
      <x:c r="F5" s="12" t="str">
        <x:v>Regla PowerShell con Level/Title</x:v>
      </x:c>
      <x:c r="G5" s="12" t="str">
        <x:v>Parcial o Sí</x:v>
      </x:c>
      <x:c r="H5" s="12" t="str">
        <x:v>Alerta_RT</x:v>
      </x:c>
    </x:row>
    <x:row r="6">
      <x:c r="A6" s="12" t="n">
        <x:v>2</x:v>
      </x:c>
      <x:c r="B6" s="12" t="str">
        <x:v>Solo Windows.Hayabusa.Monitoring</x:v>
      </x:c>
      <x:c r="C6" s="12" t="str">
        <x:v>Ejecutar TEC-005 aislada</x:v>
      </x:c>
      <x:c r="D6" s="12" t="str">
        <x:v>TEC-005</x:v>
      </x:c>
      <x:c r="E6" s="12" t="str">
        <x:v>Hayabusa.Monitoring + System 7045</x:v>
      </x:c>
      <x:c r="F6" s="12" t="str">
        <x:v>Regla de servicio o evento relacionado</x:v>
      </x:c>
      <x:c r="G6" s="12" t="str">
        <x:v>Parcial</x:v>
      </x:c>
      <x:c r="H6" s="12" t="str">
        <x:v>Alerta_RT</x:v>
      </x:c>
    </x:row>
    <x:row r="7">
      <x:c r="A7" s="12" t="n">
        <x:v>3</x:v>
      </x:c>
      <x:c r="B7" s="12" t="str">
        <x:v>Solo Windows.Hayabusa.Monitoring</x:v>
      </x:c>
      <x:c r="C7" s="12" t="str">
        <x:v>Ejecutar TEC-008 aislada</x:v>
      </x:c>
      <x:c r="D7" s="12" t="str">
        <x:v>TEC-008</x:v>
      </x:c>
      <x:c r="E7" s="12" t="str">
        <x:v>Hayabusa.Monitoring</x:v>
      </x:c>
      <x:c r="F7" s="12" t="str">
        <x:v>Regla útil no masiva/no ruido</x:v>
      </x:c>
      <x:c r="G7" s="12" t="str">
        <x:v>Probable parcial/ruido</x:v>
      </x:c>
      <x:c r="H7" s="12" t="str">
        <x:v>Alerta_RT</x:v>
      </x:c>
    </x:row>
    <x:row r="8">
      <x:c r="A8" s="12" t="n">
        <x:v>4</x:v>
      </x:c>
      <x:c r="B8" s="12" t="str">
        <x:v>Hayabusa.Monitoring + ServiceCreation</x:v>
      </x:c>
      <x:c r="C8" s="12" t="str">
        <x:v>Ejecutar TEC-005</x:v>
      </x:c>
      <x:c r="D8" s="12" t="str">
        <x:v>TEC-005</x:v>
      </x:c>
      <x:c r="E8" s="12" t="str">
        <x:v>ServiceCreation</x:v>
      </x:c>
      <x:c r="F8" s="12" t="str">
        <x:v>EventID 7045 en tiempo real</x:v>
      </x:c>
      <x:c r="G8" s="12" t="str">
        <x:v>Sí técnico, alerta SOC pendiente</x:v>
      </x:c>
      <x:c r="H8" s="12" t="str">
        <x:v>Detección</x:v>
      </x:c>
    </x:row>
    <x:row r="9">
      <x:c r="A9" s="12" t="n">
        <x:v>5</x:v>
      </x:c>
      <x:c r="B9" s="12" t="str">
        <x:v>Hayabusa.Rules</x:v>
      </x:c>
      <x:c r="C9" s="12" t="str">
        <x:v>Collection acotada por DateAfter/DateBefore</x:v>
      </x:c>
      <x:c r="D9" s="12" t="str">
        <x:v>Todas</x:v>
      </x:c>
      <x:c r="E9" s="12" t="str">
        <x:v>Results CSV</x:v>
      </x:c>
      <x:c r="F9" s="12" t="str">
        <x:v>Reglas relevantes sin ruido excesivo</x:v>
      </x:c>
      <x:c r="G9" s="12" t="str">
        <x:v>Parcial</x:v>
      </x:c>
      <x:c r="H9" s="12" t="str">
        <x:v>Detección_Histórica</x:v>
      </x:c>
    </x:row>
    <x:row r="10">
      <x:c r="A10" s="12" t="n">
        <x:v>6</x:v>
      </x:c>
      <x:c r="B10" s="12" t="str">
        <x:v>SysmonLogForward</x:v>
      </x:c>
      <x:c r="C10" s="12" t="str">
        <x:v>Consultar ID 11 e ID 26</x:v>
      </x:c>
      <x:c r="D10" s="12" t="str">
        <x:v>TEC-007/008/009</x:v>
      </x:c>
      <x:c r="E10" s="12" t="str">
        <x:v>Sysmon ID 11/26</x:v>
      </x:c>
      <x:c r="F10" s="12" t="str">
        <x:v>Evidencia forense concreta</x:v>
      </x:c>
      <x:c r="G10" s="12" t="str">
        <x:v>Sí evidencia, no alerta</x:v>
      </x:c>
      <x:c r="H10" s="12" t="str">
        <x:v>Visibilidad</x:v>
      </x:c>
    </x:row>
    <x:row r="11">
      <x:c r="A11" s="12" t="n">
        <x:v>7</x:v>
      </x:c>
      <x:c r="B11" s="12" t="str">
        <x:v>SERVER_EVENT público o custom</x:v>
      </x:c>
      <x:c r="C11" s="12" t="str">
        <x:v>Reenviar evento de Hayabusa/ServiceCreation</x:v>
      </x:c>
      <x:c r="D11" s="12" t="str">
        <x:v>TEC detectada</x:v>
      </x:c>
      <x:c r="E11" s="12" t="str">
        <x:v>Discord/Webhook</x:v>
      </x:c>
      <x:c r="F11" s="12" t="str">
        <x:v>Mensaje con técnica, severidad, evidencia</x:v>
      </x:c>
      <x:c r="G11" s="12" t="str">
        <x:v>Pendiente</x:v>
      </x:c>
      <x:c r="H11" s="12" t="str">
        <x:v>Salida_Externa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 t="str">
        <x:v>TEC</x:v>
      </x:c>
      <x:c r="B13" s="12" t="str">
        <x:v>¿Hayabusa.Monitoring suficiente?</x:v>
      </x:c>
      <x:c r="C13" s="12" t="str">
        <x:v>Artifacts públicos adicionales</x:v>
      </x:c>
      <x:c r="D13" s="12" t="str">
        <x:v>Resultado público esperado</x:v>
      </x:c>
      <x:c r="E13" s="12" t="str">
        <x:v>Custom recomendado</x:v>
      </x:c>
      <x:c r="F13" s="12"/>
      <x:c r="G13" s="12"/>
      <x:c r="H13" s="12"/>
    </x:row>
    <x:row r="14">
      <x:c r="A14" s="12" t="str">
        <x:v>TEC-001</x:v>
      </x:c>
      <x:c r="B14" s="12" t="str">
        <x:v>Puede ser suficiente si salta regla PowerShell</x:v>
      </x:c>
      <x:c r="C14" s="12" t="str">
        <x:v>ProcessCreation / Hayabusa.Rules</x:v>
      </x:c>
      <x:c r="D14" s="12" t="str">
        <x:v>Parcial/Sí</x:v>
      </x:c>
      <x:c r="E14" s="12" t="str">
        <x:v>Sí para CU_ID y Discord limpio</x:v>
      </x:c>
      <x:c r="F14" s="12"/>
      <x:c r="G14" s="12"/>
      <x:c r="H14" s="12"/>
    </x:row>
    <x:row r="15">
      <x:c r="A15" s="12" t="str">
        <x:v>TEC-002</x:v>
      </x:c>
      <x:c r="B15" s="12" t="str">
        <x:v>No garantizado</x:v>
      </x:c>
      <x:c r="C15" s="12" t="str">
        <x:v>ProcessCreation / Hayabusa.Rules</x:v>
      </x:c>
      <x:c r="D15" s="12" t="str">
        <x:v>Parcial</x:v>
      </x:c>
      <x:c r="E15" s="12" t="str">
        <x:v>Sí</x:v>
      </x:c>
      <x:c r="F15" s="12"/>
      <x:c r="G15" s="12"/>
      <x:c r="H15" s="12"/>
    </x:row>
    <x:row r="16">
      <x:c r="A16" s="12" t="str">
        <x:v>TEC-003</x:v>
      </x:c>
      <x:c r="B16" s="12" t="str">
        <x:v>Puede detectar si regla scheduled task</x:v>
      </x:c>
      <x:c r="C16" s="12" t="str">
        <x:v>TaskScheduler / Persistence / ProcessCreation</x:v>
      </x:c>
      <x:c r="D16" s="12" t="str">
        <x:v>Parcial</x:v>
      </x:c>
      <x:c r="E16" s="12" t="str">
        <x:v>Sí/Parcial</x:v>
      </x:c>
      <x:c r="F16" s="12"/>
      <x:c r="G16" s="12"/>
      <x:c r="H16" s="12"/>
    </x:row>
    <x:row r="17">
      <x:c r="A17" s="12" t="str">
        <x:v>TEC-004</x:v>
      </x:c>
      <x:c r="B17" s="12" t="str">
        <x:v>Puede detectar si regla Run Key</x:v>
      </x:c>
      <x:c r="C17" s="12" t="str">
        <x:v>StartupItems / Autoruns / SysmonLogForward</x:v>
      </x:c>
      <x:c r="D17" s="12" t="str">
        <x:v>Parcial</x:v>
      </x:c>
      <x:c r="E17" s="12" t="str">
        <x:v>Sí</x:v>
      </x:c>
      <x:c r="F17" s="12"/>
      <x:c r="G17" s="12"/>
      <x:c r="H17" s="12"/>
    </x:row>
    <x:row r="18">
      <x:c r="A18" s="12" t="str">
        <x:v>TEC-005</x:v>
      </x:c>
      <x:c r="B18" s="12" t="str">
        <x:v>Puede, pero ServiceCreation es más directo</x:v>
      </x:c>
      <x:c r="C18" s="12" t="str">
        <x:v>ServiceCreation / System 7045</x:v>
      </x:c>
      <x:c r="D18" s="12" t="str">
        <x:v>Sí/Parcial</x:v>
      </x:c>
      <x:c r="E18" s="12" t="str">
        <x:v>Router para Discord</x:v>
      </x:c>
      <x:c r="F18" s="12"/>
      <x:c r="G18" s="12"/>
      <x:c r="H18" s="12"/>
    </x:row>
    <x:row r="19">
      <x:c r="A19" s="12" t="str">
        <x:v>TEC-006</x:v>
      </x:c>
      <x:c r="B19" s="12" t="str">
        <x:v>No garantizado</x:v>
      </x:c>
      <x:c r="C19" s="12" t="str">
        <x:v>ProcessCreation / 4104 / Hayabusa.Rules</x:v>
      </x:c>
      <x:c r="D19" s="12" t="str">
        <x:v>Parcial</x:v>
      </x:c>
      <x:c r="E19" s="12" t="str">
        <x:v>Sí</x:v>
      </x:c>
      <x:c r="F19" s="12"/>
      <x:c r="G19" s="12"/>
      <x:c r="H19" s="12"/>
    </x:row>
    <x:row r="20">
      <x:c r="A20" s="12" t="str">
        <x:v>TEC-007</x:v>
      </x:c>
      <x:c r="B20" s="12" t="str">
        <x:v>No suficiente</x:v>
      </x:c>
      <x:c r="C20" s="12" t="str">
        <x:v>Sysmon ID 11 / Hayabusa.Rules</x:v>
      </x:c>
      <x:c r="D20" s="12" t="str">
        <x:v>Parcial</x:v>
      </x:c>
      <x:c r="E20" s="12" t="str">
        <x:v>Sí, necesario</x:v>
      </x:c>
      <x:c r="F20" s="12"/>
      <x:c r="G20" s="12"/>
      <x:c r="H20" s="12"/>
    </x:row>
    <x:row r="21">
      <x:c r="A21" s="12" t="str">
        <x:v>TEC-008</x:v>
      </x:c>
      <x:c r="B21" s="12" t="str">
        <x:v>No suficiente por ruido ID26/File Deleted</x:v>
      </x:c>
      <x:c r="C21" s="12" t="str">
        <x:v>Sysmon ID 26 / 4104</x:v>
      </x:c>
      <x:c r="D21" s="12" t="str">
        <x:v>Parcial/Ruido</x:v>
      </x:c>
      <x:c r="E21" s="12" t="str">
        <x:v>Sí, necesario</x:v>
      </x:c>
      <x:c r="F21" s="12"/>
      <x:c r="G21" s="12"/>
      <x:c r="H21" s="12"/>
    </x:row>
    <x:row r="22">
      <x:c r="A22" s="12" t="str">
        <x:v>TEC-009</x:v>
      </x:c>
      <x:c r="B22" s="12" t="str">
        <x:v>No suficiente para staging local</x:v>
      </x:c>
      <x:c r="C22" s="12" t="str">
        <x:v>Sysmon ID 11 / 4104</x:v>
      </x:c>
      <x:c r="D22" s="12" t="str">
        <x:v>Parcial</x:v>
      </x:c>
      <x:c r="E22" s="12" t="str">
        <x:v>Sí, necesario</x:v>
      </x:c>
      <x:c r="F22" s="12"/>
      <x:c r="G22" s="12"/>
      <x:c r="H22" s="1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60" hidden="0" customWidth="1"/>
  </x:cols>
  <x:sheetData>
    <x:row r="1">
      <x:c r="A1" s="59" t="str">
        <x:v>Resumen de Windows.Hayabusa.Rules filtrado</x:v>
      </x:c>
      <x:c r="B1" s="59"/>
      <x:c r="C1" s="59"/>
      <x:c r="D1" s="59"/>
    </x:row>
    <x:row r="2">
      <x:c r="A2" t="str">
        <x:v>Resumen del CSV filtrado para separar detección útil de ruido y justificar ajuste/custom.</x:v>
      </x:c>
      <x:c r="B2"/>
      <x:c r="C2"/>
      <x:c r="D2"/>
    </x:row>
    <x:row r="3">
      <x:c r="A3"/>
      <x:c r="B3"/>
      <x:c r="C3"/>
      <x:c r="D3"/>
    </x:row>
    <x:row r="4">
      <x:c r="A4" s="62" t="str">
        <x:v>Métrica</x:v>
      </x:c>
      <x:c r="B4" s="62" t="str">
        <x:v>Valor</x:v>
      </x:c>
      <x:c r="C4" s="62"/>
      <x:c r="D4" s="62"/>
    </x:row>
    <x:row r="5">
      <x:c r="A5" s="12" t="str">
        <x:v>Total filas filtradas</x:v>
      </x:c>
      <x:c r="B5" s="12" t="n">
        <x:v>3157</x:v>
      </x:c>
      <x:c r="C5" s="12"/>
      <x:c r="D5" s="12"/>
    </x:row>
    <x:row r="6">
      <x:c r="A6" s="12" t="str">
        <x:v>Títulos únicos</x:v>
      </x:c>
      <x:c r="B6" s="12" t="n">
        <x:v>2</x:v>
      </x:c>
      <x:c r="C6" s="12"/>
      <x:c r="D6" s="12"/>
    </x:row>
    <x:row r="7">
      <x:c r="A7" s="12" t="str">
        <x:v>Nivel predominante</x:v>
      </x:c>
      <x:c r="B7" s="12" t="str">
        <x:v>medium</x:v>
      </x:c>
      <x:c r="C7" s="12"/>
      <x:c r="D7" s="12"/>
    </x:row>
    <x:row r="8">
      <x:c r="A8" s="12" t="str">
        <x:v>Título predominante</x:v>
      </x:c>
      <x:c r="B8" s="12" t="str">
        <x:v>File Deleted (Sysmon Alert)</x:v>
      </x:c>
      <x:c r="C8" s="12"/>
      <x:c r="D8" s="12"/>
    </x:row>
    <x:row r="9">
      <x:c r="A9" s="12" t="str">
        <x:v>Interpretación</x:v>
      </x:c>
      <x:c r="B9" s="12" t="str">
        <x:v>Detección parcial, pero ruido alto si no se acota por fecha/regla</x:v>
      </x:c>
      <x:c r="C9" s="12"/>
      <x:c r="D9" s="12"/>
    </x:row>
    <x:row r="10">
      <x:c r="A10" s="12"/>
      <x:c r="B10" s="12"/>
      <x:c r="C10" s="12"/>
      <x:c r="D10" s="12"/>
    </x:row>
    <x:row r="11">
      <x:c r="A11" s="12" t="str">
        <x:v>Title</x:v>
      </x:c>
      <x:c r="B11" s="12" t="str">
        <x:v>Filas</x:v>
      </x:c>
      <x:c r="C11" s="12" t="str">
        <x:v>% sobre filtrado</x:v>
      </x:c>
      <x:c r="D11" s="12" t="str">
        <x:v>Interpretación</x:v>
      </x:c>
    </x:row>
    <x:row r="12">
      <x:c r="A12" s="12" t="str">
        <x:v>File Deleted (Sysmon Alert)</x:v>
      </x:c>
      <x:c r="B12" s="12" t="n">
        <x:v>3000</x:v>
      </x:c>
      <x:c r="C12" s="12" t="str">
        <x:v>95.03%</x:v>
      </x:c>
      <x:c r="D12" s="12" t="str">
        <x:v>Ruido/alto volumen; evidencia forense, no alerta directa</x:v>
      </x:c>
    </x:row>
    <x:row r="13">
      <x:c r="A13" s="12" t="str">
        <x:v>Potentially Malicious PwSh</x:v>
      </x:c>
      <x:c r="B13" s="12" t="n">
        <x:v>157</x:v>
      </x:c>
      <x:c r="C13" s="12" t="str">
        <x:v>4.97%</x:v>
      </x:c>
      <x:c r="D13" s="12" t="str">
        <x:v>Detección PowerShell parcial; revisar detalle</x:v>
      </x:c>
    </x:row>
    <x:row r="14">
      <x:c r="A14" s="12"/>
      <x:c r="B14" s="12"/>
      <x:c r="C14" s="12"/>
      <x:c r="D14" s="12"/>
    </x:row>
    <x:row r="15">
      <x:c r="A15" s="12" t="str">
        <x:v>Conclusión</x:v>
      </x:c>
      <x:c r="B15" s="12" t="str">
        <x:v>Detalle</x:v>
      </x:c>
      <x:c r="C15" s="12"/>
      <x:c r="D15" s="12"/>
    </x:row>
    <x:row r="16">
      <x:c r="A16" s="12" t="str">
        <x:v>Hayabusa.Rules funciona</x:v>
      </x:c>
      <x:c r="B16" s="12" t="str">
        <x:v>Sí: genera reglas sobre EVTX y ha producido resultados filtrados.</x:v>
      </x:c>
      <x:c r="C16" s="12"/>
      <x:c r="D16" s="12"/>
    </x:row>
    <x:row r="17">
      <x:c r="A17" s="12" t="str">
        <x:v>No equivale a alerta real-time</x:v>
      </x:c>
      <x:c r="B17" s="12" t="str">
        <x:v>Es CLIENT/hunt histórico; no es CLIENT_EVENT.</x:v>
      </x:c>
      <x:c r="C17" s="12"/>
      <x:c r="D17" s="12"/>
    </x:row>
    <x:row r="18">
      <x:c r="A18" s="12" t="str">
        <x:v>Ruido detectado</x:v>
      </x:c>
      <x:c r="B18" s="12" t="str">
        <x:v>File Deleted domina el resultado; no conviene usarlo como alerta directa por fichero.</x:v>
      </x:c>
      <x:c r="C18" s="12"/>
      <x:c r="D18" s="12"/>
    </x:row>
    <x:row r="19">
      <x:c r="A19" s="12" t="str">
        <x:v>Uso correcto</x:v>
      </x:c>
      <x:c r="B19" s="12" t="str">
        <x:v>Acotar DateAfter/DateBefore, filtrar RuleTitle y comparar con Hayabusa.Monitoring.</x:v>
      </x:c>
      <x:c r="C19" s="12"/>
      <x:c r="D19" s="1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36" hidden="0" customWidth="1"/>
    <x:col min="4" max="4" width="58" hidden="0" customWidth="1"/>
    <x:col min="5" max="5" width="18" hidden="0" customWidth="1"/>
    <x:col min="6" max="6" width="26" hidden="0" customWidth="1"/>
    <x:col min="7" max="7" width="58" hidden="0" customWidth="1"/>
  </x:cols>
  <x:sheetData>
    <x:row r="1" ht="50.400001525878906" hidden="0" customHeight="1">
      <x:c r="A1" s="102" t="str">
        <x:v>Arquitectura custom definitiva P4-P1</x:v>
      </x:c>
      <x:c r="B1" s="102"/>
      <x:c r="C1" s="102"/>
      <x:c r="D1" s="102"/>
      <x:c r="E1" s="102"/>
      <x:c r="F1" s="102"/>
      <x:c r="G1" s="102"/>
    </x:row>
    <x:row r="2" ht="79.19999694824219" hidden="0" customHeight="1">
      <x:c r="A2" s="105" t="str">
        <x:v>Cuatro artifacts por perfil operativo. Cada artifact contiene sources internas por técnica; no se crean 36 YAML.</x:v>
      </x:c>
      <x:c r="B2" s="105"/>
      <x:c r="C2" s="105"/>
      <x:c r="D2" s="105"/>
      <x:c r="E2" s="105"/>
      <x:c r="F2" s="105"/>
      <x:c r="G2" s="105"/>
    </x:row>
    <x:row r="3" ht="15" hidden="0" customHeight="1">
      <x:c r="A3"/>
      <x:c r="B3"/>
      <x:c r="C3"/>
      <x:c r="D3"/>
      <x:c r="E3"/>
      <x:c r="F3"/>
      <x:c r="G3"/>
    </x:row>
    <x:row r="4" ht="15" hidden="0" customHeight="1">
      <x:c r="A4" s="110" t="str">
        <x:v>Perfil</x:v>
      </x:c>
      <x:c r="B4" s="110" t="str">
        <x:v>Nombre artifact</x:v>
      </x:c>
      <x:c r="C4" s="110" t="str">
        <x:v>Profundidad</x:v>
      </x:c>
      <x:c r="D4" s="110" t="str">
        <x:v>Fuentes principales</x:v>
      </x:c>
      <x:c r="E4" s="110" t="str">
        <x:v>Consumo</x:v>
      </x:c>
      <x:c r="F4" s="110" t="str">
        <x:v>Discord</x:v>
      </x:c>
      <x:c r="G4" s="110" t="str">
        <x:v>Justificación</x:v>
      </x:c>
    </x:row>
    <x:row r="5" ht="15" hidden="0" customHeight="1">
      <x:c r="A5" s="33" t="str">
        <x:v>P4 Low</x:v>
      </x:c>
      <x:c r="B5" s="33" t="str">
        <x:v>Custom.TFM.HIDS.P4.Low.Basic</x:v>
      </x:c>
      <x:c r="C5" s="33" t="str">
        <x:v>Señales básicas / bajo coste</x:v>
      </x:c>
      <x:c r="D5" s="33" t="str">
        <x:v>ProcessCreation; ServiceCreation; Registry básico; 4104 muy selectivo</x:v>
      </x:c>
      <x:c r="E5" s="33" t="str">
        <x:v>Bajo</x:v>
      </x:c>
      <x:c r="F5" s="33" t="str">
        <x:v>Sí, señales fuertes</x:v>
      </x:c>
      <x:c r="G5" s="33" t="str">
        <x:v>Producción mínima y benchmark base</x:v>
      </x:c>
    </x:row>
    <x:row r="6" ht="15" hidden="0" customHeight="1">
      <x:c r="A6" s="33" t="str">
        <x:v>P3 Medium</x:v>
      </x:c>
      <x:c r="B6" s="33" t="str">
        <x:v>Custom.TFM.HIDS.P3.Medium.Behavioral</x:v>
      </x:c>
      <x:c r="C6" s="33" t="str">
        <x:v>Comportamiento por técnica</x:v>
      </x:c>
      <x:c r="D6" s="33" t="str">
        <x:v>PowerShell 4104 selectivo; command-line; exclusiones anti-FP</x:v>
      </x:c>
      <x:c r="E6" s="33" t="str">
        <x:v>Medio</x:v>
      </x:c>
      <x:c r="F6" s="33" t="str">
        <x:v>Sí, alertas resumidas</x:v>
      </x:c>
      <x:c r="G6" s="33" t="str">
        <x:v>Cubre TEC-006/007/008/009 con semántica</x:v>
      </x:c>
    </x:row>
    <x:row r="7" ht="15" hidden="0" customHeight="1">
      <x:c r="A7" s="33" t="str">
        <x:v>P2 High</x:v>
      </x:c>
      <x:c r="B7" s="33" t="str">
        <x:v>Custom.TFM.HIDS.P2.High.Forensic</x:v>
      </x:c>
      <x:c r="C7" s="33" t="str">
        <x:v>Evidencia + correlación ligera</x:v>
      </x:c>
      <x:c r="D7" s="33" t="str">
        <x:v>Sysmon ID 3/11/12/13/14/26; eventos forenses no masivos a Discord</x:v>
      </x:c>
      <x:c r="E7" s="33" t="str">
        <x:v>Medio/alto</x:v>
      </x:c>
      <x:c r="F7" s="33" t="str">
        <x:v>Solo resumen</x:v>
      </x:c>
      <x:c r="G7" s="33" t="str">
        <x:v>Permite trazabilidad y evita perder evidencia</x:v>
      </x:c>
    </x:row>
    <x:row r="8" ht="15" hidden="0" customHeight="1">
      <x:c r="A8" s="33" t="str">
        <x:v>P1 Critical</x:v>
      </x:c>
      <x:c r="B8" s="33" t="str">
        <x:v>Custom.TFM.HIDS.P1.Critical.Correlation</x:v>
      </x:c>
      <x:c r="C8" s="33" t="str">
        <x:v>Máxima visibilidad / umbrales</x:v>
      </x:c>
      <x:c r="D8" s="33" t="str">
        <x:v>Correlación 4104 + Sysmon + thresholds + ventanas temporales</x:v>
      </x:c>
      <x:c r="E8" s="33" t="str">
        <x:v>Alto</x:v>
      </x:c>
      <x:c r="F8" s="33" t="str">
        <x:v>Sí, una alerta consolidada</x:v>
      </x:c>
      <x:c r="G8" s="33" t="str">
        <x:v>Para validación avanzada y activos críticos</x:v>
      </x:c>
    </x:row>
    <x:row r="9" ht="15" hidden="0" customHeight="1">
      <x:c r="A9" s="33" t="str">
        <x:v>P0 Debug/Lab</x:v>
      </x:c>
      <x:c r="B9" s="33" t="str">
        <x:v>Custom.TFM.HIDS.P0.Debug.Raw</x:v>
      </x:c>
      <x:c r="C9" s="33" t="str">
        <x:v>Raw/debug</x:v>
      </x:c>
      <x:c r="D9" s="33" t="str">
        <x:v>Raw 4104, Sysmon masivo, debug sources</x:v>
      </x:c>
      <x:c r="E9" s="33" t="str">
        <x:v>Muy alto</x:v>
      </x:c>
      <x:c r="F9" s="33" t="str">
        <x:v>No</x:v>
      </x:c>
      <x:c r="G9" s="33" t="str">
        <x:v>Solo laboratorio; no producción</x:v>
      </x:c>
    </x:row>
    <x:row r="10" ht="15" hidden="0" customHeight="1">
      <x:c r="A10"/>
      <x:c r="B10"/>
      <x:c r="C10"/>
      <x:c r="D10"/>
      <x:c r="E10"/>
      <x:c r="F10"/>
      <x:c r="G10"/>
    </x:row>
    <x:row r="11" ht="15" hidden="0" customHeight="1">
      <x:c r="A11" s="110" t="str">
        <x:v>Source interna</x:v>
      </x:c>
      <x:c r="B11" s="110" t="str">
        <x:v>Técnicas</x:v>
      </x:c>
      <x:c r="C11" s="110" t="str">
        <x:v>Perfil mínimo</x:v>
      </x:c>
      <x:c r="D11" s="110" t="str">
        <x:v>Señal principal</x:v>
      </x:c>
      <x:c r="E11" s="110" t="str">
        <x:v>Motivo</x:v>
      </x:c>
      <x:c r="F11"/>
      <x:c r="G11"/>
    </x:row>
    <x:row r="12" ht="26.399999618530273" hidden="0" customHeight="1">
      <x:c r="A12" s="33" t="str">
        <x:v>Source_TEC001_PowerShell</x:v>
      </x:c>
      <x:c r="B12" s="33" t="str">
        <x:v>TEC-001</x:v>
      </x:c>
      <x:c r="C12" s="33" t="str">
        <x:v>P4</x:v>
      </x:c>
      <x:c r="D12" s="33" t="str">
        <x:v>powershell.exe + flags sospechosos</x:v>
      </x:c>
      <x:c r="E12" s="33" t="str">
        <x:v>Execution básica</x:v>
      </x:c>
      <x:c r="F12"/>
      <x:c r="G12"/>
    </x:row>
    <x:row r="13" ht="15" hidden="0" customHeight="1">
      <x:c r="A13" s="33" t="str">
        <x:v>Source_TEC002_CMD</x:v>
      </x:c>
      <x:c r="B13" s="33" t="str">
        <x:v>TEC-002</x:v>
      </x:c>
      <x:c r="C13" s="33" t="str">
        <x:v>P4</x:v>
      </x:c>
      <x:c r="D13" s="33" t="str">
        <x:v>cmd.exe /c + chaining/dual-use</x:v>
      </x:c>
      <x:c r="E13" s="33" t="str">
        <x:v>Execution básica</x:v>
      </x:c>
      <x:c r="F13"/>
      <x:c r="G13"/>
    </x:row>
    <x:row r="14" ht="26.399999618530273" hidden="0" customHeight="1">
      <x:c r="A14" s="33" t="str">
        <x:v>Source_TEC003_ScheduledTask</x:v>
      </x:c>
      <x:c r="B14" s="33" t="str">
        <x:v>TEC-003</x:v>
      </x:c>
      <x:c r="C14" s="33" t="str">
        <x:v>P4/P3</x:v>
      </x:c>
      <x:c r="D14" s="33" t="str">
        <x:v>schtasks.exe + exclusión MSFT_ScheduledTask</x:v>
      </x:c>
      <x:c r="E14" s="33" t="str">
        <x:v>Execution/Persistence</x:v>
      </x:c>
      <x:c r="F14"/>
      <x:c r="G14"/>
    </x:row>
    <x:row r="15" ht="26.399999618530273" hidden="0" customHeight="1">
      <x:c r="A15" s="33" t="str">
        <x:v>Source_TEC004_RunKeys</x:v>
      </x:c>
      <x:c r="B15" s="33" t="str">
        <x:v>TEC-004</x:v>
      </x:c>
      <x:c r="C15" s="33" t="str">
        <x:v>P4/P2</x:v>
      </x:c>
      <x:c r="D15" s="33" t="str">
        <x:v>reg.exe + Sysmon Registry Run/RunOnce</x:v>
      </x:c>
      <x:c r="E15" s="33" t="str">
        <x:v>Persistence</x:v>
      </x:c>
      <x:c r="F15"/>
      <x:c r="G15"/>
    </x:row>
    <x:row r="16" ht="26.399999618530273" hidden="0" customHeight="1">
      <x:c r="A16" s="33" t="str">
        <x:v>Source_TEC005_Service</x:v>
      </x:c>
      <x:c r="B16" s="33" t="str">
        <x:v>TEC-005</x:v>
      </x:c>
      <x:c r="C16" s="33" t="str">
        <x:v>P4</x:v>
      </x:c>
      <x:c r="D16" s="33" t="str">
        <x:v>EventID 7045 + sc.exe</x:v>
      </x:c>
      <x:c r="E16" s="33" t="str">
        <x:v>Caso público fuerte</x:v>
      </x:c>
      <x:c r="F16"/>
      <x:c r="G16"/>
    </x:row>
    <x:row r="17" ht="26.399999618530273" hidden="0" customHeight="1">
      <x:c r="A17" s="33" t="str">
        <x:v>Source_TEC006_Discovery</x:v>
      </x:c>
      <x:c r="B17" s="33" t="str">
        <x:v>TEC-006</x:v>
      </x:c>
      <x:c r="C17" s="33" t="str">
        <x:v>P3</x:v>
      </x:c>
      <x:c r="D17" s="33" t="str">
        <x:v>SecurityCenter2 / AntivirusProduct / Defender / EDR strings</x:v>
      </x:c>
      <x:c r="E17" s="33" t="str">
        <x:v>Discovery semántico</x:v>
      </x:c>
      <x:c r="F17"/>
      <x:c r="G17"/>
    </x:row>
    <x:row r="18" ht="26.399999618530273" hidden="0" customHeight="1">
      <x:c r="A18" s="33" t="str">
        <x:v>Source_TEC007_Ransomware</x:v>
      </x:c>
      <x:c r="B18" s="33" t="str">
        <x:v>TEC-007</x:v>
      </x:c>
      <x:c r="C18" s="33" t="str">
        <x:v>P3/P2/P1</x:v>
      </x:c>
      <x:c r="D18" s="33" t="str">
        <x:v>AES/CryptoStream/.aes + Sysmon ID11 + umbral</x:v>
      </x:c>
      <x:c r="E18" s="33" t="str">
        <x:v>Impact/cifrado</x:v>
      </x:c>
      <x:c r="F18"/>
      <x:c r="G18"/>
    </x:row>
    <x:row r="19" ht="26.399999618530273" hidden="0" customHeight="1">
      <x:c r="A19" s="33" t="str">
        <x:v>Source_TEC008_Destruction</x:v>
      </x:c>
      <x:c r="B19" s="33" t="str">
        <x:v>TEC-008</x:v>
      </x:c>
      <x:c r="C19" s="33" t="str">
        <x:v>P3/P2/P1</x:v>
      </x:c>
      <x:c r="D19" s="33" t="str">
        <x:v>Remove-Item masivo + ID26 forense</x:v>
      </x:c>
      <x:c r="E19" s="33" t="str">
        <x:v>Impact/destrucción</x:v>
      </x:c>
      <x:c r="F19"/>
      <x:c r="G19"/>
    </x:row>
    <x:row r="20" ht="26.399999618530273" hidden="0" customHeight="1">
      <x:c r="A20" s="33" t="str">
        <x:v>Source_TEC009_Staging_Network</x:v>
      </x:c>
      <x:c r="B20" s="33" t="str">
        <x:v>TEC-009</x:v>
      </x:c>
      <x:c r="C20" s="33" t="str">
        <x:v>P3/P2/P1</x:v>
      </x:c>
      <x:c r="D20" s="33" t="str">
        <x:v>Compress-Archive + Copy-Item + TCP externa</x:v>
      </x:c>
      <x:c r="E20" s="33" t="str">
        <x:v>Collection + Exfiltration contextual</x:v>
      </x:c>
      <x:c r="F20"/>
      <x:c r="G20"/>
    </x:row>
    <x:row r="21" ht="15" hidden="0" customHeight="1">
      <x:c r="A21" s="33"/>
      <x:c r="B21" s="33"/>
      <x:c r="C21" s="33"/>
      <x:c r="D21" s="33"/>
      <x:c r="E21" s="3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4" hidden="0" customWidth="1"/>
    <x:col min="4" max="4" width="14" hidden="0" customWidth="1"/>
    <x:col min="5" max="5" width="22" hidden="0" customWidth="1"/>
    <x:col min="6" max="6" width="18" hidden="0" customWidth="1"/>
    <x:col min="7" max="7" width="22" hidden="0" customWidth="1"/>
    <x:col min="8" max="8" width="28" hidden="0" customWidth="1"/>
    <x:col min="9" max="9" width="66" hidden="0" customWidth="1"/>
  </x:cols>
  <x:sheetData>
    <x:row r="1" ht="33.599998474121094" hidden="0" customHeight="1">
      <x:c r="A1" s="102" t="str">
        <x:v>Matriz definitiva de artifacts públicos</x:v>
      </x:c>
      <x:c r="B1" s="102"/>
      <x:c r="C1" s="102"/>
      <x:c r="D1" s="102"/>
      <x:c r="E1" s="102"/>
      <x:c r="F1" s="102"/>
      <x:c r="G1" s="102"/>
      <x:c r="H1" s="102"/>
      <x:c r="I1" s="102"/>
    </x:row>
    <x:row r="2" ht="39.599998474121094" hidden="0" customHeight="1">
      <x:c r="A2" s="105" t="str">
        <x:v>Criterio: separar visibilidad, detección, alerta RT y salida externa. No confundir transporte con detección.</x:v>
      </x:c>
      <x:c r="B2" s="105"/>
      <x:c r="C2" s="105"/>
      <x:c r="D2" s="105"/>
      <x:c r="E2" s="105"/>
      <x:c r="F2" s="105"/>
      <x:c r="G2" s="105"/>
      <x:c r="H2" s="105"/>
      <x:c r="I2" s="105"/>
    </x:row>
    <x:row r="3" ht="15" hidden="0" customHeight="1">
      <x:c r="A3"/>
      <x:c r="B3"/>
      <x:c r="C3"/>
      <x:c r="D3"/>
      <x:c r="E3"/>
      <x:c r="F3"/>
      <x:c r="G3"/>
      <x:c r="H3"/>
      <x:c r="I3"/>
    </x:row>
    <x:row r="4" ht="15" hidden="0" customHeight="1">
      <x:c r="A4" s="110" t="str">
        <x:v>Artifact</x:v>
      </x:c>
      <x:c r="B4" s="110" t="str">
        <x:v>Tipo</x:v>
      </x:c>
      <x:c r="C4" s="110" t="str">
        <x:v>HIDS RT</x:v>
      </x:c>
      <x:c r="D4" s="110" t="str">
        <x:v>Visibilidad</x:v>
      </x:c>
      <x:c r="E4" s="110" t="str">
        <x:v>Detección</x:v>
      </x:c>
      <x:c r="F4" s="110" t="str">
        <x:v>Alerta RT</x:v>
      </x:c>
      <x:c r="G4" s="110" t="str">
        <x:v>Discord</x:v>
      </x:c>
      <x:c r="H4" s="110" t="str">
        <x:v>Técnicas principales</x:v>
      </x:c>
      <x:c r="I4" s="110" t="str">
        <x:v>Veredicto</x:v>
      </x:c>
    </x:row>
    <x:row r="5" ht="15" hidden="0" customHeight="1">
      <x:c r="A5" s="33" t="str">
        <x:v>Windows.Hayabusa.Monitoring</x:v>
      </x:c>
      <x:c r="B5" s="33" t="str">
        <x:v>CLIENT_EVENT</x:v>
      </x:c>
      <x:c r="C5" s="33" t="str">
        <x:v>Sí</x:v>
      </x:c>
      <x:c r="D5" s="33" t="str">
        <x:v>Sí</x:v>
      </x:c>
      <x:c r="E5" s="33" t="str">
        <x:v>Parcial</x:v>
      </x:c>
      <x:c r="F5" s="33" t="str">
        <x:v>Sí</x:v>
      </x:c>
      <x:c r="G5" s="33" t="str">
        <x:v>Sí con router</x:v>
      </x:c>
      <x:c r="H5" s="33" t="str">
        <x:v>TEC-001 parcial</x:v>
      </x:c>
      <x:c r="I5" s="33" t="str">
        <x:v>Útil, pero genérico; no clasifica TEC-007/008/009 de forma específica</x:v>
      </x:c>
    </x:row>
    <x:row r="6" ht="15" hidden="0" customHeight="1">
      <x:c r="A6" s="33" t="str">
        <x:v>Windows.Events.ServiceCreation</x:v>
      </x:c>
      <x:c r="B6" s="33" t="str">
        <x:v>CLIENT_EVENT</x:v>
      </x:c>
      <x:c r="C6" s="33" t="str">
        <x:v>Sí</x:v>
      </x:c>
      <x:c r="D6" s="33" t="str">
        <x:v>Sí</x:v>
      </x:c>
      <x:c r="E6" s="33" t="str">
        <x:v>Sí</x:v>
      </x:c>
      <x:c r="F6" s="33" t="str">
        <x:v>Sí</x:v>
      </x:c>
      <x:c r="G6" s="33" t="str">
        <x:v>Sí con router</x:v>
      </x:c>
      <x:c r="H6" s="33" t="str">
        <x:v>TEC-005</x:v>
      </x:c>
      <x:c r="I6" s="33" t="str">
        <x:v>Artifact público más fuerte: EventID 7045 preciso</x:v>
      </x:c>
    </x:row>
    <x:row r="7" ht="15" hidden="0" customHeight="1">
      <x:c r="A7" s="33" t="str">
        <x:v>Windows.Events.ProcessCreation</x:v>
      </x:c>
      <x:c r="B7" s="33" t="str">
        <x:v>CLIENT_EVENT</x:v>
      </x:c>
      <x:c r="C7" s="33" t="str">
        <x:v>Sí</x:v>
      </x:c>
      <x:c r="D7" s="33" t="str">
        <x:v>Sí</x:v>
      </x:c>
      <x:c r="E7" s="33" t="str">
        <x:v>No por sí solo</x:v>
      </x:c>
      <x:c r="F7" s="33" t="str">
        <x:v>No por sí solo</x:v>
      </x:c>
      <x:c r="G7" s="33" t="str">
        <x:v>Solo con router/filtro</x:v>
      </x:c>
      <x:c r="H7" s="33" t="str">
        <x:v>TEC-001/002/003/004/006</x:v>
      </x:c>
      <x:c r="I7" s="33" t="str">
        <x:v>Fuente base HIDS; requiere lógica custom</x:v>
      </x:c>
    </x:row>
    <x:row r="8" ht="15" hidden="0" customHeight="1">
      <x:c r="A8" s="33" t="str">
        <x:v>Windows.Sysinternals.SysmonLogForward</x:v>
      </x:c>
      <x:c r="B8" s="33" t="str">
        <x:v>CLIENT_EVENT</x:v>
      </x:c>
      <x:c r="C8" s="33" t="str">
        <x:v>Sí</x:v>
      </x:c>
      <x:c r="D8" s="33" t="str">
        <x:v>Sí</x:v>
      </x:c>
      <x:c r="E8" s="33" t="str">
        <x:v>No por sí solo</x:v>
      </x:c>
      <x:c r="F8" s="33" t="str">
        <x:v>No por sí solo</x:v>
      </x:c>
      <x:c r="G8" s="33" t="str">
        <x:v>No ID26 por fichero</x:v>
      </x:c>
      <x:c r="H8" s="33" t="str">
        <x:v>TEC-004/007/008/009</x:v>
      </x:c>
      <x:c r="I8" s="33" t="str">
        <x:v>Evidencia forense; mucho ruido si no se filtra</x:v>
      </x:c>
    </x:row>
    <x:row r="9" ht="15" hidden="0" customHeight="1">
      <x:c r="A9" s="33" t="str">
        <x:v>Windows.ETW.Monitoring</x:v>
      </x:c>
      <x:c r="B9" s="33" t="str">
        <x:v>CLIENT_EVENT</x:v>
      </x:c>
      <x:c r="C9" s="33" t="str">
        <x:v>Sí</x:v>
      </x:c>
      <x:c r="D9" s="33" t="str">
        <x:v>No útil</x:v>
      </x:c>
      <x:c r="E9" s="33" t="str">
        <x:v>No</x:v>
      </x:c>
      <x:c r="F9" s="33" t="str">
        <x:v>No</x:v>
      </x:c>
      <x:c r="G9" s="33" t="str">
        <x:v>No</x:v>
      </x:c>
      <x:c r="H9" s="33" t="str">
        <x:v>Varias esperadas</x:v>
      </x:c>
      <x:c r="I9" s="33" t="str">
        <x:v>Resultado negativo documentable</x:v>
      </x:c>
    </x:row>
    <x:row r="10" ht="26.399999618530273" hidden="0" customHeight="1">
      <x:c r="A10" s="33" t="str">
        <x:v>Generic.Events.TrackNetworkConnections</x:v>
      </x:c>
      <x:c r="B10" s="33" t="str">
        <x:v>CLIENT_EVENT</x:v>
      </x:c>
      <x:c r="C10" s="33" t="str">
        <x:v>Sí</x:v>
      </x:c>
      <x:c r="D10" s="33" t="str">
        <x:v>Sí</x:v>
      </x:c>
      <x:c r="E10" s="33" t="str">
        <x:v>Parcial con filtro</x:v>
      </x:c>
      <x:c r="F10" s="33" t="str">
        <x:v>Sí con companion/router</x:v>
      </x:c>
      <x:c r="G10" s="33" t="str">
        <x:v>Sí si se filtra</x:v>
      </x:c>
      <x:c r="H10" s="33" t="str">
        <x:v>TEC-009 contextual</x:v>
      </x:c>
      <x:c r="I10" s="33" t="str">
        <x:v>Útil para red host-based, pero requiere filtro fuerte</x:v>
      </x:c>
    </x:row>
    <x:row r="11" ht="15" hidden="0" customHeight="1">
      <x:c r="A11" s="33" t="str">
        <x:v>Windows.Hayabusa.Rules</x:v>
      </x:c>
      <x:c r="B11" s="33" t="str">
        <x:v>CLIENT/hunt histórico</x:v>
      </x:c>
      <x:c r="C11" s="33" t="str">
        <x:v>No</x:v>
      </x:c>
      <x:c r="D11" s="33" t="str">
        <x:v>Sí</x:v>
      </x:c>
      <x:c r="E11" s="33" t="str">
        <x:v>Parcial</x:v>
      </x:c>
      <x:c r="F11" s="33" t="str">
        <x:v>No</x:v>
      </x:c>
      <x:c r="G11" s="33" t="str">
        <x:v>No</x:v>
      </x:c>
      <x:c r="H11" s="33" t="str">
        <x:v>Varias</x:v>
      </x:c>
      <x:c r="I11" s="33" t="str">
        <x:v>Complementario histórico; mucho ruido</x:v>
      </x:c>
    </x:row>
    <x:row r="12" ht="15" hidden="0" customHeight="1">
      <x:c r="A12" s="33" t="str">
        <x:v>Server.Alerts.TrackNetworkConnections</x:v>
      </x:c>
      <x:c r="B12" s="33" t="str">
        <x:v>SERVER_EVENT</x:v>
      </x:c>
      <x:c r="C12" s="33" t="str">
        <x:v>No aplica</x:v>
      </x:c>
      <x:c r="D12" s="33" t="str">
        <x:v>No detecta</x:v>
      </x:c>
      <x:c r="E12" s="33" t="str">
        <x:v>No detecta</x:v>
      </x:c>
      <x:c r="F12" s="33" t="str">
        <x:v>Transporte</x:v>
      </x:c>
      <x:c r="G12" s="33" t="str">
        <x:v>Sí</x:v>
      </x:c>
      <x:c r="H12" s="33" t="str">
        <x:v>TEC-009 contextual</x:v>
      </x:c>
      <x:c r="I12" s="33" t="str">
        <x:v>Companion server-side; no contar como artifact detector</x:v>
      </x:c>
    </x:row>
    <x:row r="13" ht="15" hidden="0" customHeight="1">
      <x:c r="A13" s="33" t="str">
        <x:v>Custom Router Discord</x:v>
      </x:c>
      <x:c r="B13" s="33" t="str">
        <x:v>SERVER_EVENT</x:v>
      </x:c>
      <x:c r="C13" s="33" t="str">
        <x:v>No aplica</x:v>
      </x:c>
      <x:c r="D13" s="33" t="str">
        <x:v>No detecta</x:v>
      </x:c>
      <x:c r="E13" s="33" t="str">
        <x:v>No detecta</x:v>
      </x:c>
      <x:c r="F13" s="33" t="str">
        <x:v>Transporte</x:v>
      </x:c>
      <x:c r="G13" s="33" t="str">
        <x:v>Sí</x:v>
      </x:c>
      <x:c r="H13" s="33" t="str">
        <x:v>Todas alertables</x:v>
      </x:c>
      <x:c r="I13" s="33" t="str">
        <x:v>Normaliza salida externa; no sustituye detección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58" hidden="0" customWidth="1"/>
    <x:col min="4" max="4" width="58" hidden="0" customWidth="1"/>
    <x:col min="5" max="5" width="58" hidden="0" customWidth="1"/>
  </x:cols>
  <x:sheetData>
    <x:row r="1" ht="16.799999237060547" hidden="0" customHeight="1">
      <x:c r="A1" s="102" t="str">
        <x:v>Scripts de laboratorio revisados</x:v>
      </x:c>
      <x:c r="B1" s="102"/>
      <x:c r="C1" s="102"/>
      <x:c r="D1" s="102"/>
      <x:c r="E1" s="102"/>
    </x:row>
    <x:row r="2" ht="52.79999923706055" hidden="0" customHeight="1">
      <x:c r="A2" s="105" t="str">
        <x:v>Resumen operativo para integrar en prompt/contexto y memoria. No usar nombres/rutas como lógica de detección final.</x:v>
      </x:c>
      <x:c r="B2" s="105"/>
      <x:c r="C2" s="105"/>
      <x:c r="D2" s="105"/>
      <x:c r="E2" s="105"/>
    </x:row>
    <x:row r="3" ht="15" hidden="0" customHeight="1">
      <x:c r="A3"/>
      <x:c r="B3"/>
      <x:c r="C3"/>
      <x:c r="D3"/>
      <x:c r="E3"/>
    </x:row>
    <x:row r="4" ht="15" hidden="0" customHeight="1">
      <x:c r="A4" s="110" t="str">
        <x:v>Script</x:v>
      </x:c>
      <x:c r="B4" s="110" t="str">
        <x:v>Técnica / rol</x:v>
      </x:c>
      <x:c r="C4" s="110" t="str">
        <x:v>Comportamiento observado</x:v>
      </x:c>
      <x:c r="D4" s="110" t="str">
        <x:v>Evidencia esperada</x:v>
      </x:c>
      <x:c r="E4" s="110" t="str">
        <x:v>Corrección / nota</x:v>
      </x:c>
    </x:row>
    <x:row r="5" ht="26.399999618530273" hidden="0" customHeight="1">
      <x:c r="A5" s="33" t="str">
        <x:v>crear_directorio_dummy.ps1</x:v>
      </x:c>
      <x:c r="B5" s="33" t="str">
        <x:v>Preparación dataset</x:v>
      </x:c>
      <x:c r="C5" s="33" t="str">
        <x:v>Crea DUMB_LAB con subcarpetas, marcador LAB_OK_DO_NOT_TOUCH.txt y 1500 ficheros dummy</x:v>
      </x:c>
      <x:c r="D5" s="33" t="str">
        <x:v>FileCreate / actividad de escritura si se monitoriza</x:v>
      </x:c>
      <x:c r="E5" s="33" t="str">
        <x:v>Correcto como preparación; no es técnica MITRE evaluada</x:v>
      </x:c>
    </x:row>
    <x:row r="6" ht="15" hidden="0" customHeight="1">
      <x:c r="A6" s="33" t="str">
        <x:v>enumeracion.ps1</x:v>
      </x:c>
      <x:c r="B6" s="33" t="str">
        <x:v>Pre-TEC-007 / inventario</x:v>
      </x:c>
      <x:c r="C6" s="33" t="str">
        <x:v>Enumera DUMB_LAB y genera lista_archivos.txt + lista_archivos.csv</x:v>
      </x:c>
      <x:c r="D6" s="33" t="str">
        <x:v>4104 Get-ChildItem; creación TXT/CSV</x:v>
      </x:c>
      <x:c r="E6" s="33" t="str">
        <x:v>Puede generar señales de discovery/file enumeration; contextualizar</x:v>
      </x:c>
    </x:row>
    <x:row r="7" ht="26.399999618530273" hidden="0" customHeight="1">
      <x:c r="A7" s="33" t="str">
        <x:v>descifrar.ps1</x:v>
      </x:c>
      <x:c r="B7" s="33" t="str">
        <x:v>Restauración TEC-007</x:v>
      </x:c>
      <x:c r="C7" s="33" t="str">
        <x:v>Descifra .aes usando AES/SHA256 y elimina .aes tras restaurar</x:v>
      </x:c>
      <x:c r="D7" s="33" t="str">
        <x:v>4104 AES/CryptoStream/CreateDecryptor; Sysmon ID26 por .aes eliminados</x:v>
      </x:c>
      <x:c r="E7" s="33" t="str">
        <x:v>No confundir descifrado/restauración con TEC-008 destructiva</x:v>
      </x:c>
    </x:row>
    <x:row r="8" ht="15" hidden="0" customHeight="1">
      <x:c r="A8" s="33" t="str">
        <x:v>sabotaje.ps1</x:v>
      </x:c>
      <x:c r="B8" s="33" t="str">
        <x:v>TEC-008 Data Destruction</x:v>
      </x:c>
      <x:c r="C8" s="33" t="str">
        <x:v>Enumera DUMB_LAB y borra ficheros con Remove-Item -Force</x:v>
      </x:c>
      <x:c r="D8" s="33" t="str">
        <x:v>4104 Get-ChildItem/Remove-Item; Sysmon ID26</x:v>
      </x:c>
      <x:c r="E8" s="33" t="str">
        <x:v>Cabecera errónea: pone TEC-009; debe decir TEC-008</x:v>
      </x:c>
    </x:row>
    <x:row r="9" ht="26.399999618530273" hidden="0" customHeight="1">
      <x:c r="A9" s="33" t="str">
        <x:v>exfiltracion.ps1</x:v>
      </x:c>
      <x:c r="B9" s="33" t="str">
        <x:v>TEC-009 staging + red contextual</x:v>
      </x:c>
      <x:c r="C9" s="33" t="str">
        <x:v>Compress-Archive DUMB_LAB, Copy-Item a ENVIADO_dump_exfil.zip y TcpClient a example.com:80 durante 20 s</x:v>
      </x:c>
      <x:c r="D9" s="33" t="str">
        <x:v>4104 Compress-Archive/Copy-Item/TcpClient; Sysmon ID11 ZIP; Sysmon ID3 TCP; TrackNetworkConnections</x:v>
      </x:c>
      <x:c r="E9" s="33" t="str">
        <x:v>Hay conexión externa real controlada, pero no transferencia real del ZIP</x:v>
      </x:c>
    </x:row>
    <x:row r="10" ht="26.399999618530273" hidden="0" customHeight="1">
      <x:c r="A10" s="33" t="str">
        <x:v>TFM_Run_All_TEC_Tests.ps1</x:v>
      </x:c>
      <x:c r="B10" s="33" t="str">
        <x:v>Runner TEC-001..TEC-009</x:v>
      </x:c>
      <x:c r="C10" s="33" t="str">
        <x:v>Ejecuta técnicas, restaura DUMB_LAB y deja pausas entre pruebas</x:v>
      </x:c>
      <x:c r="D10" s="33" t="str">
        <x:v>Hayabusa puede detectar runner/Set-ExecutionPolicy más que técnica interna</x:v>
      </x:c>
      <x:c r="E10" s="33" t="str">
        <x:v>Comentario inicial dice TEC-009 solo staging local; actualizar a staging + TCP controlada</x:v>
      </x:c>
    </x:row>
    <x:row r="11" ht="26.399999618530273" hidden="0" customHeight="1">
      <x:c r="A11" s="33" t="str">
        <x:v>ejecutar.txt</x:v>
      </x:c>
      <x:c r="B11" s="33" t="str">
        <x:v>Lanzamiento manual</x:v>
      </x:c>
      <x:c r="C11" s="33" t="str">
        <x:v>Set-ExecutionPolicy Bypass, cd a SCRIPT_PRUEBAS y ejecuta TFM_Run_All_TEC_Tests.ps1</x:v>
      </x:c>
      <x:c r="D11" s="33" t="str">
        <x:v>4104 Set-ExecutionPolicy; ProcessCreation powershell/cmd</x:v>
      </x:c>
      <x:c r="E11" s="33" t="str">
        <x:v>Útil para reproducibilidad; puede activar alerta PowerShell genérica Hayabusa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2" hidden="0" customWidth="1"/>
    <x:col min="4" max="4" width="48" hidden="0" customWidth="1"/>
  </x:cols>
  <x:sheetData>
    <x:row r="1" ht="67.19999694824219" hidden="0" customHeight="1">
      <x:c r="A1" s="102" t="str">
        <x:v>Incoherencias cerradas / decisiones definitivas</x:v>
      </x:c>
      <x:c r="B1" s="102"/>
      <x:c r="C1" s="102"/>
      <x:c r="D1" s="102"/>
    </x:row>
    <x:row r="2" ht="66" hidden="0" customHeight="1">
      <x:c r="A2" s="105" t="str">
        <x:v>Hoja de control para mantener el prompt y la memoria sin contradicciones.</x:v>
      </x:c>
      <x:c r="B2" s="105"/>
      <x:c r="C2" s="105"/>
      <x:c r="D2" s="105"/>
    </x:row>
    <x:row r="3" ht="15" hidden="0" customHeight="1">
      <x:c r="A3"/>
      <x:c r="B3"/>
      <x:c r="C3"/>
      <x:c r="D3"/>
    </x:row>
    <x:row r="4" ht="15" hidden="0" customHeight="1">
      <x:c r="A4" s="110" t="str">
        <x:v>ID</x:v>
      </x:c>
      <x:c r="B4" s="110" t="str">
        <x:v>Tema</x:v>
      </x:c>
      <x:c r="C4" s="110" t="str">
        <x:v>Decisión definitiva</x:v>
      </x:c>
      <x:c r="D4" s="110" t="str">
        <x:v>Acción</x:v>
      </x:c>
    </x:row>
    <x:row r="5" ht="26.399999618530273" hidden="0" customHeight="1">
      <x:c r="A5" s="33" t="str">
        <x:v>INC-001</x:v>
      </x:c>
      <x:c r="B5" s="33" t="str">
        <x:v>TEC-009 MITRE</x:v>
      </x:c>
      <x:c r="C5" s="33" t="str">
        <x:v>Principal = T1074.001 + T1560.001. T1020/T1041 solo contextual si hay telemetría de red externa.</x:v>
      </x:c>
      <x:c r="D5" s="33" t="str">
        <x:v>Actualizar prompt, Excel y memoria</x:v>
      </x:c>
    </x:row>
    <x:row r="6" ht="26.399999618530273" hidden="0" customHeight="1">
      <x:c r="A6" s="33" t="str">
        <x:v>INC-002</x:v>
      </x:c>
      <x:c r="B6" s="33" t="str">
        <x:v>TEC-009 envío real</x:v>
      </x:c>
      <x:c r="C6" s="33" t="str">
        <x:v>El script abre conexión TCP real a example.com:80, pero no transfiere el ZIP ni datos reales.</x:v>
      </x:c>
      <x:c r="D6" s="33" t="str">
        <x:v>No afirmar exfiltración real de datos</x:v>
      </x:c>
    </x:row>
    <x:row r="7" ht="26.399999618530273" hidden="0" customHeight="1">
      <x:c r="A7" s="33" t="str">
        <x:v>INC-003</x:v>
      </x:c>
      <x:c r="B7" s="33" t="str">
        <x:v>Sabotaje script</x:v>
      </x:c>
      <x:c r="C7" s="33" t="str">
        <x:v>sabotaje.ps1 tiene cabecera errónea TEC-009, pero comportamiento y final indican TEC-008.</x:v>
      </x:c>
      <x:c r="D7" s="33" t="str">
        <x:v>Corregir cabecera</x:v>
      </x:c>
    </x:row>
    <x:row r="8" ht="15" hidden="0" customHeight="1">
      <x:c r="A8" s="33" t="str">
        <x:v>INC-004</x:v>
      </x:c>
      <x:c r="B8" s="33" t="str">
        <x:v>P4-P1</x:v>
      </x:c>
      <x:c r="C8" s="33" t="str">
        <x:v>No son 36 artifacts. Son 4 artifacts por perfil con sources internas por técnica.</x:v>
      </x:c>
      <x:c r="D8" s="33" t="str">
        <x:v>Mantener arquitectura P4/P3/P2/P1</x:v>
      </x:c>
    </x:row>
    <x:row r="9" ht="26.399999618530273" hidden="0" customHeight="1">
      <x:c r="A9" s="33" t="str">
        <x:v>INC-005</x:v>
      </x:c>
      <x:c r="B9" s="33" t="str">
        <x:v>Riesgo endpoint</x:v>
      </x:c>
      <x:c r="C9" s="33" t="str">
        <x:v>La columna debe entenderse como intensidad/perfil operativo, no criticidad real del endpoint.</x:v>
      </x:c>
      <x:c r="D9" s="33" t="str">
        <x:v>Usar 'perfil operativo / intensidad de monitorización'</x:v>
      </x:c>
    </x:row>
    <x:row r="10" ht="15" hidden="0" customHeight="1">
      <x:c r="A10" s="33" t="str">
        <x:v>INC-006</x:v>
      </x:c>
      <x:c r="B10" s="33" t="str">
        <x:v>Cobertura /14</x:v>
      </x:c>
      <x:c r="C10" s="33" t="str">
        <x:v>Usar /14 por criterio de tutoría. Separar principal 5/14, ampliada 6/14 y contextual 7/14.</x:v>
      </x:c>
      <x:c r="D10" s="33" t="str">
        <x:v>No inflar cobertura</x:v>
      </x:c>
    </x:row>
    <x:row r="11" ht="15" hidden="0" customHeight="1">
      <x:c r="A11" s="33" t="str">
        <x:v>INC-007</x:v>
      </x:c>
      <x:c r="B11" s="33" t="str">
        <x:v>Sysmon ID26</x:v>
      </x:c>
      <x:c r="C11" s="33" t="str">
        <x:v>Evidencia forense de borrado; no alerta Discord por fichero.</x:v>
      </x:c>
      <x:c r="D11" s="33" t="str">
        <x:v>Mantener como P2/P1 forense</x:v>
      </x:c>
    </x:row>
    <x:row r="12" ht="15" hidden="0" customHeight="1">
      <x:c r="A12" s="33" t="str">
        <x:v>INC-008</x:v>
      </x:c>
      <x:c r="B12" s="33" t="str">
        <x:v>FortiEDR</x:v>
      </x:c>
      <x:c r="C12" s="33" t="str">
        <x:v>No comparativa experimental. Solo marco conceptual EDR/SIEM/HIDS si se menciona.</x:v>
      </x:c>
      <x:c r="D12" s="33" t="str">
        <x:v>Eliminar de objetivos empíricos</x:v>
      </x:c>
    </x:row>
    <x:row r="13" ht="15" hidden="0" customHeight="1">
      <x:c r="A13" s="33" t="str">
        <x:v>INC-009</x:v>
      </x:c>
      <x:c r="B13" s="33" t="str">
        <x:v>Hayabusa.Rules</x:v>
      </x:c>
      <x:c r="C13" s="33" t="str">
        <x:v>Histórico/hunt, no HIDS RT. No contar como monitoring continuo.</x:v>
      </x:c>
      <x:c r="D13" s="33" t="str">
        <x:v>Mantener como complemento</x:v>
      </x:c>
    </x:row>
    <x:row r="14" ht="15" hidden="0" customHeight="1">
      <x:c r="A14" s="33" t="str">
        <x:v>INC-010</x:v>
      </x:c>
      <x:c r="B14" s="33" t="str">
        <x:v>Rutas TFM/DUMB_LAB</x:v>
      </x:c>
      <x:c r="C14" s="33" t="str">
        <x:v>Válidas para validación y consultas; prohibidas como lógica de detección final.</x:v>
      </x:c>
      <x:c r="D14" s="33" t="str">
        <x:v>Separar laboratorio vs detección final</x:v>
      </x:c>
    </x:row>
  </x:sheetData>
  <x:pageMargins left="0.7" right="0.7" top="0.75" bottom="0.75" header="0.3" footer="0.3"/>
</x:worksheet>
</file>