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c3b0dfb44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774c69ee6ee24349"/>
    <x:sheet xmlns:r="http://schemas.openxmlformats.org/officeDocument/2006/relationships" name="01_Dashboard" sheetId="2" r:id="R03c0fe8f46674d1c"/>
    <x:sheet xmlns:r="http://schemas.openxmlformats.org/officeDocument/2006/relationships" name="02_Control_Pruebas" sheetId="3" r:id="R94bf6b5503a544ab"/>
    <x:sheet xmlns:r="http://schemas.openxmlformats.org/officeDocument/2006/relationships" name="03_Matriz_TEC" sheetId="4" r:id="R369b7487a07349d1"/>
    <x:sheet xmlns:r="http://schemas.openxmlformats.org/officeDocument/2006/relationships" name="04_Catalogo_Artifacts" sheetId="5" r:id="Re55010c9540343bc"/>
    <x:sheet xmlns:r="http://schemas.openxmlformats.org/officeDocument/2006/relationships" name="05_Tecnicas_MITRE" sheetId="6" r:id="R55cdde0190694a6b"/>
    <x:sheet xmlns:r="http://schemas.openxmlformats.org/officeDocument/2006/relationships" name="06_Gaps_Custom" sheetId="7" r:id="R8c0f545d11da4d80"/>
    <x:sheet xmlns:r="http://schemas.openxmlformats.org/officeDocument/2006/relationships" name="99_Listas" sheetId="8" r:id="Rafbc284032d04477"/>
    <x:sheet xmlns:r="http://schemas.openxmlformats.org/officeDocument/2006/relationships" name="07_Benignas_FP" sheetId="9" r:id="Rbe18a7c9fd34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0"/>
      <x:color rgb="334155"/>
      <x:name val="Carlito"/>
    </x:font>
    <x:font>
      <x:b/>
      <x:sz val="10"/>
      <x:color rgb="FFFFFF"/>
      <x:name val="Carlito"/>
    </x:font>
    <x:font>
      <x:sz val="10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3A8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1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0F2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9382ee15d4b4d" /><Relationship Type="http://schemas.openxmlformats.org/officeDocument/2006/relationships/theme" Target="/xl/theme/theme1.xml" Id="R79f6bea9bf9b4077" /><Relationship Type="http://schemas.openxmlformats.org/officeDocument/2006/relationships/sharedStrings" Target="/xl/sharedStrings.xml" Id="R6af51c0af8ca4c8f" /><Relationship Type="http://schemas.openxmlformats.org/officeDocument/2006/relationships/worksheet" Target="/xl/worksheets/sheet1.xml" Id="R774c69ee6ee24349" /><Relationship Type="http://schemas.openxmlformats.org/officeDocument/2006/relationships/worksheet" Target="/xl/worksheets/sheet2.xml" Id="R03c0fe8f46674d1c" /><Relationship Type="http://schemas.openxmlformats.org/officeDocument/2006/relationships/worksheet" Target="/xl/worksheets/sheet3.xml" Id="R94bf6b5503a544ab" /><Relationship Type="http://schemas.openxmlformats.org/officeDocument/2006/relationships/worksheet" Target="/xl/worksheets/sheet4.xml" Id="R369b7487a07349d1" /><Relationship Type="http://schemas.openxmlformats.org/officeDocument/2006/relationships/worksheet" Target="/xl/worksheets/sheet5.xml" Id="Re55010c9540343bc" /><Relationship Type="http://schemas.openxmlformats.org/officeDocument/2006/relationships/worksheet" Target="/xl/worksheets/sheet6.xml" Id="R55cdde0190694a6b" /><Relationship Type="http://schemas.openxmlformats.org/officeDocument/2006/relationships/worksheet" Target="/xl/worksheets/sheet7.xml" Id="R8c0f545d11da4d80" /><Relationship Type="http://schemas.openxmlformats.org/officeDocument/2006/relationships/worksheet" Target="/xl/worksheets/sheet8.xml" Id="Rafbc284032d04477" /><Relationship Type="http://schemas.openxmlformats.org/officeDocument/2006/relationships/worksheet" Target="/xl/worksheets/sheet9.xml" Id="Rbe18a7c9fd3449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368680c4aa49de" /><Relationship Type="http://schemas.openxmlformats.org/officeDocument/2006/relationships/chart" Target="/xl/drawings/charts/chart2.xml" Id="R319c6db78e8c43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Pruebas por fase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'01_Dashboard'!$A$16:$A$20</c:f>
              <c:strCache>
                <c:ptCount val="0"/>
              </c:strCache>
            </c:strRef>
          </c:cat>
          <c:val>
            <c:numRef>
              <c:f>'01_Dashboard'!$B$16:$B$20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Completadas</c:v>
          </c:tx>
          <c:cat>
            <c:strRef>
              <c:f>'01_Dashboard'!$A$16:$A$20</c:f>
              <c:strCache>
                <c:ptCount val="0"/>
              </c:strCache>
            </c:strRef>
          </c:cat>
          <c:val>
            <c:numRef>
              <c:f>'01_Dashboard'!$C$16:$C$20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Pendientes</c:v>
          </c:tx>
          <c:cat>
            <c:strRef>
              <c:f>'01_Dashboard'!$A$16:$A$20</c:f>
              <c:strCache>
                <c:ptCount val="0"/>
              </c:strCache>
            </c:strRef>
          </c:cat>
          <c:val>
            <c:numRef>
              <c:f>'01_Dashboard'!$D$16:$D$20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Resultado de detección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'01_Dashboard'!$I$13:$I$16</c:f>
              <c:strCache>
                <c:ptCount val="0"/>
              </c:strCache>
            </c:strRef>
          </c:cat>
          <c:val>
            <c:numRef>
              <c:f>'01_Dashboard'!$J$13:$J$16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368680c4aa49de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9c6db78e8c43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Guia_Pasos" displayName="tbl_Guia_Pasos" ref="A8:D14" headerRowCount="1">
  <x:tableColumns count="4">
    <x:tableColumn id="1" name="Paso"/>
    <x:tableColumn id="2" name="Acción"/>
    <x:tableColumn id="3" name="Resultado esperado"/>
    <x:tableColumn id="4" name="Hoja donde registrar"/>
  </x:tableColumns>
  <x:tableStyleInfo name="TableStyleMedium2" showRowStripes="1"/>
</x:table>
</file>

<file path=xl/tables/table2.xml><?xml version="1.0" encoding="utf-8"?>
<x:table xmlns:x="http://schemas.openxmlformats.org/spreadsheetml/2006/main" id="2" name="tbl_Guia_Criterios" displayName="tbl_Guia_Criterios" ref="A17:C22" headerRowCount="1">
  <x:tableColumns count="3">
    <x:tableColumn id="1" name="Campo"/>
    <x:tableColumn id="2" name="Valor"/>
    <x:tableColumn id="3" name="Criterio"/>
  </x:tableColumns>
  <x:tableStyleInfo name="TableStyleMedium2" showRowStripes="1"/>
</x:table>
</file>

<file path=xl/tables/table3.xml><?xml version="1.0" encoding="utf-8"?>
<x:table xmlns:x="http://schemas.openxmlformats.org/spreadsheetml/2006/main" id="8" name="tbl_Dashboard_Fases" displayName="tbl_Dashboard_Fases" ref="A15:G20" headerRowCount="1">
  <x:tableColumns count="7">
    <x:tableColumn id="1" name="Fase"/>
    <x:tableColumn id="2" name="Total"/>
    <x:tableColumn id="3" name="Completadas"/>
    <x:tableColumn id="4" name="Pendientes"/>
    <x:tableColumn id="5" name="Detecta Sí"/>
    <x:tableColumn id="6" name="Parcial"/>
    <x:tableColumn id="7" name="No"/>
  </x:tableColumns>
  <x:tableStyleInfo name="TableStyleMedium2" showRowStripes="1"/>
</x:table>
</file>

<file path=xl/tables/table4.xml><?xml version="1.0" encoding="utf-8"?>
<x:table xmlns:x="http://schemas.openxmlformats.org/spreadsheetml/2006/main" id="5" name="tbl_Control_Pruebas" displayName="tbl_Control_Pruebas" ref="A4:AF51" headerRowCount="1">
  <x:tableColumns count="32">
    <x:tableColumn id="1" name="ID_Prueba"/>
    <x:tableColumn id="2" name="Orden"/>
    <x:tableColumn id="3" name="Fase"/>
    <x:tableColumn id="4" name="Perfil"/>
    <x:tableColumn id="5" name="Prioridad"/>
    <x:tableColumn id="6" name="Artifact_Publico"/>
    <x:tableColumn id="7" name="Tipo"/>
    <x:tableColumn id="8" name="Modo"/>
    <x:tableColumn id="9" name="TEC"/>
    <x:tableColumn id="10" name="MITRE_ID"/>
    <x:tableColumn id="11" name="Táctica"/>
    <x:tableColumn id="12" name="Técnica"/>
    <x:tableColumn id="13" name="Objetivo de la prueba"/>
    <x:tableColumn id="14" name="Configuración / filtro"/>
    <x:tableColumn id="15" name="Evidencia esperada"/>
    <x:tableColumn id="16" name="Estado"/>
    <x:tableColumn id="17" name="Importado/Disponible"/>
    <x:tableColumn id="18" name="Activado/Ejecutado"/>
    <x:tableColumn id="19" name="Técnica ejecutada"/>
    <x:tableColumn id="20" name="Evento base visto"/>
    <x:tableColumn id="21" name="Detección"/>
    <x:tableColumn id="22" name="Calidad detección"/>
    <x:tableColumn id="23" name="Severity/Level"/>
    <x:tableColumn id="24" name="Regla/Title"/>
    <x:tableColumn id="25" name="EventID/Channel"/>
    <x:tableColumn id="26" name="Campos útiles"/>
    <x:tableColumn id="27" name="FP_Riesgo"/>
    <x:tableColumn id="28" name="Custom necesario"/>
    <x:tableColumn id="29" name="Evidencia guardada"/>
    <x:tableColumn id="30" name="Conclusión operativa"/>
    <x:tableColumn id="31" name="Siguiente acción"/>
    <x:tableColumn id="32" name="Notas"/>
  </x:tableColumns>
  <x:tableStyleInfo name="TableStyleMedium2" showRowStripes="1"/>
</x:table>
</file>

<file path=xl/tables/table5.xml><?xml version="1.0" encoding="utf-8"?>
<x:table xmlns:x="http://schemas.openxmlformats.org/spreadsheetml/2006/main" id="6" name="tbl_Matriz_TEC" displayName="tbl_Matriz_TEC" ref="A3:M12" headerRowCount="1">
  <x:tableColumns count="13">
    <x:tableColumn id="1" name="TEC"/>
    <x:tableColumn id="2" name="MITRE"/>
    <x:tableColumn id="3" name="Técnica"/>
    <x:tableColumn id="4" name="ProcessCreation"/>
    <x:tableColumn id="5" name="ServiceCreation"/>
    <x:tableColumn id="6" name="SysmonLogForward"/>
    <x:tableColumn id="7" name="Hayabusa.Rules"/>
    <x:tableColumn id="8" name="Hayabusa.Monitoring"/>
    <x:tableColumn id="9" name="Persistence/Triage"/>
    <x:tableColumn id="10" name="Conclusión pública"/>
    <x:tableColumn id="11" name="Custom necesario"/>
    <x:tableColumn id="12" name="Prioridad custom"/>
    <x:tableColumn id="13" name="Notas"/>
  </x:tableColumns>
  <x:tableStyleInfo name="TableStyleMedium2" showRowStripes="1"/>
</x:table>
</file>

<file path=xl/tables/table6.xml><?xml version="1.0" encoding="utf-8"?>
<x:table xmlns:x="http://schemas.openxmlformats.org/spreadsheetml/2006/main" id="4" name="tbl_Catalogo_Artifacts" displayName="tbl_Catalogo_Artifacts" ref="A3:L17" headerRowCount="1">
  <x:tableColumns count="12">
    <x:tableColumn id="1" name="Artifact"/>
    <x:tableColumn id="2" name="Origen"/>
    <x:tableColumn id="3" name="Tipo"/>
    <x:tableColumn id="4" name="Modo recomendado"/>
    <x:tableColumn id="5" name="Perfil"/>
    <x:tableColumn id="6" name="Consumo"/>
    <x:tableColumn id="7" name="Prioridad"/>
    <x:tableColumn id="8" name="Técnicas objetivo"/>
    <x:tableColumn id="9" name="Uso en el TFM"/>
    <x:tableColumn id="10" name="Obtención"/>
    <x:tableColumn id="11" name="URL fuente"/>
    <x:tableColumn id="12" name="Decisión"/>
  </x:tableColumns>
  <x:tableStyleInfo name="TableStyleMedium2" showRowStripes="1"/>
</x:table>
</file>

<file path=xl/tables/table7.xml><?xml version="1.0" encoding="utf-8"?>
<x:table xmlns:x="http://schemas.openxmlformats.org/spreadsheetml/2006/main" id="3" name="tbl_Tecnicas" displayName="tbl_Tecnicas" ref="A3:G12" headerRowCount="1">
  <x:tableColumns count="7">
    <x:tableColumn id="1" name="TEC"/>
    <x:tableColumn id="2" name="MITRE"/>
    <x:tableColumn id="3" name="Técnica"/>
    <x:tableColumn id="4" name="Táctica principal/contextual"/>
    <x:tableColumn id="5" name="Criterio conductual"/>
    <x:tableColumn id="6" name="Fuentes esperadas"/>
    <x:tableColumn id="7" name="Criticidad"/>
  </x:tableColumns>
  <x:tableStyleInfo name="TableStyleMedium2" showRowStripes="1"/>
</x:table>
</file>

<file path=xl/tables/table8.xml><?xml version="1.0" encoding="utf-8"?>
<x:table xmlns:x="http://schemas.openxmlformats.org/spreadsheetml/2006/main" id="7" name="tbl_Gaps_Custom" displayName="tbl_Gaps_Custom" ref="A3:K8" headerRowCount="1">
  <x:tableColumns count="11">
    <x:tableColumn id="1" name="ID_Gap"/>
    <x:tableColumn id="2" name="TEC"/>
    <x:tableColumn id="3" name="Artifact público evaluado"/>
    <x:tableColumn id="4" name="Gap detectado"/>
    <x:tableColumn id="5" name="Impacto"/>
    <x:tableColumn id="6" name="Causa probable"/>
    <x:tableColumn id="7" name="Custom propuesto"/>
    <x:tableColumn id="8" name="Perfil P4-P1"/>
    <x:tableColumn id="9" name="Prioridad"/>
    <x:tableColumn id="10" name="Decisión"/>
    <x:tableColumn id="11" name="Notas"/>
  </x:tableColumns>
  <x:tableStyleInfo name="TableStyleMedium2" showRowStripes="1"/>
</x:table>
</file>

<file path=xl/tables/table9.xml><?xml version="1.0" encoding="utf-8"?>
<x:table xmlns:x="http://schemas.openxmlformats.org/spreadsheetml/2006/main" id="9" name="tbl_Benignas_FP" displayName="tbl_Benignas_FP" ref="A4:L19" headerRowCount="1">
  <x:tableColumns count="12">
    <x:tableColumn id="1" name="ID_OB"/>
    <x:tableColumn id="2" name="Operación benigna"/>
    <x:tableColumn id="3" name="Evidencia host esperada"/>
    <x:tableColumn id="4" name="Código usado / procedimiento"/>
    <x:tableColumn id="5" name="ProcessCreation"/>
    <x:tableColumn id="6" name="SysmonLogForward"/>
    <x:tableColumn id="7" name="Hayabusa.Rules"/>
    <x:tableColumn id="8" name="Hayabusa.Monitoring"/>
    <x:tableColumn id="9" name="FP confirmado"/>
    <x:tableColumn id="10" name="Calidad FP"/>
    <x:tableColumn id="11" name="Custom/tuning necesario"/>
    <x:tableColumn id="12" name="Com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4fffd591f14f0b" /><Relationship Type="http://schemas.openxmlformats.org/officeDocument/2006/relationships/table" Target="/xl/tables/table2.xml" Id="Rf0dff034cf224c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8f2ecf0fdc346c0" /><Relationship Type="http://schemas.openxmlformats.org/officeDocument/2006/relationships/table" Target="/xl/tables/table3.xml" Id="R2223211d3d6147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9d0d1f6dec64a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d863021e78954d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35b9cb0cb7e4d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794eb319f1840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3755ab1c20440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d1babb2171f4b5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4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5" t="str">
        <x:v>Evaluación de artifacts públicos de Velociraptor como HIDS/DFIR</x:v>
      </x:c>
      <x:c r="B1" s="5"/>
      <x:c r="C1" s="5"/>
      <x:c r="D1" s="5"/>
      <x:c r="E1" s="5"/>
      <x:c r="F1" s="5"/>
      <x:c r="G1" s="5"/>
      <x:c r="H1" s="5"/>
    </x:row>
    <x:row r="3" ht="24" customHeight="1">
      <x:c r="A3" s="13" t="str">
        <x:v>Objetivo operativo</x:v>
      </x:c>
      <x:c r="B3" s="13"/>
      <x:c r="C3" s="13"/>
      <x:c r="D3" s="13"/>
      <x:c r="E3" s="13"/>
      <x:c r="F3" s="13"/>
      <x:c r="G3" s="13"/>
      <x:c r="H3" s="13"/>
    </x:row>
    <x:row r="4">
      <x:c r="A4" s="21" t="str">
        <x:v>Validar primero qué ofrecen los artifacts públicos de Velociraptor, Sigma/Hayabusa y artifacts built-in antes de justificar artifacts personalizados P4–P1.</x:v>
      </x:c>
      <x:c r="B4" s="21"/>
      <x:c r="C4" s="21"/>
      <x:c r="D4" s="21"/>
      <x:c r="E4" s="21"/>
      <x:c r="F4" s="21"/>
      <x:c r="G4" s="21"/>
      <x:c r="H4" s="21"/>
    </x:row>
    <x:row r="5">
      <x:c r="A5" s="21"/>
      <x:c r="B5" s="21"/>
      <x:c r="C5" s="21"/>
      <x:c r="D5" s="21"/>
      <x:c r="E5" s="21"/>
      <x:c r="F5" s="21"/>
      <x:c r="G5" s="21"/>
      <x:c r="H5" s="21"/>
    </x:row>
    <x:row r="7" ht="24" customHeight="1">
      <x:c r="A7" s="13" t="str">
        <x:v>Orden de ejecución</x:v>
      </x:c>
      <x:c r="B7" s="13"/>
      <x:c r="C7" s="13"/>
      <x:c r="D7" s="13"/>
      <x:c r="E7" s="13"/>
      <x:c r="F7" s="13"/>
      <x:c r="G7" s="13"/>
      <x:c r="H7" s="13"/>
    </x:row>
    <x:row r="8" ht="32" customHeight="1">
      <x:c r="A8" s="30" t="str">
        <x:v>Paso</x:v>
      </x:c>
      <x:c r="B8" s="30" t="str">
        <x:v>Acción</x:v>
      </x:c>
      <x:c r="C8" s="30" t="str">
        <x:v>Resultado esperado</x:v>
      </x:c>
      <x:c r="D8" s="30" t="str">
        <x:v>Hoja donde registrar</x:v>
      </x:c>
    </x:row>
    <x:row r="9">
      <x:c r="A9" s="38" t="n">
        <x:v>1</x:v>
      </x:c>
      <x:c r="B9" s="38" t="str">
        <x:v>Activar built-in básicos: ProcessCreation, ServiceCreation y SysmonLogForward.</x:v>
      </x:c>
      <x:c r="C9" s="38" t="str">
        <x:v>Visibilidad host-based inicial.</x:v>
      </x:c>
      <x:c r="D9" s="38" t="str">
        <x:v>02_Control_Pruebas</x:v>
      </x:c>
    </x:row>
    <x:row r="10">
      <x:c r="A10" s="38" t="n">
        <x:v>2</x:v>
      </x:c>
      <x:c r="B10" s="38" t="str">
        <x:v>Ejecutar TEC-001 a TEC-009 una a una.</x:v>
      </x:c>
      <x:c r="C10" s="38" t="str">
        <x:v>Evidencia de proceso, servicio o Sysmon.</x:v>
      </x:c>
      <x:c r="D10" s="38" t="str">
        <x:v>02_Control_Pruebas</x:v>
      </x:c>
    </x:row>
    <x:row r="11">
      <x:c r="A11" s="38" t="n">
        <x:v>3</x:v>
      </x:c>
      <x:c r="B11" s="38" t="str">
        <x:v>Ejecutar Windows.Hayabusa.Rules tras cada técnica.</x:v>
      </x:c>
      <x:c r="C11" s="38" t="str">
        <x:v>Detección histórica Sigma/Hayabusa.</x:v>
      </x:c>
      <x:c r="D11" s="38" t="str">
        <x:v>02_Control_Pruebas</x:v>
      </x:c>
    </x:row>
    <x:row r="12">
      <x:c r="A12" s="38" t="n">
        <x:v>4</x:v>
      </x:c>
      <x:c r="B12" s="38" t="str">
        <x:v>Activar Windows.Hayabusa.Monitoring y repetir pruebas clave.</x:v>
      </x:c>
      <x:c r="C12" s="38" t="str">
        <x:v>Detección HIDS pública en tiempo real.</x:v>
      </x:c>
      <x:c r="D12" s="38" t="str">
        <x:v>02_Control_Pruebas</x:v>
      </x:c>
    </x:row>
    <x:row r="13">
      <x:c r="A13" s="38" t="n">
        <x:v>5</x:v>
      </x:c>
      <x:c r="B13" s="38" t="str">
        <x:v>Ejecutar artifacts de persistencia solo post-ejecución.</x:v>
      </x:c>
      <x:c r="C13" s="38" t="str">
        <x:v>Evidencia de persistencia, no alerta continua.</x:v>
      </x:c>
      <x:c r="D13" s="38" t="str">
        <x:v>03_Matriz_TEC / 06_Gaps_Custom</x:v>
      </x:c>
    </x:row>
    <x:row r="14">
      <x:c r="A14" s="38" t="n">
        <x:v>6</x:v>
      </x:c>
      <x:c r="B14" s="38" t="str">
        <x:v>Consolidar gaps y decidir artifacts custom.</x:v>
      </x:c>
      <x:c r="C14" s="38" t="str">
        <x:v>Justificación técnica de P4–P1 custom.</x:v>
      </x:c>
      <x:c r="D14" s="38" t="str">
        <x:v>06_Gaps_Custom</x:v>
      </x:c>
    </x:row>
    <x:row r="16" ht="24" customHeight="1">
      <x:c r="A16" s="13" t="str">
        <x:v>Criterios de interpretación</x:v>
      </x:c>
      <x:c r="B16" s="13"/>
      <x:c r="C16" s="13"/>
      <x:c r="D16" s="13"/>
      <x:c r="E16" s="13"/>
      <x:c r="F16" s="13"/>
      <x:c r="G16" s="13"/>
      <x:c r="H16" s="13"/>
    </x:row>
    <x:row r="17" ht="32" customHeight="1">
      <x:c r="A17" s="30" t="str">
        <x:v>Campo</x:v>
      </x:c>
      <x:c r="B17" s="30" t="str">
        <x:v>Valor</x:v>
      </x:c>
      <x:c r="C17" s="30" t="str">
        <x:v>Criterio</x:v>
      </x:c>
    </x:row>
    <x:row r="18">
      <x:c r="A18" s="38" t="str">
        <x:v>Detección</x:v>
      </x:c>
      <x:c r="B18" s="38" t="str">
        <x:v>Sí</x:v>
      </x:c>
      <x:c r="C18" s="38" t="str">
        <x:v>El artifact genera un evento útil y atribuible a la técnica.</x:v>
      </x:c>
    </x:row>
    <x:row r="19">
      <x:c r="A19" s="38" t="str">
        <x:v>Detección</x:v>
      </x:c>
      <x:c r="B19" s="38" t="str">
        <x:v>Parcial</x:v>
      </x:c>
      <x:c r="C19" s="38" t="str">
        <x:v>Ve actividad base, pero no clasifica MITRE/severidad o no tiene calidad SOC suficiente.</x:v>
      </x:c>
    </x:row>
    <x:row r="20">
      <x:c r="A20" s="38" t="str">
        <x:v>Detección</x:v>
      </x:c>
      <x:c r="B20" s="38" t="str">
        <x:v>No</x:v>
      </x:c>
      <x:c r="C20" s="38" t="str">
        <x:v>No genera evento útil pese a existir evidencia en el endpoint.</x:v>
      </x:c>
    </x:row>
    <x:row r="21">
      <x:c r="A21" s="38" t="str">
        <x:v>Custom necesario</x:v>
      </x:c>
      <x:c r="B21" s="38" t="str">
        <x:v>Sí</x:v>
      </x:c>
      <x:c r="C21" s="38" t="str">
        <x:v>La cobertura pública es insuficiente por semántica, FP, consumo, Discord o falta de evidencia.</x:v>
      </x:c>
    </x:row>
    <x:row r="22">
      <x:c r="A22" s="38" t="str">
        <x:v>Custom necesario</x:v>
      </x:c>
      <x:c r="B22" s="38" t="str">
        <x:v>No</x:v>
      </x:c>
      <x:c r="C22" s="38" t="str">
        <x:v>La cobertura pública resulta suficiente para el objetivo de esa técnica.</x:v>
      </x:c>
    </x:row>
  </x:sheetData>
  <x:mergeCells>
    <x:mergeCell ref="A1:H1"/>
    <x:mergeCell ref="A3:H3"/>
    <x:mergeCell ref="A4:H5"/>
    <x:mergeCell ref="A7:H7"/>
    <x:mergeCell ref="A16:H16"/>
  </x:mergeCells>
  <x:pageMargins left="0.7" right="0.7" top="0.75" bottom="0.75" header="0.3" footer="0.3"/>
  <x:tableParts count="2">
    <x:tablePart xmlns:r="http://schemas.openxmlformats.org/officeDocument/2006/relationships" r:id="R2f4fffd591f14f0b"/>
    <x:tablePart xmlns:r="http://schemas.openxmlformats.org/officeDocument/2006/relationships" r:id="Rf0dff034cf224c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18" hidden="0" customWidth="1"/>
    <x:col min="10" max="10" width="44" hidden="0" customWidth="1"/>
    <x:col min="8" max="8" width="4" hidden="0" customWidth="1"/>
    <x:col min="11" max="11" width="12" hidden="0" customWidth="1"/>
    <x:col min="12" max="12" width="12" hidden="0" customWidth="1"/>
  </x:cols>
  <x:sheetData>
    <x:row r="1" ht="34" customHeight="1">
      <x:c r="A1" s="5" t="str">
        <x:v>Dashboard · Evaluación de artifacts públicos Velociraptor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21" t="str">
        <x:v>Estado de avance y resultados agregados de las pruebas públicas.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 ht="24" customHeight="1">
      <x:c r="A4" s="30" t="str">
        <x:v>Métrica</x:v>
      </x:c>
      <x:c r="B4" s="30" t="str">
        <x:v>Valor</x:v>
      </x:c>
      <x:c r="C4" s="30" t="str">
        <x:v>Interpretación</x:v>
      </x:c>
      <x:c r="I4" s="13" t="str">
        <x:v>Siguiente orden de trabajo</x:v>
      </x:c>
      <x:c r="J4" s="13"/>
      <x:c r="K4" s="13"/>
      <x:c r="L4" s="13"/>
    </x:row>
    <x:row r="5">
      <x:c r="A5" s="38" t="str">
        <x:v>Total pruebas</x:v>
      </x:c>
      <x:c r="B5" s="38" t="n">
        <x:f>COUNTA('02_Control_Pruebas'!A5:A51)</x:f>
        <x:v>47</x:v>
      </x:c>
      <x:c r="C5" s="38" t="str">
        <x:v>Número total de pruebas planificadas</x:v>
      </x:c>
      <x:c r="I5" s="38" t="str">
        <x:v>1</x:v>
      </x:c>
      <x:c r="J5" s="38" t="str">
        <x:v>Cerrar F1 built-in básico con ProcessCreation, ServiceCreation y SysmonLogForward.</x:v>
      </x:c>
    </x:row>
    <x:row r="6">
      <x:c r="A6" s="38" t="str">
        <x:v>Completadas</x:v>
      </x:c>
      <x:c r="B6" s="38" t="n">
        <x:f>COUNTIF('02_Control_Pruebas'!P5:P51,"Completada")</x:f>
        <x:v>0</x:v>
      </x:c>
      <x:c r="C6" s="38" t="str">
        <x:v>Pruebas ya cerradas</x:v>
      </x:c>
      <x:c r="I6" s="38" t="str">
        <x:v>2</x:v>
      </x:c>
      <x:c r="J6" s="38" t="str">
        <x:v>Ejecutar Hayabusa.Rules tras cada técnica con Critical/High y repetir Medium si no detecta.</x:v>
      </x:c>
    </x:row>
    <x:row r="7">
      <x:c r="A7" s="38" t="str">
        <x:v>Pendientes</x:v>
      </x:c>
      <x:c r="B7" s="38" t="n">
        <x:f>COUNTIF('02_Control_Pruebas'!P5:P51,"Pendiente")</x:f>
        <x:v>47</x:v>
      </x:c>
      <x:c r="C7" s="38" t="str">
        <x:v>Pruebas aún sin ejecutar</x:v>
      </x:c>
      <x:c r="I7" s="38" t="str">
        <x:v>3</x:v>
      </x:c>
      <x:c r="J7" s="38" t="str">
        <x:v>Activar Hayabusa.Monitoring y repetir pruebas clave.</x:v>
      </x:c>
    </x:row>
    <x:row r="8">
      <x:c r="A8" s="38" t="str">
        <x:v>Detecta Sí</x:v>
      </x:c>
      <x:c r="B8" s="38" t="n">
        <x:f>COUNTIF('02_Control_Pruebas'!U5:U51,"Sí")</x:f>
        <x:v>0</x:v>
      </x:c>
      <x:c r="C8" s="38" t="str">
        <x:v>Detecciones útiles</x:v>
      </x:c>
      <x:c r="I8" s="38" t="str">
        <x:v>4</x:v>
      </x:c>
      <x:c r="J8" s="38" t="str">
        <x:v>Rellenar 03_Matriz_TEC con Sí/Parcial/No y decidir gaps custom.</x:v>
      </x:c>
    </x:row>
    <x:row r="9">
      <x:c r="A9" s="38" t="str">
        <x:v>Detecta Parcial</x:v>
      </x:c>
      <x:c r="B9" s="38" t="n">
        <x:f>COUNTIF('02_Control_Pruebas'!U5:U51,"Parcial")</x:f>
        <x:v>0</x:v>
      </x:c>
      <x:c r="C9" s="38" t="str">
        <x:v>Cobertura incompleta</x:v>
      </x:c>
      <x:c r="I9" s="38" t="str">
        <x:v>5</x:v>
      </x:c>
      <x:c r="J9" s="38" t="str">
        <x:v>No iniciar benchmark ni P1–P4 custom hasta cerrar matriz pública.</x:v>
      </x:c>
    </x:row>
    <x:row r="10">
      <x:c r="A10" s="38" t="str">
        <x:v>No detecta</x:v>
      </x:c>
      <x:c r="B10" s="38" t="n">
        <x:f>COUNTIF('02_Control_Pruebas'!U5:U51,"No")</x:f>
        <x:v>0</x:v>
      </x:c>
      <x:c r="C10" s="38" t="str">
        <x:v>Gaps claros</x:v>
      </x:c>
    </x:row>
    <x:row r="11">
      <x:c r="A11" s="38" t="str">
        <x:v>Custom necesario</x:v>
      </x:c>
      <x:c r="B11" s="38" t="n">
        <x:f>COUNTIF('02_Control_Pruebas'!AB5:AB51,"Sí")</x:f>
        <x:v>0</x:v>
      </x:c>
      <x:c r="C11" s="38" t="str">
        <x:v>Casos que justifican custom</x:v>
      </x:c>
    </x:row>
    <x:row r="12" ht="32" customHeight="1">
      <x:c r="A12" s="38" t="str">
        <x:v>% avance</x:v>
      </x:c>
      <x:c r="B12" s="42" t="n">
        <x:f>IF(B5=0,0,B6/B5)</x:f>
        <x:v>0</x:v>
      </x:c>
      <x:c r="C12" s="38" t="str">
        <x:v>Completadas / total</x:v>
      </x:c>
      <x:c r="I12" s="30" t="str">
        <x:v>Resultado</x:v>
      </x:c>
      <x:c r="J12" s="30" t="str">
        <x:v>Total</x:v>
      </x:c>
    </x:row>
    <x:row r="13">
      <x:c r="A13" s="38" t="str">
        <x:v>Benignas FP pendientes</x:v>
      </x:c>
      <x:c r="B13" s="38" t="n">
        <x:f>COUNTIF('07_Benignas_FP'!I5:I19,"Pendiente")</x:f>
        <x:v>15</x:v>
      </x:c>
      <x:c r="C13" s="38" t="str">
        <x:v>Operaciones benignas aún sin cerrar</x:v>
      </x:c>
      <x:c r="I13" s="38" t="str">
        <x:v>Sí</x:v>
      </x:c>
      <x:c r="J13" s="38" t="n">
        <x:f>COUNTIF('02_Control_Pruebas'!U5:U51,"Sí")</x:f>
        <x:v>0</x:v>
      </x:c>
    </x:row>
    <x:row r="14">
      <x:c r="I14" s="38" t="str">
        <x:v>Parcial</x:v>
      </x:c>
      <x:c r="J14" s="38" t="n">
        <x:f>COUNTIF('02_Control_Pruebas'!U5:U51,"Parcial")</x:f>
        <x:v>0</x:v>
      </x:c>
    </x:row>
    <x:row r="15" ht="32" customHeight="1">
      <x:c r="A15" s="30" t="str">
        <x:v>Fase</x:v>
      </x:c>
      <x:c r="B15" s="30" t="str">
        <x:v>Total</x:v>
      </x:c>
      <x:c r="C15" s="30" t="str">
        <x:v>Completadas</x:v>
      </x:c>
      <x:c r="D15" s="30" t="str">
        <x:v>Pendientes</x:v>
      </x:c>
      <x:c r="E15" s="30" t="str">
        <x:v>Detecta Sí</x:v>
      </x:c>
      <x:c r="F15" s="30" t="str">
        <x:v>Parcial</x:v>
      </x:c>
      <x:c r="G15" s="30" t="str">
        <x:v>No</x:v>
      </x:c>
      <x:c r="I15" s="38" t="str">
        <x:v>No</x:v>
      </x:c>
      <x:c r="J15" s="38" t="n">
        <x:f>COUNTIF('02_Control_Pruebas'!U5:U51,"No")</x:f>
        <x:v>0</x:v>
      </x:c>
    </x:row>
    <x:row r="16">
      <x:c r="A16" s="38" t="str">
        <x:v>F1 Built-in básico</x:v>
      </x:c>
      <x:c r="B16" s="38" t="n">
        <x:f>COUNTIF('02_Control_Pruebas'!C5:C51,A16)</x:f>
        <x:v>16</x:v>
      </x:c>
      <x:c r="C16" s="38" t="n">
        <x:f>COUNTIFS('02_Control_Pruebas'!C5:C51,A16,'02_Control_Pruebas'!P5:P51,"Completada")</x:f>
        <x:v>0</x:v>
      </x:c>
      <x:c r="D16" s="38" t="n">
        <x:f>COUNTIFS('02_Control_Pruebas'!C5:C51,A16,'02_Control_Pruebas'!P5:P51,"Pendiente")</x:f>
        <x:v>16</x:v>
      </x:c>
      <x:c r="E16" s="38" t="n">
        <x:f>COUNTIFS('02_Control_Pruebas'!C5:C51,A16,'02_Control_Pruebas'!U5:U51,"Sí")</x:f>
        <x:v>0</x:v>
      </x:c>
      <x:c r="F16" s="38" t="n">
        <x:f>COUNTIFS('02_Control_Pruebas'!C5:C51,A16,'02_Control_Pruebas'!U5:U51,"Parcial")</x:f>
        <x:v>0</x:v>
      </x:c>
      <x:c r="G16" s="38" t="n">
        <x:f>COUNTIFS('02_Control_Pruebas'!C5:C51,A16,'02_Control_Pruebas'!U5:U51,"No")</x:f>
        <x:v>0</x:v>
      </x:c>
      <x:c r="I16" s="38" t="str">
        <x:v>Pendiente</x:v>
      </x:c>
      <x:c r="J16" s="38" t="n">
        <x:f>COUNTIF('02_Control_Pruebas'!U5:U51,"Pendiente")</x:f>
        <x:v>47</x:v>
      </x:c>
    </x:row>
    <x:row r="17">
      <x:c r="A17" s="38" t="str">
        <x:v>F2 Sigma/Hayabusa histórico</x:v>
      </x:c>
      <x:c r="B17" s="38" t="n">
        <x:f>COUNTIF('02_Control_Pruebas'!C5:C51,A17)</x:f>
        <x:v>9</x:v>
      </x:c>
      <x:c r="C17" s="38" t="n">
        <x:f>COUNTIFS('02_Control_Pruebas'!C5:C51,A17,'02_Control_Pruebas'!P5:P51,"Completada")</x:f>
        <x:v>0</x:v>
      </x:c>
      <x:c r="D17" s="38" t="n">
        <x:f>COUNTIFS('02_Control_Pruebas'!C5:C51,A17,'02_Control_Pruebas'!P5:P51,"Pendiente")</x:f>
        <x:v>9</x:v>
      </x:c>
      <x:c r="E17" s="38" t="n">
        <x:f>COUNTIFS('02_Control_Pruebas'!C5:C51,A17,'02_Control_Pruebas'!U5:U51,"Sí")</x:f>
        <x:v>0</x:v>
      </x:c>
      <x:c r="F17" s="38" t="n">
        <x:f>COUNTIFS('02_Control_Pruebas'!C5:C51,A17,'02_Control_Pruebas'!U5:U51,"Parcial")</x:f>
        <x:v>0</x:v>
      </x:c>
      <x:c r="G17" s="38" t="n">
        <x:f>COUNTIFS('02_Control_Pruebas'!C5:C51,A17,'02_Control_Pruebas'!U5:U51,"No")</x:f>
        <x:v>0</x:v>
      </x:c>
    </x:row>
    <x:row r="18">
      <x:c r="A18" s="38" t="str">
        <x:v>F2 Sigma/Hayabusa tiempo real</x:v>
      </x:c>
      <x:c r="B18" s="38" t="n">
        <x:f>COUNTIF('02_Control_Pruebas'!C5:C51,A18)</x:f>
        <x:v>9</x:v>
      </x:c>
      <x:c r="C18" s="38" t="n">
        <x:f>COUNTIFS('02_Control_Pruebas'!C5:C51,A18,'02_Control_Pruebas'!P5:P51,"Completada")</x:f>
        <x:v>0</x:v>
      </x:c>
      <x:c r="D18" s="38" t="n">
        <x:f>COUNTIFS('02_Control_Pruebas'!C5:C51,A18,'02_Control_Pruebas'!P5:P51,"Pendiente")</x:f>
        <x:v>9</x:v>
      </x:c>
      <x:c r="E18" s="38" t="n">
        <x:f>COUNTIFS('02_Control_Pruebas'!C5:C51,A18,'02_Control_Pruebas'!U5:U51,"Sí")</x:f>
        <x:v>0</x:v>
      </x:c>
      <x:c r="F18" s="38" t="n">
        <x:f>COUNTIFS('02_Control_Pruebas'!C5:C51,A18,'02_Control_Pruebas'!U5:U51,"Parcial")</x:f>
        <x:v>0</x:v>
      </x:c>
      <x:c r="G18" s="38" t="n">
        <x:f>COUNTIFS('02_Control_Pruebas'!C5:C51,A18,'02_Control_Pruebas'!U5:U51,"No")</x:f>
        <x:v>0</x:v>
      </x:c>
    </x:row>
    <x:row r="19">
      <x:c r="A19" s="38" t="str">
        <x:v>F3 Persistencia / triage</x:v>
      </x:c>
      <x:c r="B19" s="38" t="n">
        <x:f>COUNTIF('02_Control_Pruebas'!C5:C51,A19)</x:f>
        <x:v>10</x:v>
      </x:c>
      <x:c r="C19" s="38" t="n">
        <x:f>COUNTIFS('02_Control_Pruebas'!C5:C51,A19,'02_Control_Pruebas'!P5:P51,"Completada")</x:f>
        <x:v>0</x:v>
      </x:c>
      <x:c r="D19" s="38" t="n">
        <x:f>COUNTIFS('02_Control_Pruebas'!C5:C51,A19,'02_Control_Pruebas'!P5:P51,"Pendiente")</x:f>
        <x:v>10</x:v>
      </x:c>
      <x:c r="E19" s="38" t="n">
        <x:f>COUNTIFS('02_Control_Pruebas'!C5:C51,A19,'02_Control_Pruebas'!U5:U51,"Sí")</x:f>
        <x:v>0</x:v>
      </x:c>
      <x:c r="F19" s="38" t="n">
        <x:f>COUNTIFS('02_Control_Pruebas'!C5:C51,A19,'02_Control_Pruebas'!U5:U51,"Parcial")</x:f>
        <x:v>0</x:v>
      </x:c>
      <x:c r="G19" s="38" t="n">
        <x:f>COUNTIFS('02_Control_Pruebas'!C5:C51,A19,'02_Control_Pruebas'!U5:U51,"No")</x:f>
        <x:v>0</x:v>
      </x:c>
    </x:row>
    <x:row r="20">
      <x:c r="A20" s="38" t="str">
        <x:v>F4 Opcional forense alto detalle</x:v>
      </x:c>
      <x:c r="B20" s="38" t="n">
        <x:f>COUNTIF('02_Control_Pruebas'!C5:C51,A20)</x:f>
        <x:v>3</x:v>
      </x:c>
      <x:c r="C20" s="38" t="n">
        <x:f>COUNTIFS('02_Control_Pruebas'!C5:C51,A20,'02_Control_Pruebas'!P5:P51,"Completada")</x:f>
        <x:v>0</x:v>
      </x:c>
      <x:c r="D20" s="38" t="n">
        <x:f>COUNTIFS('02_Control_Pruebas'!C5:C51,A20,'02_Control_Pruebas'!P5:P51,"Pendiente")</x:f>
        <x:v>3</x:v>
      </x:c>
      <x:c r="E20" s="38" t="n">
        <x:f>COUNTIFS('02_Control_Pruebas'!C5:C51,A20,'02_Control_Pruebas'!U5:U51,"Sí")</x:f>
        <x:v>0</x:v>
      </x:c>
      <x:c r="F20" s="38" t="n">
        <x:f>COUNTIFS('02_Control_Pruebas'!C5:C51,A20,'02_Control_Pruebas'!U5:U51,"Parcial")</x:f>
        <x:v>0</x:v>
      </x:c>
      <x:c r="G20" s="38" t="n">
        <x:f>COUNTIFS('02_Control_Pruebas'!C5:C51,A20,'02_Control_Pruebas'!U5:U51,"No")</x:f>
        <x:v>0</x:v>
      </x:c>
    </x:row>
  </x:sheetData>
  <x:mergeCells>
    <x:mergeCell ref="A1:L1"/>
    <x:mergeCell ref="A2:L2"/>
    <x:mergeCell ref="I4:L4"/>
  </x:mergeCells>
  <x:pageMargins left="0.7" right="0.7" top="0.75" bottom="0.75" header="0.3" footer="0.3"/>
  <x:drawing xmlns:r="http://schemas.openxmlformats.org/officeDocument/2006/relationships" r:id="R08f2ecf0fdc346c0"/>
  <x:tableParts count="1">
    <x:tablePart xmlns:r="http://schemas.openxmlformats.org/officeDocument/2006/relationships" r:id="R2223211d3d6147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6" hidden="0" customWidth="1"/>
    <x:col min="4" max="4" width="12" hidden="0" customWidth="1"/>
    <x:col min="5" max="5" width="14" hidden="0" customWidth="1"/>
    <x:col min="6" max="6" width="34" hidden="0" customWidth="1"/>
    <x:col min="7" max="7" width="16" hidden="0" customWidth="1"/>
    <x:col min="8" max="8" width="20" hidden="0" customWidth="1"/>
    <x:col min="9" max="9" width="10" hidden="0" customWidth="1"/>
    <x:col min="10" max="10" width="18" hidden="0" customWidth="1"/>
    <x:col min="11" max="11" width="26" hidden="0" customWidth="1"/>
    <x:col min="12" max="12" width="28" hidden="0" customWidth="1"/>
    <x:col min="13" max="13" width="44" hidden="0" customWidth="1"/>
    <x:col min="14" max="14" width="48" hidden="0" customWidth="1"/>
    <x:col min="15" max="15" width="48" hidden="0" customWidth="1"/>
    <x:col min="16" max="16" width="14" hidden="0" customWidth="1"/>
    <x:col min="17" max="17" width="18" hidden="0" customWidth="1"/>
    <x:col min="18" max="18" width="18" hidden="0" customWidth="1"/>
    <x:col min="19" max="19" width="18" hidden="0" customWidth="1"/>
    <x:col min="20" max="20" width="16" hidden="0" customWidth="1"/>
    <x:col min="21" max="21" width="14" hidden="0" customWidth="1"/>
    <x:col min="22" max="22" width="18" hidden="0" customWidth="1"/>
    <x:col min="23" max="23" width="16" hidden="0" customWidth="1"/>
    <x:col min="24" max="24" width="30" hidden="0" customWidth="1"/>
    <x:col min="25" max="25" width="24" hidden="0" customWidth="1"/>
    <x:col min="26" max="26" width="36" hidden="0" customWidth="1"/>
    <x:col min="27" max="27" width="14" hidden="0" customWidth="1"/>
    <x:col min="28" max="28" width="18" hidden="0" customWidth="1"/>
    <x:col min="29" max="29" width="18" hidden="0" customWidth="1"/>
    <x:col min="30" max="30" width="34" hidden="0" customWidth="1"/>
    <x:col min="31" max="31" width="34" hidden="0" customWidth="1"/>
    <x:col min="32" max="32" width="34" hidden="0" customWidth="1"/>
  </x:cols>
  <x:sheetData>
    <x:row r="1" ht="34" customHeight="1">
      <x:c r="A1" s="5" t="str">
        <x:v>Control operativo de pruebas de artifacts públicos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2">
      <x:c r="A2" s="21" t="str">
        <x:v>Fecha de generación: 2026-05-13 10:04 · Rellenar solo celdas de estado/resultado/evidencia. No ejecutar todos los artifacts a la vez.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</x:row>
    <x:row r="4" ht="32" customHeight="1">
      <x:c r="A4" s="30" t="str">
        <x:v>ID_Prueba</x:v>
      </x:c>
      <x:c r="B4" s="30" t="str">
        <x:v>Orden</x:v>
      </x:c>
      <x:c r="C4" s="30" t="str">
        <x:v>Fase</x:v>
      </x:c>
      <x:c r="D4" s="30" t="str">
        <x:v>Perfil</x:v>
      </x:c>
      <x:c r="E4" s="30" t="str">
        <x:v>Prioridad</x:v>
      </x:c>
      <x:c r="F4" s="30" t="str">
        <x:v>Artifact_Publico</x:v>
      </x:c>
      <x:c r="G4" s="30" t="str">
        <x:v>Tipo</x:v>
      </x:c>
      <x:c r="H4" s="30" t="str">
        <x:v>Modo</x:v>
      </x:c>
      <x:c r="I4" s="30" t="str">
        <x:v>TEC</x:v>
      </x:c>
      <x:c r="J4" s="30" t="str">
        <x:v>MITRE_ID</x:v>
      </x:c>
      <x:c r="K4" s="30" t="str">
        <x:v>Táctica</x:v>
      </x:c>
      <x:c r="L4" s="30" t="str">
        <x:v>Técnica</x:v>
      </x:c>
      <x:c r="M4" s="30" t="str">
        <x:v>Objetivo de la prueba</x:v>
      </x:c>
      <x:c r="N4" s="30" t="str">
        <x:v>Configuración / filtro</x:v>
      </x:c>
      <x:c r="O4" s="30" t="str">
        <x:v>Evidencia esperada</x:v>
      </x:c>
      <x:c r="P4" s="30" t="str">
        <x:v>Estado</x:v>
      </x:c>
      <x:c r="Q4" s="30" t="str">
        <x:v>Importado/Disponible</x:v>
      </x:c>
      <x:c r="R4" s="30" t="str">
        <x:v>Activado/Ejecutado</x:v>
      </x:c>
      <x:c r="S4" s="30" t="str">
        <x:v>Técnica ejecutada</x:v>
      </x:c>
      <x:c r="T4" s="30" t="str">
        <x:v>Evento base visto</x:v>
      </x:c>
      <x:c r="U4" s="30" t="str">
        <x:v>Detección</x:v>
      </x:c>
      <x:c r="V4" s="30" t="str">
        <x:v>Calidad detección</x:v>
      </x:c>
      <x:c r="W4" s="30" t="str">
        <x:v>Severity/Level</x:v>
      </x:c>
      <x:c r="X4" s="30" t="str">
        <x:v>Regla/Title</x:v>
      </x:c>
      <x:c r="Y4" s="30" t="str">
        <x:v>EventID/Channel</x:v>
      </x:c>
      <x:c r="Z4" s="30" t="str">
        <x:v>Campos útiles</x:v>
      </x:c>
      <x:c r="AA4" s="30" t="str">
        <x:v>FP_Riesgo</x:v>
      </x:c>
      <x:c r="AB4" s="30" t="str">
        <x:v>Custom necesario</x:v>
      </x:c>
      <x:c r="AC4" s="30" t="str">
        <x:v>Evidencia guardada</x:v>
      </x:c>
      <x:c r="AD4" s="30" t="str">
        <x:v>Conclusión operativa</x:v>
      </x:c>
      <x:c r="AE4" s="30" t="str">
        <x:v>Siguiente acción</x:v>
      </x:c>
      <x:c r="AF4" s="30" t="str">
        <x:v>Notas</x:v>
      </x:c>
    </x:row>
    <x:row r="5">
      <x:c r="A5" s="38" t="str">
        <x:v>PUB-001</x:v>
      </x:c>
      <x:c r="B5" s="38" t="n">
        <x:v>1</x:v>
      </x:c>
      <x:c r="C5" s="38" t="str">
        <x:v>F1 Built-in básico</x:v>
      </x:c>
      <x:c r="D5" s="38" t="str">
        <x:v>P4 Low</x:v>
      </x:c>
      <x:c r="E5" s="38" t="str">
        <x:v>Obligatoria</x:v>
      </x:c>
      <x:c r="F5" s="38" t="str">
        <x:v>Windows.Events.ProcessCreation</x:v>
      </x:c>
      <x:c r="G5" s="38" t="str">
        <x:v>CLIENT_EVENT</x:v>
      </x:c>
      <x:c r="H5" s="38" t="str">
        <x:v>Client Monitoring</x:v>
      </x:c>
      <x:c r="I5" s="38" t="str">
        <x:v>TEC-001</x:v>
      </x:c>
      <x:c r="J5" s="38" t="str">
        <x:v>T1059.001</x:v>
      </x:c>
      <x:c r="K5" s="38" t="str">
        <x:v>Execution</x:v>
      </x:c>
      <x:c r="L5" s="38" t="str">
        <x:v>PowerShell</x:v>
      </x:c>
      <x:c r="M5" s="38" t="str">
        <x:v>Comprobar visibilidad host-based básica por proceso.</x:v>
      </x:c>
      <x:c r="N5" s="38" t="str">
        <x:v>Client Monitoring activo; recoger Image, CommandLine, ParentImage.</x:v>
      </x:c>
      <x:c r="O5" s="38" t="str">
        <x:v>Evento de creación de proceso asociado a la técnica.</x:v>
      </x:c>
      <x:c r="P5" s="38" t="str">
        <x:v>Pendiente</x:v>
      </x:c>
      <x:c r="Q5" s="38" t="str">
        <x:v>Pendiente</x:v>
      </x:c>
      <x:c r="R5" s="38" t="str">
        <x:v>Pendiente</x:v>
      </x:c>
      <x:c r="S5" s="38" t="str">
        <x:v>Pendiente</x:v>
      </x:c>
      <x:c r="T5" s="38" t="str">
        <x:v>Pendiente</x:v>
      </x:c>
      <x:c r="U5" s="38" t="str">
        <x:v>Pendiente</x:v>
      </x:c>
      <x:c r="V5" s="38" t="str">
        <x:v>Pendiente</x:v>
      </x:c>
      <x:c r="W5" s="38" t="str"/>
      <x:c r="X5" s="38" t="str"/>
      <x:c r="Y5" s="38" t="str"/>
      <x:c r="Z5" s="38" t="str"/>
      <x:c r="AA5" s="38" t="str">
        <x:v>Pendiente</x:v>
      </x:c>
      <x:c r="AB5" s="38" t="str">
        <x:v>Pendiente</x:v>
      </x:c>
      <x:c r="AC5" s="38" t="str">
        <x:v>Pendiente</x:v>
      </x:c>
      <x:c r="AD5" s="38" t="str">
        <x:v>Pendiente</x:v>
      </x:c>
      <x:c r="AE5" s="38" t="str">
        <x:v>Pendiente</x:v>
      </x:c>
      <x:c r="AF5" s="38" t="str"/>
    </x:row>
    <x:row r="6">
      <x:c r="A6" s="38" t="str">
        <x:v>PUB-002</x:v>
      </x:c>
      <x:c r="B6" s="38" t="n">
        <x:v>2</x:v>
      </x:c>
      <x:c r="C6" s="38" t="str">
        <x:v>F1 Built-in básico</x:v>
      </x:c>
      <x:c r="D6" s="38" t="str">
        <x:v>P4 Low</x:v>
      </x:c>
      <x:c r="E6" s="38" t="str">
        <x:v>Obligatoria</x:v>
      </x:c>
      <x:c r="F6" s="38" t="str">
        <x:v>Windows.Events.ProcessCreation</x:v>
      </x:c>
      <x:c r="G6" s="38" t="str">
        <x:v>CLIENT_EVENT</x:v>
      </x:c>
      <x:c r="H6" s="38" t="str">
        <x:v>Client Monitoring</x:v>
      </x:c>
      <x:c r="I6" s="38" t="str">
        <x:v>TEC-002</x:v>
      </x:c>
      <x:c r="J6" s="38" t="str">
        <x:v>T1059.003</x:v>
      </x:c>
      <x:c r="K6" s="38" t="str">
        <x:v>Execution</x:v>
      </x:c>
      <x:c r="L6" s="38" t="str">
        <x:v>Windows Command Shell</x:v>
      </x:c>
      <x:c r="M6" s="38" t="str">
        <x:v>Comprobar visibilidad host-based básica por proceso.</x:v>
      </x:c>
      <x:c r="N6" s="38" t="str">
        <x:v>Client Monitoring activo; recoger Image, CommandLine, ParentImage.</x:v>
      </x:c>
      <x:c r="O6" s="38" t="str">
        <x:v>Evento de creación de proceso asociado a la técnica.</x:v>
      </x:c>
      <x:c r="P6" s="38" t="str">
        <x:v>Pendiente</x:v>
      </x:c>
      <x:c r="Q6" s="38" t="str">
        <x:v>Pendiente</x:v>
      </x:c>
      <x:c r="R6" s="38" t="str">
        <x:v>Pendiente</x:v>
      </x:c>
      <x:c r="S6" s="38" t="str">
        <x:v>Pendiente</x:v>
      </x:c>
      <x:c r="T6" s="38" t="str">
        <x:v>Pendiente</x:v>
      </x:c>
      <x:c r="U6" s="38" t="str">
        <x:v>Pendiente</x:v>
      </x:c>
      <x:c r="V6" s="38" t="str">
        <x:v>Pendiente</x:v>
      </x:c>
      <x:c r="W6" s="38" t="str"/>
      <x:c r="X6" s="38" t="str"/>
      <x:c r="Y6" s="38" t="str"/>
      <x:c r="Z6" s="38" t="str"/>
      <x:c r="AA6" s="38" t="str">
        <x:v>Pendiente</x:v>
      </x:c>
      <x:c r="AB6" s="38" t="str">
        <x:v>Pendiente</x:v>
      </x:c>
      <x:c r="AC6" s="38" t="str">
        <x:v>Pendiente</x:v>
      </x:c>
      <x:c r="AD6" s="38" t="str">
        <x:v>Pendiente</x:v>
      </x:c>
      <x:c r="AE6" s="38" t="str">
        <x:v>Pendiente</x:v>
      </x:c>
      <x:c r="AF6" s="38" t="str"/>
    </x:row>
    <x:row r="7">
      <x:c r="A7" s="38" t="str">
        <x:v>PUB-003</x:v>
      </x:c>
      <x:c r="B7" s="38" t="n">
        <x:v>3</x:v>
      </x:c>
      <x:c r="C7" s="38" t="str">
        <x:v>F1 Built-in básico</x:v>
      </x:c>
      <x:c r="D7" s="38" t="str">
        <x:v>P4 Low</x:v>
      </x:c>
      <x:c r="E7" s="38" t="str">
        <x:v>Obligatoria</x:v>
      </x:c>
      <x:c r="F7" s="38" t="str">
        <x:v>Windows.Events.ProcessCreation</x:v>
      </x:c>
      <x:c r="G7" s="38" t="str">
        <x:v>CLIENT_EVENT</x:v>
      </x:c>
      <x:c r="H7" s="38" t="str">
        <x:v>Client Monitoring</x:v>
      </x:c>
      <x:c r="I7" s="38" t="str">
        <x:v>TEC-003</x:v>
      </x:c>
      <x:c r="J7" s="38" t="str">
        <x:v>T1053.005</x:v>
      </x:c>
      <x:c r="K7" s="38" t="str">
        <x:v>Execution / Persistence / Privilege Escalation</x:v>
      </x:c>
      <x:c r="L7" s="38" t="str">
        <x:v>Scheduled Task</x:v>
      </x:c>
      <x:c r="M7" s="38" t="str">
        <x:v>Comprobar visibilidad host-based básica por proceso.</x:v>
      </x:c>
      <x:c r="N7" s="38" t="str">
        <x:v>Client Monitoring activo; recoger Image, CommandLine, ParentImage.</x:v>
      </x:c>
      <x:c r="O7" s="38" t="str">
        <x:v>Evento de creación de proceso asociado a la técnica.</x:v>
      </x:c>
      <x:c r="P7" s="38" t="str">
        <x:v>Pendiente</x:v>
      </x:c>
      <x:c r="Q7" s="38" t="str">
        <x:v>Pendiente</x:v>
      </x:c>
      <x:c r="R7" s="38" t="str">
        <x:v>Pendiente</x:v>
      </x:c>
      <x:c r="S7" s="38" t="str">
        <x:v>Pendiente</x:v>
      </x:c>
      <x:c r="T7" s="38" t="str">
        <x:v>Pendiente</x:v>
      </x:c>
      <x:c r="U7" s="38" t="str">
        <x:v>Pendiente</x:v>
      </x:c>
      <x:c r="V7" s="38" t="str">
        <x:v>Pendiente</x:v>
      </x:c>
      <x:c r="W7" s="38" t="str"/>
      <x:c r="X7" s="38" t="str"/>
      <x:c r="Y7" s="38" t="str"/>
      <x:c r="Z7" s="38" t="str"/>
      <x:c r="AA7" s="38" t="str">
        <x:v>Pendiente</x:v>
      </x:c>
      <x:c r="AB7" s="38" t="str">
        <x:v>Pendiente</x:v>
      </x:c>
      <x:c r="AC7" s="38" t="str">
        <x:v>Pendiente</x:v>
      </x:c>
      <x:c r="AD7" s="38" t="str">
        <x:v>Pendiente</x:v>
      </x:c>
      <x:c r="AE7" s="38" t="str">
        <x:v>Pendiente</x:v>
      </x:c>
      <x:c r="AF7" s="38" t="str"/>
    </x:row>
    <x:row r="8">
      <x:c r="A8" s="38" t="str">
        <x:v>PUB-004</x:v>
      </x:c>
      <x:c r="B8" s="38" t="n">
        <x:v>4</x:v>
      </x:c>
      <x:c r="C8" s="38" t="str">
        <x:v>F1 Built-in básico</x:v>
      </x:c>
      <x:c r="D8" s="38" t="str">
        <x:v>P4 Low</x:v>
      </x:c>
      <x:c r="E8" s="38" t="str">
        <x:v>Obligatoria</x:v>
      </x:c>
      <x:c r="F8" s="38" t="str">
        <x:v>Windows.Events.ProcessCreation</x:v>
      </x:c>
      <x:c r="G8" s="38" t="str">
        <x:v>CLIENT_EVENT</x:v>
      </x:c>
      <x:c r="H8" s="38" t="str">
        <x:v>Client Monitoring</x:v>
      </x:c>
      <x:c r="I8" s="38" t="str">
        <x:v>TEC-004</x:v>
      </x:c>
      <x:c r="J8" s="38" t="str">
        <x:v>T1547.001</x:v>
      </x:c>
      <x:c r="K8" s="38" t="str">
        <x:v>Persistence / Privilege Escalation</x:v>
      </x:c>
      <x:c r="L8" s="38" t="str">
        <x:v>Registry Run Keys / Startup Folder</x:v>
      </x:c>
      <x:c r="M8" s="38" t="str">
        <x:v>Comprobar visibilidad host-based básica por proceso.</x:v>
      </x:c>
      <x:c r="N8" s="38" t="str">
        <x:v>Client Monitoring activo; recoger Image, CommandLine, ParentImage.</x:v>
      </x:c>
      <x:c r="O8" s="38" t="str">
        <x:v>Evento de creación de proceso asociado a la técnica.</x:v>
      </x:c>
      <x:c r="P8" s="38" t="str">
        <x:v>Pendiente</x:v>
      </x:c>
      <x:c r="Q8" s="38" t="str">
        <x:v>Pendiente</x:v>
      </x:c>
      <x:c r="R8" s="38" t="str">
        <x:v>Pendiente</x:v>
      </x:c>
      <x:c r="S8" s="38" t="str">
        <x:v>Pendiente</x:v>
      </x:c>
      <x:c r="T8" s="38" t="str">
        <x:v>Pendiente</x:v>
      </x:c>
      <x:c r="U8" s="38" t="str">
        <x:v>Pendiente</x:v>
      </x:c>
      <x:c r="V8" s="38" t="str">
        <x:v>Pendiente</x:v>
      </x:c>
      <x:c r="W8" s="38" t="str"/>
      <x:c r="X8" s="38" t="str"/>
      <x:c r="Y8" s="38" t="str"/>
      <x:c r="Z8" s="38" t="str"/>
      <x:c r="AA8" s="38" t="str">
        <x:v>Pendiente</x:v>
      </x:c>
      <x:c r="AB8" s="38" t="str">
        <x:v>Pendiente</x:v>
      </x:c>
      <x:c r="AC8" s="38" t="str">
        <x:v>Pendiente</x:v>
      </x:c>
      <x:c r="AD8" s="38" t="str">
        <x:v>Pendiente</x:v>
      </x:c>
      <x:c r="AE8" s="38" t="str">
        <x:v>Pendiente</x:v>
      </x:c>
      <x:c r="AF8" s="38" t="str"/>
    </x:row>
    <x:row r="9">
      <x:c r="A9" s="38" t="str">
        <x:v>PUB-005</x:v>
      </x:c>
      <x:c r="B9" s="38" t="n">
        <x:v>5</x:v>
      </x:c>
      <x:c r="C9" s="38" t="str">
        <x:v>F1 Built-in básico</x:v>
      </x:c>
      <x:c r="D9" s="38" t="str">
        <x:v>P4 Low</x:v>
      </x:c>
      <x:c r="E9" s="38" t="str">
        <x:v>Obligatoria</x:v>
      </x:c>
      <x:c r="F9" s="38" t="str">
        <x:v>Windows.Events.ProcessCreation</x:v>
      </x:c>
      <x:c r="G9" s="38" t="str">
        <x:v>CLIENT_EVENT</x:v>
      </x:c>
      <x:c r="H9" s="38" t="str">
        <x:v>Client Monitoring</x:v>
      </x:c>
      <x:c r="I9" s="38" t="str">
        <x:v>TEC-005</x:v>
      </x:c>
      <x:c r="J9" s="38" t="str">
        <x:v>T1569.002</x:v>
      </x:c>
      <x:c r="K9" s="38" t="str">
        <x:v>Execution</x:v>
      </x:c>
      <x:c r="L9" s="38" t="str">
        <x:v>Service Execution</x:v>
      </x:c>
      <x:c r="M9" s="38" t="str">
        <x:v>Comprobar visibilidad host-based básica por proceso.</x:v>
      </x:c>
      <x:c r="N9" s="38" t="str">
        <x:v>Client Monitoring activo; recoger Image, CommandLine, ParentImage.</x:v>
      </x:c>
      <x:c r="O9" s="38" t="str">
        <x:v>Evento de creación de proceso asociado a la técnica.</x:v>
      </x:c>
      <x:c r="P9" s="38" t="str">
        <x:v>Pendiente</x:v>
      </x:c>
      <x:c r="Q9" s="38" t="str">
        <x:v>Pendiente</x:v>
      </x:c>
      <x:c r="R9" s="38" t="str">
        <x:v>Pendiente</x:v>
      </x:c>
      <x:c r="S9" s="38" t="str">
        <x:v>Pendiente</x:v>
      </x:c>
      <x:c r="T9" s="38" t="str">
        <x:v>Pendiente</x:v>
      </x:c>
      <x:c r="U9" s="38" t="str">
        <x:v>Pendiente</x:v>
      </x:c>
      <x:c r="V9" s="38" t="str">
        <x:v>Pendiente</x:v>
      </x:c>
      <x:c r="W9" s="38" t="str"/>
      <x:c r="X9" s="38" t="str"/>
      <x:c r="Y9" s="38" t="str"/>
      <x:c r="Z9" s="38" t="str"/>
      <x:c r="AA9" s="38" t="str">
        <x:v>Pendiente</x:v>
      </x:c>
      <x:c r="AB9" s="38" t="str">
        <x:v>Pendiente</x:v>
      </x:c>
      <x:c r="AC9" s="38" t="str">
        <x:v>Pendiente</x:v>
      </x:c>
      <x:c r="AD9" s="38" t="str">
        <x:v>Pendiente</x:v>
      </x:c>
      <x:c r="AE9" s="38" t="str">
        <x:v>Pendiente</x:v>
      </x:c>
      <x:c r="AF9" s="38" t="str"/>
    </x:row>
    <x:row r="10">
      <x:c r="A10" s="38" t="str">
        <x:v>PUB-006</x:v>
      </x:c>
      <x:c r="B10" s="38" t="n">
        <x:v>6</x:v>
      </x:c>
      <x:c r="C10" s="38" t="str">
        <x:v>F1 Built-in básico</x:v>
      </x:c>
      <x:c r="D10" s="38" t="str">
        <x:v>P4 Low</x:v>
      </x:c>
      <x:c r="E10" s="38" t="str">
        <x:v>Obligatoria</x:v>
      </x:c>
      <x:c r="F10" s="38" t="str">
        <x:v>Windows.Events.ProcessCreation</x:v>
      </x:c>
      <x:c r="G10" s="38" t="str">
        <x:v>CLIENT_EVENT</x:v>
      </x:c>
      <x:c r="H10" s="38" t="str">
        <x:v>Client Monitoring</x:v>
      </x:c>
      <x:c r="I10" s="38" t="str">
        <x:v>TEC-006</x:v>
      </x:c>
      <x:c r="J10" s="38" t="str">
        <x:v>T1518.001</x:v>
      </x:c>
      <x:c r="K10" s="38" t="str">
        <x:v>Discovery</x:v>
      </x:c>
      <x:c r="L10" s="38" t="str">
        <x:v>Security Software Discovery</x:v>
      </x:c>
      <x:c r="M10" s="38" t="str">
        <x:v>Comprobar visibilidad host-based básica por proceso.</x:v>
      </x:c>
      <x:c r="N10" s="38" t="str">
        <x:v>Client Monitoring activo; recoger Image, CommandLine, ParentImage.</x:v>
      </x:c>
      <x:c r="O10" s="38" t="str">
        <x:v>Evento de creación de proceso asociado a la técnica.</x:v>
      </x:c>
      <x:c r="P10" s="38" t="str">
        <x:v>Pendiente</x:v>
      </x:c>
      <x:c r="Q10" s="38" t="str">
        <x:v>Pendiente</x:v>
      </x:c>
      <x:c r="R10" s="38" t="str">
        <x:v>Pendiente</x:v>
      </x:c>
      <x:c r="S10" s="38" t="str">
        <x:v>Pendiente</x:v>
      </x:c>
      <x:c r="T10" s="38" t="str">
        <x:v>Pendiente</x:v>
      </x:c>
      <x:c r="U10" s="38" t="str">
        <x:v>Pendiente</x:v>
      </x:c>
      <x:c r="V10" s="38" t="str">
        <x:v>Pendiente</x:v>
      </x:c>
      <x:c r="W10" s="38" t="str"/>
      <x:c r="X10" s="38" t="str"/>
      <x:c r="Y10" s="38" t="str"/>
      <x:c r="Z10" s="38" t="str"/>
      <x:c r="AA10" s="38" t="str">
        <x:v>Pendiente</x:v>
      </x:c>
      <x:c r="AB10" s="38" t="str">
        <x:v>Pendiente</x:v>
      </x:c>
      <x:c r="AC10" s="38" t="str">
        <x:v>Pendiente</x:v>
      </x:c>
      <x:c r="AD10" s="38" t="str">
        <x:v>Pendiente</x:v>
      </x:c>
      <x:c r="AE10" s="38" t="str">
        <x:v>Pendiente</x:v>
      </x:c>
      <x:c r="AF10" s="38" t="str"/>
    </x:row>
    <x:row r="11">
      <x:c r="A11" s="38" t="str">
        <x:v>PUB-007</x:v>
      </x:c>
      <x:c r="B11" s="38" t="n">
        <x:v>7</x:v>
      </x:c>
      <x:c r="C11" s="38" t="str">
        <x:v>F1 Built-in básico</x:v>
      </x:c>
      <x:c r="D11" s="38" t="str">
        <x:v>P4 Low</x:v>
      </x:c>
      <x:c r="E11" s="38" t="str">
        <x:v>Obligatoria</x:v>
      </x:c>
      <x:c r="F11" s="38" t="str">
        <x:v>Windows.Events.ProcessCreation</x:v>
      </x:c>
      <x:c r="G11" s="38" t="str">
        <x:v>CLIENT_EVENT</x:v>
      </x:c>
      <x:c r="H11" s="38" t="str">
        <x:v>Client Monitoring</x:v>
      </x:c>
      <x:c r="I11" s="38" t="str">
        <x:v>TEC-007</x:v>
      </x:c>
      <x:c r="J11" s="38" t="str">
        <x:v>T1486</x:v>
      </x:c>
      <x:c r="K11" s="38" t="str">
        <x:v>Impact</x:v>
      </x:c>
      <x:c r="L11" s="38" t="str">
        <x:v>Data Encrypted for Impact</x:v>
      </x:c>
      <x:c r="M11" s="38" t="str">
        <x:v>Comprobar visibilidad host-based básica por proceso.</x:v>
      </x:c>
      <x:c r="N11" s="38" t="str">
        <x:v>Client Monitoring activo; recoger Image, CommandLine, ParentImage.</x:v>
      </x:c>
      <x:c r="O11" s="38" t="str">
        <x:v>Evento de creación de proceso asociado a la técnica.</x:v>
      </x:c>
      <x:c r="P11" s="38" t="str">
        <x:v>Pendiente</x:v>
      </x:c>
      <x:c r="Q11" s="38" t="str">
        <x:v>Pendiente</x:v>
      </x:c>
      <x:c r="R11" s="38" t="str">
        <x:v>Pendiente</x:v>
      </x:c>
      <x:c r="S11" s="38" t="str">
        <x:v>Pendiente</x:v>
      </x:c>
      <x:c r="T11" s="38" t="str">
        <x:v>Pendiente</x:v>
      </x:c>
      <x:c r="U11" s="38" t="str">
        <x:v>Pendiente</x:v>
      </x:c>
      <x:c r="V11" s="38" t="str">
        <x:v>Pendiente</x:v>
      </x:c>
      <x:c r="W11" s="38" t="str"/>
      <x:c r="X11" s="38" t="str"/>
      <x:c r="Y11" s="38" t="str"/>
      <x:c r="Z11" s="38" t="str"/>
      <x:c r="AA11" s="38" t="str">
        <x:v>Pendiente</x:v>
      </x:c>
      <x:c r="AB11" s="38" t="str">
        <x:v>Pendiente</x:v>
      </x:c>
      <x:c r="AC11" s="38" t="str">
        <x:v>Pendiente</x:v>
      </x:c>
      <x:c r="AD11" s="38" t="str">
        <x:v>Pendiente</x:v>
      </x:c>
      <x:c r="AE11" s="38" t="str">
        <x:v>Pendiente</x:v>
      </x:c>
      <x:c r="AF11" s="38" t="str"/>
    </x:row>
    <x:row r="12">
      <x:c r="A12" s="38" t="str">
        <x:v>PUB-008</x:v>
      </x:c>
      <x:c r="B12" s="38" t="n">
        <x:v>8</x:v>
      </x:c>
      <x:c r="C12" s="38" t="str">
        <x:v>F1 Built-in básico</x:v>
      </x:c>
      <x:c r="D12" s="38" t="str">
        <x:v>P4 Low</x:v>
      </x:c>
      <x:c r="E12" s="38" t="str">
        <x:v>Obligatoria</x:v>
      </x:c>
      <x:c r="F12" s="38" t="str">
        <x:v>Windows.Events.ProcessCreation</x:v>
      </x:c>
      <x:c r="G12" s="38" t="str">
        <x:v>CLIENT_EVENT</x:v>
      </x:c>
      <x:c r="H12" s="38" t="str">
        <x:v>Client Monitoring</x:v>
      </x:c>
      <x:c r="I12" s="38" t="str">
        <x:v>TEC-008</x:v>
      </x:c>
      <x:c r="J12" s="38" t="str">
        <x:v>T1485</x:v>
      </x:c>
      <x:c r="K12" s="38" t="str">
        <x:v>Impact</x:v>
      </x:c>
      <x:c r="L12" s="38" t="str">
        <x:v>Data Destruction</x:v>
      </x:c>
      <x:c r="M12" s="38" t="str">
        <x:v>Comprobar visibilidad host-based básica por proceso.</x:v>
      </x:c>
      <x:c r="N12" s="38" t="str">
        <x:v>Client Monitoring activo; recoger Image, CommandLine, ParentImage.</x:v>
      </x:c>
      <x:c r="O12" s="38" t="str">
        <x:v>Evento de creación de proceso asociado a la técnica.</x:v>
      </x:c>
      <x:c r="P12" s="38" t="str">
        <x:v>Pendiente</x:v>
      </x:c>
      <x:c r="Q12" s="38" t="str">
        <x:v>Pendiente</x:v>
      </x:c>
      <x:c r="R12" s="38" t="str">
        <x:v>Pendiente</x:v>
      </x:c>
      <x:c r="S12" s="38" t="str">
        <x:v>Pendiente</x:v>
      </x:c>
      <x:c r="T12" s="38" t="str">
        <x:v>Pendiente</x:v>
      </x:c>
      <x:c r="U12" s="38" t="str">
        <x:v>Pendiente</x:v>
      </x:c>
      <x:c r="V12" s="38" t="str">
        <x:v>Pendiente</x:v>
      </x:c>
      <x:c r="W12" s="38" t="str"/>
      <x:c r="X12" s="38" t="str"/>
      <x:c r="Y12" s="38" t="str"/>
      <x:c r="Z12" s="38" t="str"/>
      <x:c r="AA12" s="38" t="str">
        <x:v>Pendiente</x:v>
      </x:c>
      <x:c r="AB12" s="38" t="str">
        <x:v>Pendiente</x:v>
      </x:c>
      <x:c r="AC12" s="38" t="str">
        <x:v>Pendiente</x:v>
      </x:c>
      <x:c r="AD12" s="38" t="str">
        <x:v>Pendiente</x:v>
      </x:c>
      <x:c r="AE12" s="38" t="str">
        <x:v>Pendiente</x:v>
      </x:c>
      <x:c r="AF12" s="38" t="str"/>
    </x:row>
    <x:row r="13">
      <x:c r="A13" s="38" t="str">
        <x:v>PUB-009</x:v>
      </x:c>
      <x:c r="B13" s="38" t="n">
        <x:v>9</x:v>
      </x:c>
      <x:c r="C13" s="38" t="str">
        <x:v>F1 Built-in básico</x:v>
      </x:c>
      <x:c r="D13" s="38" t="str">
        <x:v>P4 Low</x:v>
      </x:c>
      <x:c r="E13" s="38" t="str">
        <x:v>Obligatoria</x:v>
      </x:c>
      <x:c r="F13" s="38" t="str">
        <x:v>Windows.Events.ProcessCreation</x:v>
      </x:c>
      <x:c r="G13" s="38" t="str">
        <x:v>CLIENT_EVENT</x:v>
      </x:c>
      <x:c r="H13" s="38" t="str">
        <x:v>Client Monitoring</x:v>
      </x:c>
      <x:c r="I13" s="38" t="str">
        <x:v>TEC-009</x:v>
      </x:c>
      <x:c r="J13" s="38" t="str">
        <x:v>T1074.001 / T1560.001</x:v>
      </x:c>
      <x:c r="K13" s="38" t="str">
        <x:v>Collection</x:v>
      </x:c>
      <x:c r="L13" s="38" t="str">
        <x:v>Staging / Archive Collected Data</x:v>
      </x:c>
      <x:c r="M13" s="38" t="str">
        <x:v>Comprobar visibilidad host-based básica por proceso.</x:v>
      </x:c>
      <x:c r="N13" s="38" t="str">
        <x:v>Client Monitoring activo; recoger Image, CommandLine, ParentImage.</x:v>
      </x:c>
      <x:c r="O13" s="38" t="str">
        <x:v>Evento de creación de proceso asociado a la técnica.</x:v>
      </x:c>
      <x:c r="P13" s="38" t="str">
        <x:v>Pendiente</x:v>
      </x:c>
      <x:c r="Q13" s="38" t="str">
        <x:v>Pendiente</x:v>
      </x:c>
      <x:c r="R13" s="38" t="str">
        <x:v>Pendiente</x:v>
      </x:c>
      <x:c r="S13" s="38" t="str">
        <x:v>Pendiente</x:v>
      </x:c>
      <x:c r="T13" s="38" t="str">
        <x:v>Pendiente</x:v>
      </x:c>
      <x:c r="U13" s="38" t="str">
        <x:v>Pendiente</x:v>
      </x:c>
      <x:c r="V13" s="38" t="str">
        <x:v>Pendiente</x:v>
      </x:c>
      <x:c r="W13" s="38" t="str"/>
      <x:c r="X13" s="38" t="str"/>
      <x:c r="Y13" s="38" t="str"/>
      <x:c r="Z13" s="38" t="str"/>
      <x:c r="AA13" s="38" t="str">
        <x:v>Pendiente</x:v>
      </x:c>
      <x:c r="AB13" s="38" t="str">
        <x:v>Pendiente</x:v>
      </x:c>
      <x:c r="AC13" s="38" t="str">
        <x:v>Pendiente</x:v>
      </x:c>
      <x:c r="AD13" s="38" t="str">
        <x:v>Pendiente</x:v>
      </x:c>
      <x:c r="AE13" s="38" t="str">
        <x:v>Pendiente</x:v>
      </x:c>
      <x:c r="AF13" s="38" t="str"/>
    </x:row>
    <x:row r="14">
      <x:c r="A14" s="38" t="str">
        <x:v>PUB-010</x:v>
      </x:c>
      <x:c r="B14" s="38" t="n">
        <x:v>10</x:v>
      </x:c>
      <x:c r="C14" s="38" t="str">
        <x:v>F1 Built-in básico</x:v>
      </x:c>
      <x:c r="D14" s="38" t="str">
        <x:v>P4 Low</x:v>
      </x:c>
      <x:c r="E14" s="38" t="str">
        <x:v>Obligatoria</x:v>
      </x:c>
      <x:c r="F14" s="38" t="str">
        <x:v>Windows.Events.ServiceCreation</x:v>
      </x:c>
      <x:c r="G14" s="38" t="str">
        <x:v>CLIENT_EVENT</x:v>
      </x:c>
      <x:c r="H14" s="38" t="str">
        <x:v>Client Monitoring</x:v>
      </x:c>
      <x:c r="I14" s="38" t="str">
        <x:v>TEC-005</x:v>
      </x:c>
      <x:c r="J14" s="38" t="str">
        <x:v>T1569.002</x:v>
      </x:c>
      <x:c r="K14" s="38" t="str">
        <x:v>Execution</x:v>
      </x:c>
      <x:c r="L14" s="38" t="str">
        <x:v>Service Execution</x:v>
      </x:c>
      <x:c r="M14" s="38" t="str">
        <x:v>Validar cobertura pública directa de Service Execution.</x:v>
      </x:c>
      <x:c r="N14" s="38" t="str">
        <x:v>Client Monitoring activo; revisar EventID 7045.</x:v>
      </x:c>
      <x:c r="O14" s="38" t="str">
        <x:v>EventID 7045 con ServiceName e ImagePath.</x:v>
      </x:c>
      <x:c r="P14" s="38" t="str">
        <x:v>Pendiente</x:v>
      </x:c>
      <x:c r="Q14" s="38" t="str">
        <x:v>Pendiente</x:v>
      </x:c>
      <x:c r="R14" s="38" t="str">
        <x:v>Pendiente</x:v>
      </x:c>
      <x:c r="S14" s="38" t="str">
        <x:v>Pendiente</x:v>
      </x:c>
      <x:c r="T14" s="38" t="str">
        <x:v>Pendiente</x:v>
      </x:c>
      <x:c r="U14" s="38" t="str">
        <x:v>Pendiente</x:v>
      </x:c>
      <x:c r="V14" s="38" t="str">
        <x:v>Pendiente</x:v>
      </x:c>
      <x:c r="W14" s="38" t="str"/>
      <x:c r="X14" s="38" t="str"/>
      <x:c r="Y14" s="38" t="str"/>
      <x:c r="Z14" s="38" t="str"/>
      <x:c r="AA14" s="38" t="str">
        <x:v>Pendiente</x:v>
      </x:c>
      <x:c r="AB14" s="38" t="str">
        <x:v>Pendiente</x:v>
      </x:c>
      <x:c r="AC14" s="38" t="str">
        <x:v>Pendiente</x:v>
      </x:c>
      <x:c r="AD14" s="38" t="str">
        <x:v>Pendiente</x:v>
      </x:c>
      <x:c r="AE14" s="38" t="str">
        <x:v>Pendiente</x:v>
      </x:c>
      <x:c r="AF14" s="38" t="str"/>
    </x:row>
    <x:row r="15">
      <x:c r="A15" s="38" t="str">
        <x:v>PUB-011</x:v>
      </x:c>
      <x:c r="B15" s="38" t="n">
        <x:v>11</x:v>
      </x:c>
      <x:c r="C15" s="38" t="str">
        <x:v>F1 Built-in básico</x:v>
      </x:c>
      <x:c r="D15" s="38" t="str">
        <x:v>P4/P2</x:v>
      </x:c>
      <x:c r="E15" s="38" t="str">
        <x:v>Obligatoria</x:v>
      </x:c>
      <x:c r="F15" s="38" t="str">
        <x:v>Windows.Sysinternals.SysmonLogForward</x:v>
      </x:c>
      <x:c r="G15" s="38" t="str">
        <x:v>CLIENT_EVENT</x:v>
      </x:c>
      <x:c r="H15" s="38" t="str">
        <x:v>Client Monitoring</x:v>
      </x:c>
      <x:c r="I15" s="38" t="str">
        <x:v>TEC-003</x:v>
      </x:c>
      <x:c r="J15" s="38" t="str">
        <x:v>T1053.005</x:v>
      </x:c>
      <x:c r="K15" s="38" t="str">
        <x:v>Execution / Persistence / Privilege Escalation</x:v>
      </x:c>
      <x:c r="L15" s="38" t="str">
        <x:v>Scheduled Task</x:v>
      </x:c>
      <x:c r="M15" s="38" t="str">
        <x:v>Comprobar evidencia Sysmon pública sin lógica custom.</x:v>
      </x:c>
      <x:c r="N15" s="38" t="str">
        <x:v>Sysmon activo; revisar IDs 1, 3, 11, 12/13/14, 22, 26 según técnica.</x:v>
      </x:c>
      <x:c r="O15" s="38" t="str">
        <x:v>Evento Sysmon útil asociado a proceso, registro, fichero o red.</x:v>
      </x:c>
      <x:c r="P15" s="38" t="str">
        <x:v>Pendiente</x:v>
      </x:c>
      <x:c r="Q15" s="38" t="str">
        <x:v>Pendiente</x:v>
      </x:c>
      <x:c r="R15" s="38" t="str">
        <x:v>Pendiente</x:v>
      </x:c>
      <x:c r="S15" s="38" t="str">
        <x:v>Pendiente</x:v>
      </x:c>
      <x:c r="T15" s="38" t="str">
        <x:v>Pendiente</x:v>
      </x:c>
      <x:c r="U15" s="38" t="str">
        <x:v>Pendiente</x:v>
      </x:c>
      <x:c r="V15" s="38" t="str">
        <x:v>Pendiente</x:v>
      </x:c>
      <x:c r="W15" s="38" t="str"/>
      <x:c r="X15" s="38" t="str"/>
      <x:c r="Y15" s="38" t="str"/>
      <x:c r="Z15" s="38" t="str"/>
      <x:c r="AA15" s="38" t="str">
        <x:v>Pendiente</x:v>
      </x:c>
      <x:c r="AB15" s="38" t="str">
        <x:v>Pendiente</x:v>
      </x:c>
      <x:c r="AC15" s="38" t="str">
        <x:v>Pendiente</x:v>
      </x:c>
      <x:c r="AD15" s="38" t="str">
        <x:v>Pendiente</x:v>
      </x:c>
      <x:c r="AE15" s="38" t="str">
        <x:v>Pendiente</x:v>
      </x:c>
      <x:c r="AF15" s="38" t="str"/>
    </x:row>
    <x:row r="16">
      <x:c r="A16" s="38" t="str">
        <x:v>PUB-012</x:v>
      </x:c>
      <x:c r="B16" s="38" t="n">
        <x:v>12</x:v>
      </x:c>
      <x:c r="C16" s="38" t="str">
        <x:v>F1 Built-in básico</x:v>
      </x:c>
      <x:c r="D16" s="38" t="str">
        <x:v>P4/P2</x:v>
      </x:c>
      <x:c r="E16" s="38" t="str">
        <x:v>Obligatoria</x:v>
      </x:c>
      <x:c r="F16" s="38" t="str">
        <x:v>Windows.Sysinternals.SysmonLogForward</x:v>
      </x:c>
      <x:c r="G16" s="38" t="str">
        <x:v>CLIENT_EVENT</x:v>
      </x:c>
      <x:c r="H16" s="38" t="str">
        <x:v>Client Monitoring</x:v>
      </x:c>
      <x:c r="I16" s="38" t="str">
        <x:v>TEC-004</x:v>
      </x:c>
      <x:c r="J16" s="38" t="str">
        <x:v>T1547.001</x:v>
      </x:c>
      <x:c r="K16" s="38" t="str">
        <x:v>Persistence / Privilege Escalation</x:v>
      </x:c>
      <x:c r="L16" s="38" t="str">
        <x:v>Registry Run Keys / Startup Folder</x:v>
      </x:c>
      <x:c r="M16" s="38" t="str">
        <x:v>Comprobar evidencia Sysmon pública sin lógica custom.</x:v>
      </x:c>
      <x:c r="N16" s="38" t="str">
        <x:v>Sysmon activo; revisar IDs 1, 3, 11, 12/13/14, 22, 26 según técnica.</x:v>
      </x:c>
      <x:c r="O16" s="38" t="str">
        <x:v>Evento Sysmon útil asociado a proceso, registro, fichero o red.</x:v>
      </x:c>
      <x:c r="P16" s="38" t="str">
        <x:v>Pendiente</x:v>
      </x:c>
      <x:c r="Q16" s="38" t="str">
        <x:v>Pendiente</x:v>
      </x:c>
      <x:c r="R16" s="38" t="str">
        <x:v>Pendiente</x:v>
      </x:c>
      <x:c r="S16" s="38" t="str">
        <x:v>Pendiente</x:v>
      </x:c>
      <x:c r="T16" s="38" t="str">
        <x:v>Pendiente</x:v>
      </x:c>
      <x:c r="U16" s="38" t="str">
        <x:v>Pendiente</x:v>
      </x:c>
      <x:c r="V16" s="38" t="str">
        <x:v>Pendiente</x:v>
      </x:c>
      <x:c r="W16" s="38" t="str"/>
      <x:c r="X16" s="38" t="str"/>
      <x:c r="Y16" s="38" t="str"/>
      <x:c r="Z16" s="38" t="str"/>
      <x:c r="AA16" s="38" t="str">
        <x:v>Pendiente</x:v>
      </x:c>
      <x:c r="AB16" s="38" t="str">
        <x:v>Pendiente</x:v>
      </x:c>
      <x:c r="AC16" s="38" t="str">
        <x:v>Pendiente</x:v>
      </x:c>
      <x:c r="AD16" s="38" t="str">
        <x:v>Pendiente</x:v>
      </x:c>
      <x:c r="AE16" s="38" t="str">
        <x:v>Pendiente</x:v>
      </x:c>
      <x:c r="AF16" s="38" t="str"/>
    </x:row>
    <x:row r="17">
      <x:c r="A17" s="38" t="str">
        <x:v>PUB-013</x:v>
      </x:c>
      <x:c r="B17" s="38" t="n">
        <x:v>13</x:v>
      </x:c>
      <x:c r="C17" s="38" t="str">
        <x:v>F1 Built-in básico</x:v>
      </x:c>
      <x:c r="D17" s="38" t="str">
        <x:v>P4/P2</x:v>
      </x:c>
      <x:c r="E17" s="38" t="str">
        <x:v>Obligatoria</x:v>
      </x:c>
      <x:c r="F17" s="38" t="str">
        <x:v>Windows.Sysinternals.SysmonLogForward</x:v>
      </x:c>
      <x:c r="G17" s="38" t="str">
        <x:v>CLIENT_EVENT</x:v>
      </x:c>
      <x:c r="H17" s="38" t="str">
        <x:v>Client Monitoring</x:v>
      </x:c>
      <x:c r="I17" s="38" t="str">
        <x:v>TEC-005</x:v>
      </x:c>
      <x:c r="J17" s="38" t="str">
        <x:v>T1569.002</x:v>
      </x:c>
      <x:c r="K17" s="38" t="str">
        <x:v>Execution</x:v>
      </x:c>
      <x:c r="L17" s="38" t="str">
        <x:v>Service Execution</x:v>
      </x:c>
      <x:c r="M17" s="38" t="str">
        <x:v>Comprobar evidencia Sysmon pública sin lógica custom.</x:v>
      </x:c>
      <x:c r="N17" s="38" t="str">
        <x:v>Sysmon activo; revisar IDs 1, 3, 11, 12/13/14, 22, 26 según técnica.</x:v>
      </x:c>
      <x:c r="O17" s="38" t="str">
        <x:v>Evento Sysmon útil asociado a proceso, registro, fichero o red.</x:v>
      </x:c>
      <x:c r="P17" s="38" t="str">
        <x:v>Pendiente</x:v>
      </x:c>
      <x:c r="Q17" s="38" t="str">
        <x:v>Pendiente</x:v>
      </x:c>
      <x:c r="R17" s="38" t="str">
        <x:v>Pendiente</x:v>
      </x:c>
      <x:c r="S17" s="38" t="str">
        <x:v>Pendiente</x:v>
      </x:c>
      <x:c r="T17" s="38" t="str">
        <x:v>Pendiente</x:v>
      </x:c>
      <x:c r="U17" s="38" t="str">
        <x:v>Pendiente</x:v>
      </x:c>
      <x:c r="V17" s="38" t="str">
        <x:v>Pendiente</x:v>
      </x:c>
      <x:c r="W17" s="38" t="str"/>
      <x:c r="X17" s="38" t="str"/>
      <x:c r="Y17" s="38" t="str"/>
      <x:c r="Z17" s="38" t="str"/>
      <x:c r="AA17" s="38" t="str">
        <x:v>Pendiente</x:v>
      </x:c>
      <x:c r="AB17" s="38" t="str">
        <x:v>Pendiente</x:v>
      </x:c>
      <x:c r="AC17" s="38" t="str">
        <x:v>Pendiente</x:v>
      </x:c>
      <x:c r="AD17" s="38" t="str">
        <x:v>Pendiente</x:v>
      </x:c>
      <x:c r="AE17" s="38" t="str">
        <x:v>Pendiente</x:v>
      </x:c>
      <x:c r="AF17" s="38" t="str"/>
    </x:row>
    <x:row r="18">
      <x:c r="A18" s="38" t="str">
        <x:v>PUB-014</x:v>
      </x:c>
      <x:c r="B18" s="38" t="n">
        <x:v>14</x:v>
      </x:c>
      <x:c r="C18" s="38" t="str">
        <x:v>F1 Built-in básico</x:v>
      </x:c>
      <x:c r="D18" s="38" t="str">
        <x:v>P4/P2</x:v>
      </x:c>
      <x:c r="E18" s="38" t="str">
        <x:v>Obligatoria</x:v>
      </x:c>
      <x:c r="F18" s="38" t="str">
        <x:v>Windows.Sysinternals.SysmonLogForward</x:v>
      </x:c>
      <x:c r="G18" s="38" t="str">
        <x:v>CLIENT_EVENT</x:v>
      </x:c>
      <x:c r="H18" s="38" t="str">
        <x:v>Client Monitoring</x:v>
      </x:c>
      <x:c r="I18" s="38" t="str">
        <x:v>TEC-007</x:v>
      </x:c>
      <x:c r="J18" s="38" t="str">
        <x:v>T1486</x:v>
      </x:c>
      <x:c r="K18" s="38" t="str">
        <x:v>Impact</x:v>
      </x:c>
      <x:c r="L18" s="38" t="str">
        <x:v>Data Encrypted for Impact</x:v>
      </x:c>
      <x:c r="M18" s="38" t="str">
        <x:v>Comprobar evidencia Sysmon pública sin lógica custom.</x:v>
      </x:c>
      <x:c r="N18" s="38" t="str">
        <x:v>Sysmon activo; revisar IDs 1, 3, 11, 12/13/14, 22, 26 según técnica.</x:v>
      </x:c>
      <x:c r="O18" s="38" t="str">
        <x:v>Evento Sysmon útil asociado a proceso, registro, fichero o red.</x:v>
      </x:c>
      <x:c r="P18" s="38" t="str">
        <x:v>Pendiente</x:v>
      </x:c>
      <x:c r="Q18" s="38" t="str">
        <x:v>Pendiente</x:v>
      </x:c>
      <x:c r="R18" s="38" t="str">
        <x:v>Pendiente</x:v>
      </x:c>
      <x:c r="S18" s="38" t="str">
        <x:v>Pendiente</x:v>
      </x:c>
      <x:c r="T18" s="38" t="str">
        <x:v>Pendiente</x:v>
      </x:c>
      <x:c r="U18" s="38" t="str">
        <x:v>Pendiente</x:v>
      </x:c>
      <x:c r="V18" s="38" t="str">
        <x:v>Pendiente</x:v>
      </x:c>
      <x:c r="W18" s="38" t="str"/>
      <x:c r="X18" s="38" t="str"/>
      <x:c r="Y18" s="38" t="str"/>
      <x:c r="Z18" s="38" t="str"/>
      <x:c r="AA18" s="38" t="str">
        <x:v>Pendiente</x:v>
      </x:c>
      <x:c r="AB18" s="38" t="str">
        <x:v>Pendiente</x:v>
      </x:c>
      <x:c r="AC18" s="38" t="str">
        <x:v>Pendiente</x:v>
      </x:c>
      <x:c r="AD18" s="38" t="str">
        <x:v>Pendiente</x:v>
      </x:c>
      <x:c r="AE18" s="38" t="str">
        <x:v>Pendiente</x:v>
      </x:c>
      <x:c r="AF18" s="38" t="str"/>
    </x:row>
    <x:row r="19">
      <x:c r="A19" s="38" t="str">
        <x:v>PUB-015</x:v>
      </x:c>
      <x:c r="B19" s="38" t="n">
        <x:v>15</x:v>
      </x:c>
      <x:c r="C19" s="38" t="str">
        <x:v>F1 Built-in básico</x:v>
      </x:c>
      <x:c r="D19" s="38" t="str">
        <x:v>P4/P2</x:v>
      </x:c>
      <x:c r="E19" s="38" t="str">
        <x:v>Obligatoria</x:v>
      </x:c>
      <x:c r="F19" s="38" t="str">
        <x:v>Windows.Sysinternals.SysmonLogForward</x:v>
      </x:c>
      <x:c r="G19" s="38" t="str">
        <x:v>CLIENT_EVENT</x:v>
      </x:c>
      <x:c r="H19" s="38" t="str">
        <x:v>Client Monitoring</x:v>
      </x:c>
      <x:c r="I19" s="38" t="str">
        <x:v>TEC-008</x:v>
      </x:c>
      <x:c r="J19" s="38" t="str">
        <x:v>T1485</x:v>
      </x:c>
      <x:c r="K19" s="38" t="str">
        <x:v>Impact</x:v>
      </x:c>
      <x:c r="L19" s="38" t="str">
        <x:v>Data Destruction</x:v>
      </x:c>
      <x:c r="M19" s="38" t="str">
        <x:v>Comprobar evidencia Sysmon pública sin lógica custom.</x:v>
      </x:c>
      <x:c r="N19" s="38" t="str">
        <x:v>Sysmon activo; revisar IDs 1, 3, 11, 12/13/14, 22, 26 según técnica.</x:v>
      </x:c>
      <x:c r="O19" s="38" t="str">
        <x:v>Evento Sysmon útil asociado a proceso, registro, fichero o red.</x:v>
      </x:c>
      <x:c r="P19" s="38" t="str">
        <x:v>Pendiente</x:v>
      </x:c>
      <x:c r="Q19" s="38" t="str">
        <x:v>Pendiente</x:v>
      </x:c>
      <x:c r="R19" s="38" t="str">
        <x:v>Pendiente</x:v>
      </x:c>
      <x:c r="S19" s="38" t="str">
        <x:v>Pendiente</x:v>
      </x:c>
      <x:c r="T19" s="38" t="str">
        <x:v>Pendiente</x:v>
      </x:c>
      <x:c r="U19" s="38" t="str">
        <x:v>Pendiente</x:v>
      </x:c>
      <x:c r="V19" s="38" t="str">
        <x:v>Pendiente</x:v>
      </x:c>
      <x:c r="W19" s="38" t="str"/>
      <x:c r="X19" s="38" t="str"/>
      <x:c r="Y19" s="38" t="str"/>
      <x:c r="Z19" s="38" t="str"/>
      <x:c r="AA19" s="38" t="str">
        <x:v>Pendiente</x:v>
      </x:c>
      <x:c r="AB19" s="38" t="str">
        <x:v>Pendiente</x:v>
      </x:c>
      <x:c r="AC19" s="38" t="str">
        <x:v>Pendiente</x:v>
      </x:c>
      <x:c r="AD19" s="38" t="str">
        <x:v>Pendiente</x:v>
      </x:c>
      <x:c r="AE19" s="38" t="str">
        <x:v>Pendiente</x:v>
      </x:c>
      <x:c r="AF19" s="38" t="str"/>
    </x:row>
    <x:row r="20">
      <x:c r="A20" s="38" t="str">
        <x:v>PUB-016</x:v>
      </x:c>
      <x:c r="B20" s="38" t="n">
        <x:v>16</x:v>
      </x:c>
      <x:c r="C20" s="38" t="str">
        <x:v>F1 Built-in básico</x:v>
      </x:c>
      <x:c r="D20" s="38" t="str">
        <x:v>P4/P2</x:v>
      </x:c>
      <x:c r="E20" s="38" t="str">
        <x:v>Obligatoria</x:v>
      </x:c>
      <x:c r="F20" s="38" t="str">
        <x:v>Windows.Sysinternals.SysmonLogForward</x:v>
      </x:c>
      <x:c r="G20" s="38" t="str">
        <x:v>CLIENT_EVENT</x:v>
      </x:c>
      <x:c r="H20" s="38" t="str">
        <x:v>Client Monitoring</x:v>
      </x:c>
      <x:c r="I20" s="38" t="str">
        <x:v>TEC-009</x:v>
      </x:c>
      <x:c r="J20" s="38" t="str">
        <x:v>T1074.001 / T1560.001</x:v>
      </x:c>
      <x:c r="K20" s="38" t="str">
        <x:v>Collection</x:v>
      </x:c>
      <x:c r="L20" s="38" t="str">
        <x:v>Staging / Archive Collected Data</x:v>
      </x:c>
      <x:c r="M20" s="38" t="str">
        <x:v>Comprobar evidencia Sysmon pública sin lógica custom.</x:v>
      </x:c>
      <x:c r="N20" s="38" t="str">
        <x:v>Sysmon activo; revisar IDs 1, 3, 11, 12/13/14, 22, 26 según técnica.</x:v>
      </x:c>
      <x:c r="O20" s="38" t="str">
        <x:v>Evento Sysmon útil asociado a proceso, registro, fichero o red.</x:v>
      </x:c>
      <x:c r="P20" s="38" t="str">
        <x:v>Pendiente</x:v>
      </x:c>
      <x:c r="Q20" s="38" t="str">
        <x:v>Pendiente</x:v>
      </x:c>
      <x:c r="R20" s="38" t="str">
        <x:v>Pendiente</x:v>
      </x:c>
      <x:c r="S20" s="38" t="str">
        <x:v>Pendiente</x:v>
      </x:c>
      <x:c r="T20" s="38" t="str">
        <x:v>Pendiente</x:v>
      </x:c>
      <x:c r="U20" s="38" t="str">
        <x:v>Pendiente</x:v>
      </x:c>
      <x:c r="V20" s="38" t="str">
        <x:v>Pendiente</x:v>
      </x:c>
      <x:c r="W20" s="38" t="str"/>
      <x:c r="X20" s="38" t="str"/>
      <x:c r="Y20" s="38" t="str"/>
      <x:c r="Z20" s="38" t="str"/>
      <x:c r="AA20" s="38" t="str">
        <x:v>Pendiente</x:v>
      </x:c>
      <x:c r="AB20" s="38" t="str">
        <x:v>Pendiente</x:v>
      </x:c>
      <x:c r="AC20" s="38" t="str">
        <x:v>Pendiente</x:v>
      </x:c>
      <x:c r="AD20" s="38" t="str">
        <x:v>Pendiente</x:v>
      </x:c>
      <x:c r="AE20" s="38" t="str">
        <x:v>Pendiente</x:v>
      </x:c>
      <x:c r="AF20" s="38" t="str"/>
    </x:row>
    <x:row r="21">
      <x:c r="A21" s="38" t="str">
        <x:v>PUB-017</x:v>
      </x:c>
      <x:c r="B21" s="38" t="n">
        <x:v>17</x:v>
      </x:c>
      <x:c r="C21" s="38" t="str">
        <x:v>F2 Sigma/Hayabusa histórico</x:v>
      </x:c>
      <x:c r="D21" s="38" t="str">
        <x:v>P3 Medium</x:v>
      </x:c>
      <x:c r="E21" s="38" t="str">
        <x:v>Obligatoria</x:v>
      </x:c>
      <x:c r="F21" s="38" t="str">
        <x:v>Windows.Hayabusa.Rules</x:v>
      </x:c>
      <x:c r="G21" s="38" t="str">
        <x:v>CLIENT/Hunt</x:v>
      </x:c>
      <x:c r="H21" s="38" t="str">
        <x:v>Histórico post-ejecución</x:v>
      </x:c>
      <x:c r="I21" s="38" t="str">
        <x:v>TEC-001</x:v>
      </x:c>
      <x:c r="J21" s="38" t="str">
        <x:v>T1059.001</x:v>
      </x:c>
      <x:c r="K21" s="38" t="str">
        <x:v>Execution</x:v>
      </x:c>
      <x:c r="L21" s="38" t="str">
        <x:v>PowerShell</x:v>
      </x:c>
      <x:c r="M21" s="38" t="str">
        <x:v>Evaluar detección pública MITRE/Sigma sobre logs históricos.</x:v>
      </x:c>
      <x:c r="N21" s="38" t="str">
        <x:v>RuleLevel: Critical/High. Si no hay detección, repetir con Medium. RuleStatus: Stable.</x:v>
      </x:c>
      <x:c r="O21" s="38" t="str">
        <x:v>Regla Hayabusa/Sigma con nivel, título, EventID y posible mapping MITRE.</x:v>
      </x:c>
      <x:c r="P21" s="38" t="str">
        <x:v>Pendiente</x:v>
      </x:c>
      <x:c r="Q21" s="38" t="str">
        <x:v>Pendiente</x:v>
      </x:c>
      <x:c r="R21" s="38" t="str">
        <x:v>Pendiente</x:v>
      </x:c>
      <x:c r="S21" s="38" t="str">
        <x:v>Pendiente</x:v>
      </x:c>
      <x:c r="T21" s="38" t="str">
        <x:v>Pendiente</x:v>
      </x:c>
      <x:c r="U21" s="38" t="str">
        <x:v>Pendiente</x:v>
      </x:c>
      <x:c r="V21" s="38" t="str">
        <x:v>Pendiente</x:v>
      </x:c>
      <x:c r="W21" s="38" t="str"/>
      <x:c r="X21" s="38" t="str"/>
      <x:c r="Y21" s="38" t="str"/>
      <x:c r="Z21" s="38" t="str"/>
      <x:c r="AA21" s="38" t="str">
        <x:v>Pendiente</x:v>
      </x:c>
      <x:c r="AB21" s="38" t="str">
        <x:v>Pendiente</x:v>
      </x:c>
      <x:c r="AC21" s="38" t="str">
        <x:v>Pendiente</x:v>
      </x:c>
      <x:c r="AD21" s="38" t="str">
        <x:v>Pendiente</x:v>
      </x:c>
      <x:c r="AE21" s="38" t="str">
        <x:v>Pendiente</x:v>
      </x:c>
      <x:c r="AF21" s="38" t="str"/>
    </x:row>
    <x:row r="22">
      <x:c r="A22" s="38" t="str">
        <x:v>PUB-018</x:v>
      </x:c>
      <x:c r="B22" s="38" t="n">
        <x:v>18</x:v>
      </x:c>
      <x:c r="C22" s="38" t="str">
        <x:v>F2 Sigma/Hayabusa histórico</x:v>
      </x:c>
      <x:c r="D22" s="38" t="str">
        <x:v>P3 Medium</x:v>
      </x:c>
      <x:c r="E22" s="38" t="str">
        <x:v>Obligatoria</x:v>
      </x:c>
      <x:c r="F22" s="38" t="str">
        <x:v>Windows.Hayabusa.Rules</x:v>
      </x:c>
      <x:c r="G22" s="38" t="str">
        <x:v>CLIENT/Hunt</x:v>
      </x:c>
      <x:c r="H22" s="38" t="str">
        <x:v>Histórico post-ejecución</x:v>
      </x:c>
      <x:c r="I22" s="38" t="str">
        <x:v>TEC-002</x:v>
      </x:c>
      <x:c r="J22" s="38" t="str">
        <x:v>T1059.003</x:v>
      </x:c>
      <x:c r="K22" s="38" t="str">
        <x:v>Execution</x:v>
      </x:c>
      <x:c r="L22" s="38" t="str">
        <x:v>Windows Command Shell</x:v>
      </x:c>
      <x:c r="M22" s="38" t="str">
        <x:v>Evaluar detección pública MITRE/Sigma sobre logs históricos.</x:v>
      </x:c>
      <x:c r="N22" s="38" t="str">
        <x:v>RuleLevel: Critical/High. Si no hay detección, repetir con Medium. RuleStatus: Stable.</x:v>
      </x:c>
      <x:c r="O22" s="38" t="str">
        <x:v>Regla Hayabusa/Sigma con nivel, título, EventID y posible mapping MITRE.</x:v>
      </x:c>
      <x:c r="P22" s="38" t="str">
        <x:v>Pendiente</x:v>
      </x:c>
      <x:c r="Q22" s="38" t="str">
        <x:v>Pendiente</x:v>
      </x:c>
      <x:c r="R22" s="38" t="str">
        <x:v>Pendiente</x:v>
      </x:c>
      <x:c r="S22" s="38" t="str">
        <x:v>Pendiente</x:v>
      </x:c>
      <x:c r="T22" s="38" t="str">
        <x:v>Pendiente</x:v>
      </x:c>
      <x:c r="U22" s="38" t="str">
        <x:v>Pendiente</x:v>
      </x:c>
      <x:c r="V22" s="38" t="str">
        <x:v>Pendiente</x:v>
      </x:c>
      <x:c r="W22" s="38" t="str"/>
      <x:c r="X22" s="38" t="str"/>
      <x:c r="Y22" s="38" t="str"/>
      <x:c r="Z22" s="38" t="str"/>
      <x:c r="AA22" s="38" t="str">
        <x:v>Pendiente</x:v>
      </x:c>
      <x:c r="AB22" s="38" t="str">
        <x:v>Pendiente</x:v>
      </x:c>
      <x:c r="AC22" s="38" t="str">
        <x:v>Pendiente</x:v>
      </x:c>
      <x:c r="AD22" s="38" t="str">
        <x:v>Pendiente</x:v>
      </x:c>
      <x:c r="AE22" s="38" t="str">
        <x:v>Pendiente</x:v>
      </x:c>
      <x:c r="AF22" s="38" t="str"/>
    </x:row>
    <x:row r="23">
      <x:c r="A23" s="38" t="str">
        <x:v>PUB-019</x:v>
      </x:c>
      <x:c r="B23" s="38" t="n">
        <x:v>19</x:v>
      </x:c>
      <x:c r="C23" s="38" t="str">
        <x:v>F2 Sigma/Hayabusa histórico</x:v>
      </x:c>
      <x:c r="D23" s="38" t="str">
        <x:v>P3 Medium</x:v>
      </x:c>
      <x:c r="E23" s="38" t="str">
        <x:v>Obligatoria</x:v>
      </x:c>
      <x:c r="F23" s="38" t="str">
        <x:v>Windows.Hayabusa.Rules</x:v>
      </x:c>
      <x:c r="G23" s="38" t="str">
        <x:v>CLIENT/Hunt</x:v>
      </x:c>
      <x:c r="H23" s="38" t="str">
        <x:v>Histórico post-ejecución</x:v>
      </x:c>
      <x:c r="I23" s="38" t="str">
        <x:v>TEC-003</x:v>
      </x:c>
      <x:c r="J23" s="38" t="str">
        <x:v>T1053.005</x:v>
      </x:c>
      <x:c r="K23" s="38" t="str">
        <x:v>Execution / Persistence / Privilege Escalation</x:v>
      </x:c>
      <x:c r="L23" s="38" t="str">
        <x:v>Scheduled Task</x:v>
      </x:c>
      <x:c r="M23" s="38" t="str">
        <x:v>Evaluar detección pública MITRE/Sigma sobre logs históricos.</x:v>
      </x:c>
      <x:c r="N23" s="38" t="str">
        <x:v>RuleLevel: Critical/High. Si no hay detección, repetir con Medium. RuleStatus: Stable.</x:v>
      </x:c>
      <x:c r="O23" s="38" t="str">
        <x:v>Regla Hayabusa/Sigma con nivel, título, EventID y posible mapping MITRE.</x:v>
      </x:c>
      <x:c r="P23" s="38" t="str">
        <x:v>Pendiente</x:v>
      </x:c>
      <x:c r="Q23" s="38" t="str">
        <x:v>Pendiente</x:v>
      </x:c>
      <x:c r="R23" s="38" t="str">
        <x:v>Pendiente</x:v>
      </x:c>
      <x:c r="S23" s="38" t="str">
        <x:v>Pendiente</x:v>
      </x:c>
      <x:c r="T23" s="38" t="str">
        <x:v>Pendiente</x:v>
      </x:c>
      <x:c r="U23" s="38" t="str">
        <x:v>Pendiente</x:v>
      </x:c>
      <x:c r="V23" s="38" t="str">
        <x:v>Pendiente</x:v>
      </x:c>
      <x:c r="W23" s="38" t="str"/>
      <x:c r="X23" s="38" t="str"/>
      <x:c r="Y23" s="38" t="str"/>
      <x:c r="Z23" s="38" t="str"/>
      <x:c r="AA23" s="38" t="str">
        <x:v>Pendiente</x:v>
      </x:c>
      <x:c r="AB23" s="38" t="str">
        <x:v>Pendiente</x:v>
      </x:c>
      <x:c r="AC23" s="38" t="str">
        <x:v>Pendiente</x:v>
      </x:c>
      <x:c r="AD23" s="38" t="str">
        <x:v>Pendiente</x:v>
      </x:c>
      <x:c r="AE23" s="38" t="str">
        <x:v>Pendiente</x:v>
      </x:c>
      <x:c r="AF23" s="38" t="str"/>
    </x:row>
    <x:row r="24">
      <x:c r="A24" s="38" t="str">
        <x:v>PUB-020</x:v>
      </x:c>
      <x:c r="B24" s="38" t="n">
        <x:v>20</x:v>
      </x:c>
      <x:c r="C24" s="38" t="str">
        <x:v>F2 Sigma/Hayabusa histórico</x:v>
      </x:c>
      <x:c r="D24" s="38" t="str">
        <x:v>P3 Medium</x:v>
      </x:c>
      <x:c r="E24" s="38" t="str">
        <x:v>Obligatoria</x:v>
      </x:c>
      <x:c r="F24" s="38" t="str">
        <x:v>Windows.Hayabusa.Rules</x:v>
      </x:c>
      <x:c r="G24" s="38" t="str">
        <x:v>CLIENT/Hunt</x:v>
      </x:c>
      <x:c r="H24" s="38" t="str">
        <x:v>Histórico post-ejecución</x:v>
      </x:c>
      <x:c r="I24" s="38" t="str">
        <x:v>TEC-004</x:v>
      </x:c>
      <x:c r="J24" s="38" t="str">
        <x:v>T1547.001</x:v>
      </x:c>
      <x:c r="K24" s="38" t="str">
        <x:v>Persistence / Privilege Escalation</x:v>
      </x:c>
      <x:c r="L24" s="38" t="str">
        <x:v>Registry Run Keys / Startup Folder</x:v>
      </x:c>
      <x:c r="M24" s="38" t="str">
        <x:v>Evaluar detección pública MITRE/Sigma sobre logs históricos.</x:v>
      </x:c>
      <x:c r="N24" s="38" t="str">
        <x:v>RuleLevel: Critical/High. Si no hay detección, repetir con Medium. RuleStatus: Stable.</x:v>
      </x:c>
      <x:c r="O24" s="38" t="str">
        <x:v>Regla Hayabusa/Sigma con nivel, título, EventID y posible mapping MITRE.</x:v>
      </x:c>
      <x:c r="P24" s="38" t="str">
        <x:v>Pendiente</x:v>
      </x:c>
      <x:c r="Q24" s="38" t="str">
        <x:v>Pendiente</x:v>
      </x:c>
      <x:c r="R24" s="38" t="str">
        <x:v>Pendiente</x:v>
      </x:c>
      <x:c r="S24" s="38" t="str">
        <x:v>Pendiente</x:v>
      </x:c>
      <x:c r="T24" s="38" t="str">
        <x:v>Pendiente</x:v>
      </x:c>
      <x:c r="U24" s="38" t="str">
        <x:v>Pendiente</x:v>
      </x:c>
      <x:c r="V24" s="38" t="str">
        <x:v>Pendiente</x:v>
      </x:c>
      <x:c r="W24" s="38" t="str"/>
      <x:c r="X24" s="38" t="str"/>
      <x:c r="Y24" s="38" t="str"/>
      <x:c r="Z24" s="38" t="str"/>
      <x:c r="AA24" s="38" t="str">
        <x:v>Pendiente</x:v>
      </x:c>
      <x:c r="AB24" s="38" t="str">
        <x:v>Pendiente</x:v>
      </x:c>
      <x:c r="AC24" s="38" t="str">
        <x:v>Pendiente</x:v>
      </x:c>
      <x:c r="AD24" s="38" t="str">
        <x:v>Pendiente</x:v>
      </x:c>
      <x:c r="AE24" s="38" t="str">
        <x:v>Pendiente</x:v>
      </x:c>
      <x:c r="AF24" s="38" t="str"/>
    </x:row>
    <x:row r="25">
      <x:c r="A25" s="38" t="str">
        <x:v>PUB-021</x:v>
      </x:c>
      <x:c r="B25" s="38" t="n">
        <x:v>21</x:v>
      </x:c>
      <x:c r="C25" s="38" t="str">
        <x:v>F2 Sigma/Hayabusa histórico</x:v>
      </x:c>
      <x:c r="D25" s="38" t="str">
        <x:v>P3 Medium</x:v>
      </x:c>
      <x:c r="E25" s="38" t="str">
        <x:v>Obligatoria</x:v>
      </x:c>
      <x:c r="F25" s="38" t="str">
        <x:v>Windows.Hayabusa.Rules</x:v>
      </x:c>
      <x:c r="G25" s="38" t="str">
        <x:v>CLIENT/Hunt</x:v>
      </x:c>
      <x:c r="H25" s="38" t="str">
        <x:v>Histórico post-ejecución</x:v>
      </x:c>
      <x:c r="I25" s="38" t="str">
        <x:v>TEC-005</x:v>
      </x:c>
      <x:c r="J25" s="38" t="str">
        <x:v>T1569.002</x:v>
      </x:c>
      <x:c r="K25" s="38" t="str">
        <x:v>Execution</x:v>
      </x:c>
      <x:c r="L25" s="38" t="str">
        <x:v>Service Execution</x:v>
      </x:c>
      <x:c r="M25" s="38" t="str">
        <x:v>Evaluar detección pública MITRE/Sigma sobre logs históricos.</x:v>
      </x:c>
      <x:c r="N25" s="38" t="str">
        <x:v>RuleLevel: Critical/High. Si no hay detección, repetir con Medium. RuleStatus: Stable.</x:v>
      </x:c>
      <x:c r="O25" s="38" t="str">
        <x:v>Regla Hayabusa/Sigma con nivel, título, EventID y posible mapping MITRE.</x:v>
      </x:c>
      <x:c r="P25" s="38" t="str">
        <x:v>Pendiente</x:v>
      </x:c>
      <x:c r="Q25" s="38" t="str">
        <x:v>Pendiente</x:v>
      </x:c>
      <x:c r="R25" s="38" t="str">
        <x:v>Pendiente</x:v>
      </x:c>
      <x:c r="S25" s="38" t="str">
        <x:v>Pendiente</x:v>
      </x:c>
      <x:c r="T25" s="38" t="str">
        <x:v>Pendiente</x:v>
      </x:c>
      <x:c r="U25" s="38" t="str">
        <x:v>Pendiente</x:v>
      </x:c>
      <x:c r="V25" s="38" t="str">
        <x:v>Pendiente</x:v>
      </x:c>
      <x:c r="W25" s="38" t="str"/>
      <x:c r="X25" s="38" t="str"/>
      <x:c r="Y25" s="38" t="str"/>
      <x:c r="Z25" s="38" t="str"/>
      <x:c r="AA25" s="38" t="str">
        <x:v>Pendiente</x:v>
      </x:c>
      <x:c r="AB25" s="38" t="str">
        <x:v>Pendiente</x:v>
      </x:c>
      <x:c r="AC25" s="38" t="str">
        <x:v>Pendiente</x:v>
      </x:c>
      <x:c r="AD25" s="38" t="str">
        <x:v>Pendiente</x:v>
      </x:c>
      <x:c r="AE25" s="38" t="str">
        <x:v>Pendiente</x:v>
      </x:c>
      <x:c r="AF25" s="38" t="str"/>
    </x:row>
    <x:row r="26">
      <x:c r="A26" s="38" t="str">
        <x:v>PUB-022</x:v>
      </x:c>
      <x:c r="B26" s="38" t="n">
        <x:v>22</x:v>
      </x:c>
      <x:c r="C26" s="38" t="str">
        <x:v>F2 Sigma/Hayabusa histórico</x:v>
      </x:c>
      <x:c r="D26" s="38" t="str">
        <x:v>P3 Medium</x:v>
      </x:c>
      <x:c r="E26" s="38" t="str">
        <x:v>Obligatoria</x:v>
      </x:c>
      <x:c r="F26" s="38" t="str">
        <x:v>Windows.Hayabusa.Rules</x:v>
      </x:c>
      <x:c r="G26" s="38" t="str">
        <x:v>CLIENT/Hunt</x:v>
      </x:c>
      <x:c r="H26" s="38" t="str">
        <x:v>Histórico post-ejecución</x:v>
      </x:c>
      <x:c r="I26" s="38" t="str">
        <x:v>TEC-006</x:v>
      </x:c>
      <x:c r="J26" s="38" t="str">
        <x:v>T1518.001</x:v>
      </x:c>
      <x:c r="K26" s="38" t="str">
        <x:v>Discovery</x:v>
      </x:c>
      <x:c r="L26" s="38" t="str">
        <x:v>Security Software Discovery</x:v>
      </x:c>
      <x:c r="M26" s="38" t="str">
        <x:v>Evaluar detección pública MITRE/Sigma sobre logs históricos.</x:v>
      </x:c>
      <x:c r="N26" s="38" t="str">
        <x:v>RuleLevel: Critical/High. Si no hay detección, repetir con Medium. RuleStatus: Stable.</x:v>
      </x:c>
      <x:c r="O26" s="38" t="str">
        <x:v>Regla Hayabusa/Sigma con nivel, título, EventID y posible mapping MITRE.</x:v>
      </x:c>
      <x:c r="P26" s="38" t="str">
        <x:v>Pendiente</x:v>
      </x:c>
      <x:c r="Q26" s="38" t="str">
        <x:v>Pendiente</x:v>
      </x:c>
      <x:c r="R26" s="38" t="str">
        <x:v>Pendiente</x:v>
      </x:c>
      <x:c r="S26" s="38" t="str">
        <x:v>Pendiente</x:v>
      </x:c>
      <x:c r="T26" s="38" t="str">
        <x:v>Pendiente</x:v>
      </x:c>
      <x:c r="U26" s="38" t="str">
        <x:v>Pendiente</x:v>
      </x:c>
      <x:c r="V26" s="38" t="str">
        <x:v>Pendiente</x:v>
      </x:c>
      <x:c r="W26" s="38" t="str"/>
      <x:c r="X26" s="38" t="str"/>
      <x:c r="Y26" s="38" t="str"/>
      <x:c r="Z26" s="38" t="str"/>
      <x:c r="AA26" s="38" t="str">
        <x:v>Pendiente</x:v>
      </x:c>
      <x:c r="AB26" s="38" t="str">
        <x:v>Pendiente</x:v>
      </x:c>
      <x:c r="AC26" s="38" t="str">
        <x:v>Pendiente</x:v>
      </x:c>
      <x:c r="AD26" s="38" t="str">
        <x:v>Pendiente</x:v>
      </x:c>
      <x:c r="AE26" s="38" t="str">
        <x:v>Pendiente</x:v>
      </x:c>
      <x:c r="AF26" s="38" t="str"/>
    </x:row>
    <x:row r="27">
      <x:c r="A27" s="38" t="str">
        <x:v>PUB-023</x:v>
      </x:c>
      <x:c r="B27" s="38" t="n">
        <x:v>23</x:v>
      </x:c>
      <x:c r="C27" s="38" t="str">
        <x:v>F2 Sigma/Hayabusa histórico</x:v>
      </x:c>
      <x:c r="D27" s="38" t="str">
        <x:v>P3 Medium</x:v>
      </x:c>
      <x:c r="E27" s="38" t="str">
        <x:v>Obligatoria</x:v>
      </x:c>
      <x:c r="F27" s="38" t="str">
        <x:v>Windows.Hayabusa.Rules</x:v>
      </x:c>
      <x:c r="G27" s="38" t="str">
        <x:v>CLIENT/Hunt</x:v>
      </x:c>
      <x:c r="H27" s="38" t="str">
        <x:v>Histórico post-ejecución</x:v>
      </x:c>
      <x:c r="I27" s="38" t="str">
        <x:v>TEC-007</x:v>
      </x:c>
      <x:c r="J27" s="38" t="str">
        <x:v>T1486</x:v>
      </x:c>
      <x:c r="K27" s="38" t="str">
        <x:v>Impact</x:v>
      </x:c>
      <x:c r="L27" s="38" t="str">
        <x:v>Data Encrypted for Impact</x:v>
      </x:c>
      <x:c r="M27" s="38" t="str">
        <x:v>Evaluar detección pública MITRE/Sigma sobre logs históricos.</x:v>
      </x:c>
      <x:c r="N27" s="38" t="str">
        <x:v>RuleLevel: Critical/High. Si no hay detección, repetir con Medium. RuleStatus: Stable.</x:v>
      </x:c>
      <x:c r="O27" s="38" t="str">
        <x:v>Regla Hayabusa/Sigma con nivel, título, EventID y posible mapping MITRE.</x:v>
      </x:c>
      <x:c r="P27" s="38" t="str">
        <x:v>Pendiente</x:v>
      </x:c>
      <x:c r="Q27" s="38" t="str">
        <x:v>Pendiente</x:v>
      </x:c>
      <x:c r="R27" s="38" t="str">
        <x:v>Pendiente</x:v>
      </x:c>
      <x:c r="S27" s="38" t="str">
        <x:v>Pendiente</x:v>
      </x:c>
      <x:c r="T27" s="38" t="str">
        <x:v>Pendiente</x:v>
      </x:c>
      <x:c r="U27" s="38" t="str">
        <x:v>Pendiente</x:v>
      </x:c>
      <x:c r="V27" s="38" t="str">
        <x:v>Pendiente</x:v>
      </x:c>
      <x:c r="W27" s="38" t="str"/>
      <x:c r="X27" s="38" t="str"/>
      <x:c r="Y27" s="38" t="str"/>
      <x:c r="Z27" s="38" t="str"/>
      <x:c r="AA27" s="38" t="str">
        <x:v>Pendiente</x:v>
      </x:c>
      <x:c r="AB27" s="38" t="str">
        <x:v>Pendiente</x:v>
      </x:c>
      <x:c r="AC27" s="38" t="str">
        <x:v>Pendiente</x:v>
      </x:c>
      <x:c r="AD27" s="38" t="str">
        <x:v>Pendiente</x:v>
      </x:c>
      <x:c r="AE27" s="38" t="str">
        <x:v>Pendiente</x:v>
      </x:c>
      <x:c r="AF27" s="38" t="str"/>
    </x:row>
    <x:row r="28">
      <x:c r="A28" s="38" t="str">
        <x:v>PUB-024</x:v>
      </x:c>
      <x:c r="B28" s="38" t="n">
        <x:v>24</x:v>
      </x:c>
      <x:c r="C28" s="38" t="str">
        <x:v>F2 Sigma/Hayabusa histórico</x:v>
      </x:c>
      <x:c r="D28" s="38" t="str">
        <x:v>P3 Medium</x:v>
      </x:c>
      <x:c r="E28" s="38" t="str">
        <x:v>Obligatoria</x:v>
      </x:c>
      <x:c r="F28" s="38" t="str">
        <x:v>Windows.Hayabusa.Rules</x:v>
      </x:c>
      <x:c r="G28" s="38" t="str">
        <x:v>CLIENT/Hunt</x:v>
      </x:c>
      <x:c r="H28" s="38" t="str">
        <x:v>Histórico post-ejecución</x:v>
      </x:c>
      <x:c r="I28" s="38" t="str">
        <x:v>TEC-008</x:v>
      </x:c>
      <x:c r="J28" s="38" t="str">
        <x:v>T1485</x:v>
      </x:c>
      <x:c r="K28" s="38" t="str">
        <x:v>Impact</x:v>
      </x:c>
      <x:c r="L28" s="38" t="str">
        <x:v>Data Destruction</x:v>
      </x:c>
      <x:c r="M28" s="38" t="str">
        <x:v>Evaluar detección pública MITRE/Sigma sobre logs históricos.</x:v>
      </x:c>
      <x:c r="N28" s="38" t="str">
        <x:v>RuleLevel: Critical/High. Si no hay detección, repetir con Medium. RuleStatus: Stable.</x:v>
      </x:c>
      <x:c r="O28" s="38" t="str">
        <x:v>Regla Hayabusa/Sigma con nivel, título, EventID y posible mapping MITRE.</x:v>
      </x:c>
      <x:c r="P28" s="38" t="str">
        <x:v>Pendiente</x:v>
      </x:c>
      <x:c r="Q28" s="38" t="str">
        <x:v>Pendiente</x:v>
      </x:c>
      <x:c r="R28" s="38" t="str">
        <x:v>Pendiente</x:v>
      </x:c>
      <x:c r="S28" s="38" t="str">
        <x:v>Pendiente</x:v>
      </x:c>
      <x:c r="T28" s="38" t="str">
        <x:v>Pendiente</x:v>
      </x:c>
      <x:c r="U28" s="38" t="str">
        <x:v>Pendiente</x:v>
      </x:c>
      <x:c r="V28" s="38" t="str">
        <x:v>Pendiente</x:v>
      </x:c>
      <x:c r="W28" s="38" t="str"/>
      <x:c r="X28" s="38" t="str"/>
      <x:c r="Y28" s="38" t="str"/>
      <x:c r="Z28" s="38" t="str"/>
      <x:c r="AA28" s="38" t="str">
        <x:v>Pendiente</x:v>
      </x:c>
      <x:c r="AB28" s="38" t="str">
        <x:v>Pendiente</x:v>
      </x:c>
      <x:c r="AC28" s="38" t="str">
        <x:v>Pendiente</x:v>
      </x:c>
      <x:c r="AD28" s="38" t="str">
        <x:v>Pendiente</x:v>
      </x:c>
      <x:c r="AE28" s="38" t="str">
        <x:v>Pendiente</x:v>
      </x:c>
      <x:c r="AF28" s="38" t="str"/>
    </x:row>
    <x:row r="29">
      <x:c r="A29" s="38" t="str">
        <x:v>PUB-025</x:v>
      </x:c>
      <x:c r="B29" s="38" t="n">
        <x:v>25</x:v>
      </x:c>
      <x:c r="C29" s="38" t="str">
        <x:v>F2 Sigma/Hayabusa histórico</x:v>
      </x:c>
      <x:c r="D29" s="38" t="str">
        <x:v>P3 Medium</x:v>
      </x:c>
      <x:c r="E29" s="38" t="str">
        <x:v>Obligatoria</x:v>
      </x:c>
      <x:c r="F29" s="38" t="str">
        <x:v>Windows.Hayabusa.Rules</x:v>
      </x:c>
      <x:c r="G29" s="38" t="str">
        <x:v>CLIENT/Hunt</x:v>
      </x:c>
      <x:c r="H29" s="38" t="str">
        <x:v>Histórico post-ejecución</x:v>
      </x:c>
      <x:c r="I29" s="38" t="str">
        <x:v>TEC-009</x:v>
      </x:c>
      <x:c r="J29" s="38" t="str">
        <x:v>T1074.001 / T1560.001</x:v>
      </x:c>
      <x:c r="K29" s="38" t="str">
        <x:v>Collection</x:v>
      </x:c>
      <x:c r="L29" s="38" t="str">
        <x:v>Staging / Archive Collected Data</x:v>
      </x:c>
      <x:c r="M29" s="38" t="str">
        <x:v>Evaluar detección pública MITRE/Sigma sobre logs históricos.</x:v>
      </x:c>
      <x:c r="N29" s="38" t="str">
        <x:v>RuleLevel: Critical/High. Si no hay detección, repetir con Medium. RuleStatus: Stable.</x:v>
      </x:c>
      <x:c r="O29" s="38" t="str">
        <x:v>Regla Hayabusa/Sigma con nivel, título, EventID y posible mapping MITRE.</x:v>
      </x:c>
      <x:c r="P29" s="38" t="str">
        <x:v>Pendiente</x:v>
      </x:c>
      <x:c r="Q29" s="38" t="str">
        <x:v>Pendiente</x:v>
      </x:c>
      <x:c r="R29" s="38" t="str">
        <x:v>Pendiente</x:v>
      </x:c>
      <x:c r="S29" s="38" t="str">
        <x:v>Pendiente</x:v>
      </x:c>
      <x:c r="T29" s="38" t="str">
        <x:v>Pendiente</x:v>
      </x:c>
      <x:c r="U29" s="38" t="str">
        <x:v>Pendiente</x:v>
      </x:c>
      <x:c r="V29" s="38" t="str">
        <x:v>Pendiente</x:v>
      </x:c>
      <x:c r="W29" s="38" t="str"/>
      <x:c r="X29" s="38" t="str"/>
      <x:c r="Y29" s="38" t="str"/>
      <x:c r="Z29" s="38" t="str"/>
      <x:c r="AA29" s="38" t="str">
        <x:v>Pendiente</x:v>
      </x:c>
      <x:c r="AB29" s="38" t="str">
        <x:v>Pendiente</x:v>
      </x:c>
      <x:c r="AC29" s="38" t="str">
        <x:v>Pendiente</x:v>
      </x:c>
      <x:c r="AD29" s="38" t="str">
        <x:v>Pendiente</x:v>
      </x:c>
      <x:c r="AE29" s="38" t="str">
        <x:v>Pendiente</x:v>
      </x:c>
      <x:c r="AF29" s="38" t="str"/>
    </x:row>
    <x:row r="30">
      <x:c r="A30" s="38" t="str">
        <x:v>PUB-026</x:v>
      </x:c>
      <x:c r="B30" s="38" t="n">
        <x:v>26</x:v>
      </x:c>
      <x:c r="C30" s="38" t="str">
        <x:v>F2 Sigma/Hayabusa tiempo real</x:v>
      </x:c>
      <x:c r="D30" s="38" t="str">
        <x:v>P3 Medium</x:v>
      </x:c>
      <x:c r="E30" s="38" t="str">
        <x:v>Obligatoria</x:v>
      </x:c>
      <x:c r="F30" s="38" t="str">
        <x:v>Windows.Hayabusa.Monitoring</x:v>
      </x:c>
      <x:c r="G30" s="38" t="str">
        <x:v>CLIENT_EVENT</x:v>
      </x:c>
      <x:c r="H30" s="38" t="str">
        <x:v>Client Monitoring</x:v>
      </x:c>
      <x:c r="I30" s="38" t="str">
        <x:v>TEC-001</x:v>
      </x:c>
      <x:c r="J30" s="38" t="str">
        <x:v>T1059.001</x:v>
      </x:c>
      <x:c r="K30" s="38" t="str">
        <x:v>Execution</x:v>
      </x:c>
      <x:c r="L30" s="38" t="str">
        <x:v>PowerShell</x:v>
      </x:c>
      <x:c r="M30" s="38" t="str">
        <x:v>Evaluar capacidad HIDS pública en tiempo real.</x:v>
      </x:c>
      <x:c r="N30" s="38" t="str">
        <x:v>RuleLevel: Critical/High. Si no hay detección, repetir con Medium. RuleStatus: Stable.</x:v>
      </x:c>
      <x:c r="O30" s="38" t="str">
        <x:v>Evento en tiempo real con regla, severity y evidencia.</x:v>
      </x:c>
      <x:c r="P30" s="38" t="str">
        <x:v>Pendiente</x:v>
      </x:c>
      <x:c r="Q30" s="38" t="str">
        <x:v>Pendiente</x:v>
      </x:c>
      <x:c r="R30" s="38" t="str">
        <x:v>Pendiente</x:v>
      </x:c>
      <x:c r="S30" s="38" t="str">
        <x:v>Pendiente</x:v>
      </x:c>
      <x:c r="T30" s="38" t="str">
        <x:v>Pendiente</x:v>
      </x:c>
      <x:c r="U30" s="38" t="str">
        <x:v>Pendiente</x:v>
      </x:c>
      <x:c r="V30" s="38" t="str">
        <x:v>Pendiente</x:v>
      </x:c>
      <x:c r="W30" s="38" t="str"/>
      <x:c r="X30" s="38" t="str"/>
      <x:c r="Y30" s="38" t="str"/>
      <x:c r="Z30" s="38" t="str"/>
      <x:c r="AA30" s="38" t="str">
        <x:v>Pendiente</x:v>
      </x:c>
      <x:c r="AB30" s="38" t="str">
        <x:v>Pendiente</x:v>
      </x:c>
      <x:c r="AC30" s="38" t="str">
        <x:v>Pendiente</x:v>
      </x:c>
      <x:c r="AD30" s="38" t="str">
        <x:v>Pendiente</x:v>
      </x:c>
      <x:c r="AE30" s="38" t="str">
        <x:v>Pendiente</x:v>
      </x:c>
      <x:c r="AF30" s="38" t="str"/>
    </x:row>
    <x:row r="31">
      <x:c r="A31" s="38" t="str">
        <x:v>PUB-027</x:v>
      </x:c>
      <x:c r="B31" s="38" t="n">
        <x:v>27</x:v>
      </x:c>
      <x:c r="C31" s="38" t="str">
        <x:v>F2 Sigma/Hayabusa tiempo real</x:v>
      </x:c>
      <x:c r="D31" s="38" t="str">
        <x:v>P3 Medium</x:v>
      </x:c>
      <x:c r="E31" s="38" t="str">
        <x:v>Obligatoria</x:v>
      </x:c>
      <x:c r="F31" s="38" t="str">
        <x:v>Windows.Hayabusa.Monitoring</x:v>
      </x:c>
      <x:c r="G31" s="38" t="str">
        <x:v>CLIENT_EVENT</x:v>
      </x:c>
      <x:c r="H31" s="38" t="str">
        <x:v>Client Monitoring</x:v>
      </x:c>
      <x:c r="I31" s="38" t="str">
        <x:v>TEC-002</x:v>
      </x:c>
      <x:c r="J31" s="38" t="str">
        <x:v>T1059.003</x:v>
      </x:c>
      <x:c r="K31" s="38" t="str">
        <x:v>Execution</x:v>
      </x:c>
      <x:c r="L31" s="38" t="str">
        <x:v>Windows Command Shell</x:v>
      </x:c>
      <x:c r="M31" s="38" t="str">
        <x:v>Evaluar capacidad HIDS pública en tiempo real.</x:v>
      </x:c>
      <x:c r="N31" s="38" t="str">
        <x:v>RuleLevel: Critical/High. Si no hay detección, repetir con Medium. RuleStatus: Stable.</x:v>
      </x:c>
      <x:c r="O31" s="38" t="str">
        <x:v>Evento en tiempo real con regla, severity y evidencia.</x:v>
      </x:c>
      <x:c r="P31" s="38" t="str">
        <x:v>Pendiente</x:v>
      </x:c>
      <x:c r="Q31" s="38" t="str">
        <x:v>Pendiente</x:v>
      </x:c>
      <x:c r="R31" s="38" t="str">
        <x:v>Pendiente</x:v>
      </x:c>
      <x:c r="S31" s="38" t="str">
        <x:v>Pendiente</x:v>
      </x:c>
      <x:c r="T31" s="38" t="str">
        <x:v>Pendiente</x:v>
      </x:c>
      <x:c r="U31" s="38" t="str">
        <x:v>Pendiente</x:v>
      </x:c>
      <x:c r="V31" s="38" t="str">
        <x:v>Pendiente</x:v>
      </x:c>
      <x:c r="W31" s="38" t="str"/>
      <x:c r="X31" s="38" t="str"/>
      <x:c r="Y31" s="38" t="str"/>
      <x:c r="Z31" s="38" t="str"/>
      <x:c r="AA31" s="38" t="str">
        <x:v>Pendiente</x:v>
      </x:c>
      <x:c r="AB31" s="38" t="str">
        <x:v>Pendiente</x:v>
      </x:c>
      <x:c r="AC31" s="38" t="str">
        <x:v>Pendiente</x:v>
      </x:c>
      <x:c r="AD31" s="38" t="str">
        <x:v>Pendiente</x:v>
      </x:c>
      <x:c r="AE31" s="38" t="str">
        <x:v>Pendiente</x:v>
      </x:c>
      <x:c r="AF31" s="38" t="str"/>
    </x:row>
    <x:row r="32">
      <x:c r="A32" s="38" t="str">
        <x:v>PUB-028</x:v>
      </x:c>
      <x:c r="B32" s="38" t="n">
        <x:v>28</x:v>
      </x:c>
      <x:c r="C32" s="38" t="str">
        <x:v>F2 Sigma/Hayabusa tiempo real</x:v>
      </x:c>
      <x:c r="D32" s="38" t="str">
        <x:v>P3 Medium</x:v>
      </x:c>
      <x:c r="E32" s="38" t="str">
        <x:v>Obligatoria</x:v>
      </x:c>
      <x:c r="F32" s="38" t="str">
        <x:v>Windows.Hayabusa.Monitoring</x:v>
      </x:c>
      <x:c r="G32" s="38" t="str">
        <x:v>CLIENT_EVENT</x:v>
      </x:c>
      <x:c r="H32" s="38" t="str">
        <x:v>Client Monitoring</x:v>
      </x:c>
      <x:c r="I32" s="38" t="str">
        <x:v>TEC-003</x:v>
      </x:c>
      <x:c r="J32" s="38" t="str">
        <x:v>T1053.005</x:v>
      </x:c>
      <x:c r="K32" s="38" t="str">
        <x:v>Execution / Persistence / Privilege Escalation</x:v>
      </x:c>
      <x:c r="L32" s="38" t="str">
        <x:v>Scheduled Task</x:v>
      </x:c>
      <x:c r="M32" s="38" t="str">
        <x:v>Evaluar capacidad HIDS pública en tiempo real.</x:v>
      </x:c>
      <x:c r="N32" s="38" t="str">
        <x:v>RuleLevel: Critical/High. Si no hay detección, repetir con Medium. RuleStatus: Stable.</x:v>
      </x:c>
      <x:c r="O32" s="38" t="str">
        <x:v>Evento en tiempo real con regla, severity y evidencia.</x:v>
      </x:c>
      <x:c r="P32" s="38" t="str">
        <x:v>Pendiente</x:v>
      </x:c>
      <x:c r="Q32" s="38" t="str">
        <x:v>Pendiente</x:v>
      </x:c>
      <x:c r="R32" s="38" t="str">
        <x:v>Pendiente</x:v>
      </x:c>
      <x:c r="S32" s="38" t="str">
        <x:v>Pendiente</x:v>
      </x:c>
      <x:c r="T32" s="38" t="str">
        <x:v>Pendiente</x:v>
      </x:c>
      <x:c r="U32" s="38" t="str">
        <x:v>Pendiente</x:v>
      </x:c>
      <x:c r="V32" s="38" t="str">
        <x:v>Pendiente</x:v>
      </x:c>
      <x:c r="W32" s="38" t="str"/>
      <x:c r="X32" s="38" t="str"/>
      <x:c r="Y32" s="38" t="str"/>
      <x:c r="Z32" s="38" t="str"/>
      <x:c r="AA32" s="38" t="str">
        <x:v>Pendiente</x:v>
      </x:c>
      <x:c r="AB32" s="38" t="str">
        <x:v>Pendiente</x:v>
      </x:c>
      <x:c r="AC32" s="38" t="str">
        <x:v>Pendiente</x:v>
      </x:c>
      <x:c r="AD32" s="38" t="str">
        <x:v>Pendiente</x:v>
      </x:c>
      <x:c r="AE32" s="38" t="str">
        <x:v>Pendiente</x:v>
      </x:c>
      <x:c r="AF32" s="38" t="str"/>
    </x:row>
    <x:row r="33">
      <x:c r="A33" s="38" t="str">
        <x:v>PUB-029</x:v>
      </x:c>
      <x:c r="B33" s="38" t="n">
        <x:v>29</x:v>
      </x:c>
      <x:c r="C33" s="38" t="str">
        <x:v>F2 Sigma/Hayabusa tiempo real</x:v>
      </x:c>
      <x:c r="D33" s="38" t="str">
        <x:v>P3 Medium</x:v>
      </x:c>
      <x:c r="E33" s="38" t="str">
        <x:v>Obligatoria</x:v>
      </x:c>
      <x:c r="F33" s="38" t="str">
        <x:v>Windows.Hayabusa.Monitoring</x:v>
      </x:c>
      <x:c r="G33" s="38" t="str">
        <x:v>CLIENT_EVENT</x:v>
      </x:c>
      <x:c r="H33" s="38" t="str">
        <x:v>Client Monitoring</x:v>
      </x:c>
      <x:c r="I33" s="38" t="str">
        <x:v>TEC-004</x:v>
      </x:c>
      <x:c r="J33" s="38" t="str">
        <x:v>T1547.001</x:v>
      </x:c>
      <x:c r="K33" s="38" t="str">
        <x:v>Persistence / Privilege Escalation</x:v>
      </x:c>
      <x:c r="L33" s="38" t="str">
        <x:v>Registry Run Keys / Startup Folder</x:v>
      </x:c>
      <x:c r="M33" s="38" t="str">
        <x:v>Evaluar capacidad HIDS pública en tiempo real.</x:v>
      </x:c>
      <x:c r="N33" s="38" t="str">
        <x:v>RuleLevel: Critical/High. Si no hay detección, repetir con Medium. RuleStatus: Stable.</x:v>
      </x:c>
      <x:c r="O33" s="38" t="str">
        <x:v>Evento en tiempo real con regla, severity y evidencia.</x:v>
      </x:c>
      <x:c r="P33" s="38" t="str">
        <x:v>Pendiente</x:v>
      </x:c>
      <x:c r="Q33" s="38" t="str">
        <x:v>Pendiente</x:v>
      </x:c>
      <x:c r="R33" s="38" t="str">
        <x:v>Pendiente</x:v>
      </x:c>
      <x:c r="S33" s="38" t="str">
        <x:v>Pendiente</x:v>
      </x:c>
      <x:c r="T33" s="38" t="str">
        <x:v>Pendiente</x:v>
      </x:c>
      <x:c r="U33" s="38" t="str">
        <x:v>Pendiente</x:v>
      </x:c>
      <x:c r="V33" s="38" t="str">
        <x:v>Pendiente</x:v>
      </x:c>
      <x:c r="W33" s="38" t="str"/>
      <x:c r="X33" s="38" t="str"/>
      <x:c r="Y33" s="38" t="str"/>
      <x:c r="Z33" s="38" t="str"/>
      <x:c r="AA33" s="38" t="str">
        <x:v>Pendiente</x:v>
      </x:c>
      <x:c r="AB33" s="38" t="str">
        <x:v>Pendiente</x:v>
      </x:c>
      <x:c r="AC33" s="38" t="str">
        <x:v>Pendiente</x:v>
      </x:c>
      <x:c r="AD33" s="38" t="str">
        <x:v>Pendiente</x:v>
      </x:c>
      <x:c r="AE33" s="38" t="str">
        <x:v>Pendiente</x:v>
      </x:c>
      <x:c r="AF33" s="38" t="str"/>
    </x:row>
    <x:row r="34">
      <x:c r="A34" s="38" t="str">
        <x:v>PUB-030</x:v>
      </x:c>
      <x:c r="B34" s="38" t="n">
        <x:v>30</x:v>
      </x:c>
      <x:c r="C34" s="38" t="str">
        <x:v>F2 Sigma/Hayabusa tiempo real</x:v>
      </x:c>
      <x:c r="D34" s="38" t="str">
        <x:v>P3 Medium</x:v>
      </x:c>
      <x:c r="E34" s="38" t="str">
        <x:v>Obligatoria</x:v>
      </x:c>
      <x:c r="F34" s="38" t="str">
        <x:v>Windows.Hayabusa.Monitoring</x:v>
      </x:c>
      <x:c r="G34" s="38" t="str">
        <x:v>CLIENT_EVENT</x:v>
      </x:c>
      <x:c r="H34" s="38" t="str">
        <x:v>Client Monitoring</x:v>
      </x:c>
      <x:c r="I34" s="38" t="str">
        <x:v>TEC-005</x:v>
      </x:c>
      <x:c r="J34" s="38" t="str">
        <x:v>T1569.002</x:v>
      </x:c>
      <x:c r="K34" s="38" t="str">
        <x:v>Execution</x:v>
      </x:c>
      <x:c r="L34" s="38" t="str">
        <x:v>Service Execution</x:v>
      </x:c>
      <x:c r="M34" s="38" t="str">
        <x:v>Evaluar capacidad HIDS pública en tiempo real.</x:v>
      </x:c>
      <x:c r="N34" s="38" t="str">
        <x:v>RuleLevel: Critical/High. Si no hay detección, repetir con Medium. RuleStatus: Stable.</x:v>
      </x:c>
      <x:c r="O34" s="38" t="str">
        <x:v>Evento en tiempo real con regla, severity y evidencia.</x:v>
      </x:c>
      <x:c r="P34" s="38" t="str">
        <x:v>Pendiente</x:v>
      </x:c>
      <x:c r="Q34" s="38" t="str">
        <x:v>Pendiente</x:v>
      </x:c>
      <x:c r="R34" s="38" t="str">
        <x:v>Pendiente</x:v>
      </x:c>
      <x:c r="S34" s="38" t="str">
        <x:v>Pendiente</x:v>
      </x:c>
      <x:c r="T34" s="38" t="str">
        <x:v>Pendiente</x:v>
      </x:c>
      <x:c r="U34" s="38" t="str">
        <x:v>Pendiente</x:v>
      </x:c>
      <x:c r="V34" s="38" t="str">
        <x:v>Pendiente</x:v>
      </x:c>
      <x:c r="W34" s="38" t="str"/>
      <x:c r="X34" s="38" t="str"/>
      <x:c r="Y34" s="38" t="str"/>
      <x:c r="Z34" s="38" t="str"/>
      <x:c r="AA34" s="38" t="str">
        <x:v>Pendiente</x:v>
      </x:c>
      <x:c r="AB34" s="38" t="str">
        <x:v>Pendiente</x:v>
      </x:c>
      <x:c r="AC34" s="38" t="str">
        <x:v>Pendiente</x:v>
      </x:c>
      <x:c r="AD34" s="38" t="str">
        <x:v>Pendiente</x:v>
      </x:c>
      <x:c r="AE34" s="38" t="str">
        <x:v>Pendiente</x:v>
      </x:c>
      <x:c r="AF34" s="38" t="str"/>
    </x:row>
    <x:row r="35">
      <x:c r="A35" s="38" t="str">
        <x:v>PUB-031</x:v>
      </x:c>
      <x:c r="B35" s="38" t="n">
        <x:v>31</x:v>
      </x:c>
      <x:c r="C35" s="38" t="str">
        <x:v>F2 Sigma/Hayabusa tiempo real</x:v>
      </x:c>
      <x:c r="D35" s="38" t="str">
        <x:v>P3 Medium</x:v>
      </x:c>
      <x:c r="E35" s="38" t="str">
        <x:v>Obligatoria</x:v>
      </x:c>
      <x:c r="F35" s="38" t="str">
        <x:v>Windows.Hayabusa.Monitoring</x:v>
      </x:c>
      <x:c r="G35" s="38" t="str">
        <x:v>CLIENT_EVENT</x:v>
      </x:c>
      <x:c r="H35" s="38" t="str">
        <x:v>Client Monitoring</x:v>
      </x:c>
      <x:c r="I35" s="38" t="str">
        <x:v>TEC-006</x:v>
      </x:c>
      <x:c r="J35" s="38" t="str">
        <x:v>T1518.001</x:v>
      </x:c>
      <x:c r="K35" s="38" t="str">
        <x:v>Discovery</x:v>
      </x:c>
      <x:c r="L35" s="38" t="str">
        <x:v>Security Software Discovery</x:v>
      </x:c>
      <x:c r="M35" s="38" t="str">
        <x:v>Evaluar capacidad HIDS pública en tiempo real.</x:v>
      </x:c>
      <x:c r="N35" s="38" t="str">
        <x:v>RuleLevel: Critical/High. Si no hay detección, repetir con Medium. RuleStatus: Stable.</x:v>
      </x:c>
      <x:c r="O35" s="38" t="str">
        <x:v>Evento en tiempo real con regla, severity y evidencia.</x:v>
      </x:c>
      <x:c r="P35" s="38" t="str">
        <x:v>Pendiente</x:v>
      </x:c>
      <x:c r="Q35" s="38" t="str">
        <x:v>Pendiente</x:v>
      </x:c>
      <x:c r="R35" s="38" t="str">
        <x:v>Pendiente</x:v>
      </x:c>
      <x:c r="S35" s="38" t="str">
        <x:v>Pendiente</x:v>
      </x:c>
      <x:c r="T35" s="38" t="str">
        <x:v>Pendiente</x:v>
      </x:c>
      <x:c r="U35" s="38" t="str">
        <x:v>Pendiente</x:v>
      </x:c>
      <x:c r="V35" s="38" t="str">
        <x:v>Pendiente</x:v>
      </x:c>
      <x:c r="W35" s="38" t="str"/>
      <x:c r="X35" s="38" t="str"/>
      <x:c r="Y35" s="38" t="str"/>
      <x:c r="Z35" s="38" t="str"/>
      <x:c r="AA35" s="38" t="str">
        <x:v>Pendiente</x:v>
      </x:c>
      <x:c r="AB35" s="38" t="str">
        <x:v>Pendiente</x:v>
      </x:c>
      <x:c r="AC35" s="38" t="str">
        <x:v>Pendiente</x:v>
      </x:c>
      <x:c r="AD35" s="38" t="str">
        <x:v>Pendiente</x:v>
      </x:c>
      <x:c r="AE35" s="38" t="str">
        <x:v>Pendiente</x:v>
      </x:c>
      <x:c r="AF35" s="38" t="str"/>
    </x:row>
    <x:row r="36">
      <x:c r="A36" s="38" t="str">
        <x:v>PUB-032</x:v>
      </x:c>
      <x:c r="B36" s="38" t="n">
        <x:v>32</x:v>
      </x:c>
      <x:c r="C36" s="38" t="str">
        <x:v>F2 Sigma/Hayabusa tiempo real</x:v>
      </x:c>
      <x:c r="D36" s="38" t="str">
        <x:v>P3 Medium</x:v>
      </x:c>
      <x:c r="E36" s="38" t="str">
        <x:v>Obligatoria</x:v>
      </x:c>
      <x:c r="F36" s="38" t="str">
        <x:v>Windows.Hayabusa.Monitoring</x:v>
      </x:c>
      <x:c r="G36" s="38" t="str">
        <x:v>CLIENT_EVENT</x:v>
      </x:c>
      <x:c r="H36" s="38" t="str">
        <x:v>Client Monitoring</x:v>
      </x:c>
      <x:c r="I36" s="38" t="str">
        <x:v>TEC-007</x:v>
      </x:c>
      <x:c r="J36" s="38" t="str">
        <x:v>T1486</x:v>
      </x:c>
      <x:c r="K36" s="38" t="str">
        <x:v>Impact</x:v>
      </x:c>
      <x:c r="L36" s="38" t="str">
        <x:v>Data Encrypted for Impact</x:v>
      </x:c>
      <x:c r="M36" s="38" t="str">
        <x:v>Evaluar capacidad HIDS pública en tiempo real.</x:v>
      </x:c>
      <x:c r="N36" s="38" t="str">
        <x:v>RuleLevel: Critical/High. Si no hay detección, repetir con Medium. RuleStatus: Stable.</x:v>
      </x:c>
      <x:c r="O36" s="38" t="str">
        <x:v>Evento en tiempo real con regla, severity y evidencia.</x:v>
      </x:c>
      <x:c r="P36" s="38" t="str">
        <x:v>Pendiente</x:v>
      </x:c>
      <x:c r="Q36" s="38" t="str">
        <x:v>Pendiente</x:v>
      </x:c>
      <x:c r="R36" s="38" t="str">
        <x:v>Pendiente</x:v>
      </x:c>
      <x:c r="S36" s="38" t="str">
        <x:v>Pendiente</x:v>
      </x:c>
      <x:c r="T36" s="38" t="str">
        <x:v>Pendiente</x:v>
      </x:c>
      <x:c r="U36" s="38" t="str">
        <x:v>Pendiente</x:v>
      </x:c>
      <x:c r="V36" s="38" t="str">
        <x:v>Pendiente</x:v>
      </x:c>
      <x:c r="W36" s="38" t="str"/>
      <x:c r="X36" s="38" t="str"/>
      <x:c r="Y36" s="38" t="str"/>
      <x:c r="Z36" s="38" t="str"/>
      <x:c r="AA36" s="38" t="str">
        <x:v>Pendiente</x:v>
      </x:c>
      <x:c r="AB36" s="38" t="str">
        <x:v>Pendiente</x:v>
      </x:c>
      <x:c r="AC36" s="38" t="str">
        <x:v>Pendiente</x:v>
      </x:c>
      <x:c r="AD36" s="38" t="str">
        <x:v>Pendiente</x:v>
      </x:c>
      <x:c r="AE36" s="38" t="str">
        <x:v>Pendiente</x:v>
      </x:c>
      <x:c r="AF36" s="38" t="str"/>
    </x:row>
    <x:row r="37">
      <x:c r="A37" s="38" t="str">
        <x:v>PUB-033</x:v>
      </x:c>
      <x:c r="B37" s="38" t="n">
        <x:v>33</x:v>
      </x:c>
      <x:c r="C37" s="38" t="str">
        <x:v>F2 Sigma/Hayabusa tiempo real</x:v>
      </x:c>
      <x:c r="D37" s="38" t="str">
        <x:v>P3 Medium</x:v>
      </x:c>
      <x:c r="E37" s="38" t="str">
        <x:v>Obligatoria</x:v>
      </x:c>
      <x:c r="F37" s="38" t="str">
        <x:v>Windows.Hayabusa.Monitoring</x:v>
      </x:c>
      <x:c r="G37" s="38" t="str">
        <x:v>CLIENT_EVENT</x:v>
      </x:c>
      <x:c r="H37" s="38" t="str">
        <x:v>Client Monitoring</x:v>
      </x:c>
      <x:c r="I37" s="38" t="str">
        <x:v>TEC-008</x:v>
      </x:c>
      <x:c r="J37" s="38" t="str">
        <x:v>T1485</x:v>
      </x:c>
      <x:c r="K37" s="38" t="str">
        <x:v>Impact</x:v>
      </x:c>
      <x:c r="L37" s="38" t="str">
        <x:v>Data Destruction</x:v>
      </x:c>
      <x:c r="M37" s="38" t="str">
        <x:v>Evaluar capacidad HIDS pública en tiempo real.</x:v>
      </x:c>
      <x:c r="N37" s="38" t="str">
        <x:v>RuleLevel: Critical/High. Si no hay detección, repetir con Medium. RuleStatus: Stable.</x:v>
      </x:c>
      <x:c r="O37" s="38" t="str">
        <x:v>Evento en tiempo real con regla, severity y evidencia.</x:v>
      </x:c>
      <x:c r="P37" s="38" t="str">
        <x:v>Pendiente</x:v>
      </x:c>
      <x:c r="Q37" s="38" t="str">
        <x:v>Pendiente</x:v>
      </x:c>
      <x:c r="R37" s="38" t="str">
        <x:v>Pendiente</x:v>
      </x:c>
      <x:c r="S37" s="38" t="str">
        <x:v>Pendiente</x:v>
      </x:c>
      <x:c r="T37" s="38" t="str">
        <x:v>Pendiente</x:v>
      </x:c>
      <x:c r="U37" s="38" t="str">
        <x:v>Pendiente</x:v>
      </x:c>
      <x:c r="V37" s="38" t="str">
        <x:v>Pendiente</x:v>
      </x:c>
      <x:c r="W37" s="38" t="str"/>
      <x:c r="X37" s="38" t="str"/>
      <x:c r="Y37" s="38" t="str"/>
      <x:c r="Z37" s="38" t="str"/>
      <x:c r="AA37" s="38" t="str">
        <x:v>Pendiente</x:v>
      </x:c>
      <x:c r="AB37" s="38" t="str">
        <x:v>Pendiente</x:v>
      </x:c>
      <x:c r="AC37" s="38" t="str">
        <x:v>Pendiente</x:v>
      </x:c>
      <x:c r="AD37" s="38" t="str">
        <x:v>Pendiente</x:v>
      </x:c>
      <x:c r="AE37" s="38" t="str">
        <x:v>Pendiente</x:v>
      </x:c>
      <x:c r="AF37" s="38" t="str"/>
    </x:row>
    <x:row r="38">
      <x:c r="A38" s="38" t="str">
        <x:v>PUB-034</x:v>
      </x:c>
      <x:c r="B38" s="38" t="n">
        <x:v>34</x:v>
      </x:c>
      <x:c r="C38" s="38" t="str">
        <x:v>F2 Sigma/Hayabusa tiempo real</x:v>
      </x:c>
      <x:c r="D38" s="38" t="str">
        <x:v>P3 Medium</x:v>
      </x:c>
      <x:c r="E38" s="38" t="str">
        <x:v>Obligatoria</x:v>
      </x:c>
      <x:c r="F38" s="38" t="str">
        <x:v>Windows.Hayabusa.Monitoring</x:v>
      </x:c>
      <x:c r="G38" s="38" t="str">
        <x:v>CLIENT_EVENT</x:v>
      </x:c>
      <x:c r="H38" s="38" t="str">
        <x:v>Client Monitoring</x:v>
      </x:c>
      <x:c r="I38" s="38" t="str">
        <x:v>TEC-009</x:v>
      </x:c>
      <x:c r="J38" s="38" t="str">
        <x:v>T1074.001 / T1560.001</x:v>
      </x:c>
      <x:c r="K38" s="38" t="str">
        <x:v>Collection</x:v>
      </x:c>
      <x:c r="L38" s="38" t="str">
        <x:v>Staging / Archive Collected Data</x:v>
      </x:c>
      <x:c r="M38" s="38" t="str">
        <x:v>Evaluar capacidad HIDS pública en tiempo real.</x:v>
      </x:c>
      <x:c r="N38" s="38" t="str">
        <x:v>RuleLevel: Critical/High. Si no hay detección, repetir con Medium. RuleStatus: Stable.</x:v>
      </x:c>
      <x:c r="O38" s="38" t="str">
        <x:v>Evento en tiempo real con regla, severity y evidencia.</x:v>
      </x:c>
      <x:c r="P38" s="38" t="str">
        <x:v>Pendiente</x:v>
      </x:c>
      <x:c r="Q38" s="38" t="str">
        <x:v>Pendiente</x:v>
      </x:c>
      <x:c r="R38" s="38" t="str">
        <x:v>Pendiente</x:v>
      </x:c>
      <x:c r="S38" s="38" t="str">
        <x:v>Pendiente</x:v>
      </x:c>
      <x:c r="T38" s="38" t="str">
        <x:v>Pendiente</x:v>
      </x:c>
      <x:c r="U38" s="38" t="str">
        <x:v>Pendiente</x:v>
      </x:c>
      <x:c r="V38" s="38" t="str">
        <x:v>Pendiente</x:v>
      </x:c>
      <x:c r="W38" s="38" t="str"/>
      <x:c r="X38" s="38" t="str"/>
      <x:c r="Y38" s="38" t="str"/>
      <x:c r="Z38" s="38" t="str"/>
      <x:c r="AA38" s="38" t="str">
        <x:v>Pendiente</x:v>
      </x:c>
      <x:c r="AB38" s="38" t="str">
        <x:v>Pendiente</x:v>
      </x:c>
      <x:c r="AC38" s="38" t="str">
        <x:v>Pendiente</x:v>
      </x:c>
      <x:c r="AD38" s="38" t="str">
        <x:v>Pendiente</x:v>
      </x:c>
      <x:c r="AE38" s="38" t="str">
        <x:v>Pendiente</x:v>
      </x:c>
      <x:c r="AF38" s="38" t="str"/>
    </x:row>
    <x:row r="39">
      <x:c r="A39" s="38" t="str">
        <x:v>PUB-035</x:v>
      </x:c>
      <x:c r="B39" s="38" t="n">
        <x:v>35</x:v>
      </x:c>
      <x:c r="C39" s="38" t="str">
        <x:v>F3 Persistencia / triage</x:v>
      </x:c>
      <x:c r="D39" s="38" t="str">
        <x:v>P2 High</x:v>
      </x:c>
      <x:c r="E39" s="38" t="str">
        <x:v>Recomendada</x:v>
      </x:c>
      <x:c r="F39" s="38" t="str">
        <x:v>Windows.Packs.Persistence</x:v>
      </x:c>
      <x:c r="G39" s="38" t="str">
        <x:v>CLIENT/Hunt</x:v>
      </x:c>
      <x:c r="H39" s="38" t="str">
        <x:v>Post-ejecución</x:v>
      </x:c>
      <x:c r="I39" s="38" t="str">
        <x:v>TEC-003</x:v>
      </x:c>
      <x:c r="J39" s="38" t="str">
        <x:v>T1053.005</x:v>
      </x:c>
      <x:c r="K39" s="38" t="str">
        <x:v>Execution / Persistence / Privilege Escalation</x:v>
      </x:c>
      <x:c r="L39" s="38" t="str">
        <x:v>Scheduled Task</x:v>
      </x:c>
      <x:c r="M39" s="38" t="str">
        <x:v>Evaluar persistencia general tras Scheduled Task.</x:v>
      </x:c>
      <x:c r="N39" s="38" t="str">
        <x:v>Ejecutar después de la técnica; no activar como HIDS continuo.</x:v>
      </x:c>
      <x:c r="O39" s="38" t="str">
        <x:v>Elemento persistente o artefacto post-ejecución identificable.</x:v>
      </x:c>
      <x:c r="P39" s="38" t="str">
        <x:v>Pendiente</x:v>
      </x:c>
      <x:c r="Q39" s="38" t="str">
        <x:v>Pendiente</x:v>
      </x:c>
      <x:c r="R39" s="38" t="str">
        <x:v>Pendiente</x:v>
      </x:c>
      <x:c r="S39" s="38" t="str">
        <x:v>Pendiente</x:v>
      </x:c>
      <x:c r="T39" s="38" t="str">
        <x:v>Pendiente</x:v>
      </x:c>
      <x:c r="U39" s="38" t="str">
        <x:v>Pendiente</x:v>
      </x:c>
      <x:c r="V39" s="38" t="str">
        <x:v>Pendiente</x:v>
      </x:c>
      <x:c r="W39" s="38" t="str"/>
      <x:c r="X39" s="38" t="str"/>
      <x:c r="Y39" s="38" t="str"/>
      <x:c r="Z39" s="38" t="str"/>
      <x:c r="AA39" s="38" t="str">
        <x:v>Pendiente</x:v>
      </x:c>
      <x:c r="AB39" s="38" t="str">
        <x:v>Pendiente</x:v>
      </x:c>
      <x:c r="AC39" s="38" t="str">
        <x:v>Pendiente</x:v>
      </x:c>
      <x:c r="AD39" s="38" t="str">
        <x:v>Pendiente</x:v>
      </x:c>
      <x:c r="AE39" s="38" t="str">
        <x:v>Pendiente</x:v>
      </x:c>
      <x:c r="AF39" s="38" t="str"/>
    </x:row>
    <x:row r="40">
      <x:c r="A40" s="38" t="str">
        <x:v>PUB-036</x:v>
      </x:c>
      <x:c r="B40" s="38" t="n">
        <x:v>36</x:v>
      </x:c>
      <x:c r="C40" s="38" t="str">
        <x:v>F3 Persistencia / triage</x:v>
      </x:c>
      <x:c r="D40" s="38" t="str">
        <x:v>P2 High</x:v>
      </x:c>
      <x:c r="E40" s="38" t="str">
        <x:v>Recomendada</x:v>
      </x:c>
      <x:c r="F40" s="38" t="str">
        <x:v>Windows.Packs.Persistence</x:v>
      </x:c>
      <x:c r="G40" s="38" t="str">
        <x:v>CLIENT/Hunt</x:v>
      </x:c>
      <x:c r="H40" s="38" t="str">
        <x:v>Post-ejecución</x:v>
      </x:c>
      <x:c r="I40" s="38" t="str">
        <x:v>TEC-004</x:v>
      </x:c>
      <x:c r="J40" s="38" t="str">
        <x:v>T1547.001</x:v>
      </x:c>
      <x:c r="K40" s="38" t="str">
        <x:v>Persistence / Privilege Escalation</x:v>
      </x:c>
      <x:c r="L40" s="38" t="str">
        <x:v>Registry Run Keys / Startup Folder</x:v>
      </x:c>
      <x:c r="M40" s="38" t="str">
        <x:v>Evaluar persistencia general tras Run Key.</x:v>
      </x:c>
      <x:c r="N40" s="38" t="str">
        <x:v>Ejecutar después de la técnica; no activar como HIDS continuo.</x:v>
      </x:c>
      <x:c r="O40" s="38" t="str">
        <x:v>Elemento persistente o artefacto post-ejecución identificable.</x:v>
      </x:c>
      <x:c r="P40" s="38" t="str">
        <x:v>Pendiente</x:v>
      </x:c>
      <x:c r="Q40" s="38" t="str">
        <x:v>Pendiente</x:v>
      </x:c>
      <x:c r="R40" s="38" t="str">
        <x:v>Pendiente</x:v>
      </x:c>
      <x:c r="S40" s="38" t="str">
        <x:v>Pendiente</x:v>
      </x:c>
      <x:c r="T40" s="38" t="str">
        <x:v>Pendiente</x:v>
      </x:c>
      <x:c r="U40" s="38" t="str">
        <x:v>Pendiente</x:v>
      </x:c>
      <x:c r="V40" s="38" t="str">
        <x:v>Pendiente</x:v>
      </x:c>
      <x:c r="W40" s="38" t="str"/>
      <x:c r="X40" s="38" t="str"/>
      <x:c r="Y40" s="38" t="str"/>
      <x:c r="Z40" s="38" t="str"/>
      <x:c r="AA40" s="38" t="str">
        <x:v>Pendiente</x:v>
      </x:c>
      <x:c r="AB40" s="38" t="str">
        <x:v>Pendiente</x:v>
      </x:c>
      <x:c r="AC40" s="38" t="str">
        <x:v>Pendiente</x:v>
      </x:c>
      <x:c r="AD40" s="38" t="str">
        <x:v>Pendiente</x:v>
      </x:c>
      <x:c r="AE40" s="38" t="str">
        <x:v>Pendiente</x:v>
      </x:c>
      <x:c r="AF40" s="38" t="str"/>
    </x:row>
    <x:row r="41">
      <x:c r="A41" s="38" t="str">
        <x:v>PUB-037</x:v>
      </x:c>
      <x:c r="B41" s="38" t="n">
        <x:v>37</x:v>
      </x:c>
      <x:c r="C41" s="38" t="str">
        <x:v>F3 Persistencia / triage</x:v>
      </x:c>
      <x:c r="D41" s="38" t="str">
        <x:v>P2 High</x:v>
      </x:c>
      <x:c r="E41" s="38" t="str">
        <x:v>Recomendada</x:v>
      </x:c>
      <x:c r="F41" s="38" t="str">
        <x:v>Windows.Packs.Persistence</x:v>
      </x:c>
      <x:c r="G41" s="38" t="str">
        <x:v>CLIENT/Hunt</x:v>
      </x:c>
      <x:c r="H41" s="38" t="str">
        <x:v>Post-ejecución</x:v>
      </x:c>
      <x:c r="I41" s="38" t="str">
        <x:v>TEC-005</x:v>
      </x:c>
      <x:c r="J41" s="38" t="str">
        <x:v>T1569.002</x:v>
      </x:c>
      <x:c r="K41" s="38" t="str">
        <x:v>Execution</x:v>
      </x:c>
      <x:c r="L41" s="38" t="str">
        <x:v>Service Execution</x:v>
      </x:c>
      <x:c r="M41" s="38" t="str">
        <x:v>Evaluar persistencia/servicio post-ejecución.</x:v>
      </x:c>
      <x:c r="N41" s="38" t="str">
        <x:v>Ejecutar después de la técnica; no activar como HIDS continuo.</x:v>
      </x:c>
      <x:c r="O41" s="38" t="str">
        <x:v>Elemento persistente o artefacto post-ejecución identificable.</x:v>
      </x:c>
      <x:c r="P41" s="38" t="str">
        <x:v>Pendiente</x:v>
      </x:c>
      <x:c r="Q41" s="38" t="str">
        <x:v>Pendiente</x:v>
      </x:c>
      <x:c r="R41" s="38" t="str">
        <x:v>Pendiente</x:v>
      </x:c>
      <x:c r="S41" s="38" t="str">
        <x:v>Pendiente</x:v>
      </x:c>
      <x:c r="T41" s="38" t="str">
        <x:v>Pendiente</x:v>
      </x:c>
      <x:c r="U41" s="38" t="str">
        <x:v>Pendiente</x:v>
      </x:c>
      <x:c r="V41" s="38" t="str">
        <x:v>Pendiente</x:v>
      </x:c>
      <x:c r="W41" s="38" t="str"/>
      <x:c r="X41" s="38" t="str"/>
      <x:c r="Y41" s="38" t="str"/>
      <x:c r="Z41" s="38" t="str"/>
      <x:c r="AA41" s="38" t="str">
        <x:v>Pendiente</x:v>
      </x:c>
      <x:c r="AB41" s="38" t="str">
        <x:v>Pendiente</x:v>
      </x:c>
      <x:c r="AC41" s="38" t="str">
        <x:v>Pendiente</x:v>
      </x:c>
      <x:c r="AD41" s="38" t="str">
        <x:v>Pendiente</x:v>
      </x:c>
      <x:c r="AE41" s="38" t="str">
        <x:v>Pendiente</x:v>
      </x:c>
      <x:c r="AF41" s="38" t="str"/>
    </x:row>
    <x:row r="42">
      <x:c r="A42" s="38" t="str">
        <x:v>PUB-038</x:v>
      </x:c>
      <x:c r="B42" s="38" t="n">
        <x:v>38</x:v>
      </x:c>
      <x:c r="C42" s="38" t="str">
        <x:v>F3 Persistencia / triage</x:v>
      </x:c>
      <x:c r="D42" s="38" t="str">
        <x:v>P2 High</x:v>
      </x:c>
      <x:c r="E42" s="38" t="str">
        <x:v>Recomendada</x:v>
      </x:c>
      <x:c r="F42" s="38" t="str">
        <x:v>Windows.Sys.StartupItems</x:v>
      </x:c>
      <x:c r="G42" s="38" t="str">
        <x:v>CLIENT/Hunt</x:v>
      </x:c>
      <x:c r="H42" s="38" t="str">
        <x:v>Post-ejecución</x:v>
      </x:c>
      <x:c r="I42" s="38" t="str">
        <x:v>TEC-004</x:v>
      </x:c>
      <x:c r="J42" s="38" t="str">
        <x:v>T1547.001</x:v>
      </x:c>
      <x:c r="K42" s="38" t="str">
        <x:v>Persistence / Privilege Escalation</x:v>
      </x:c>
      <x:c r="L42" s="38" t="str">
        <x:v>Registry Run Keys / Startup Folder</x:v>
      </x:c>
      <x:c r="M42" s="38" t="str">
        <x:v>Comprobar Run Keys / Startup Folder.</x:v>
      </x:c>
      <x:c r="N42" s="38" t="str">
        <x:v>Ejecutar después de la técnica; no activar como HIDS continuo.</x:v>
      </x:c>
      <x:c r="O42" s="38" t="str">
        <x:v>Elemento persistente o artefacto post-ejecución identificable.</x:v>
      </x:c>
      <x:c r="P42" s="38" t="str">
        <x:v>Pendiente</x:v>
      </x:c>
      <x:c r="Q42" s="38" t="str">
        <x:v>Pendiente</x:v>
      </x:c>
      <x:c r="R42" s="38" t="str">
        <x:v>Pendiente</x:v>
      </x:c>
      <x:c r="S42" s="38" t="str">
        <x:v>Pendiente</x:v>
      </x:c>
      <x:c r="T42" s="38" t="str">
        <x:v>Pendiente</x:v>
      </x:c>
      <x:c r="U42" s="38" t="str">
        <x:v>Pendiente</x:v>
      </x:c>
      <x:c r="V42" s="38" t="str">
        <x:v>Pendiente</x:v>
      </x:c>
      <x:c r="W42" s="38" t="str"/>
      <x:c r="X42" s="38" t="str"/>
      <x:c r="Y42" s="38" t="str"/>
      <x:c r="Z42" s="38" t="str"/>
      <x:c r="AA42" s="38" t="str">
        <x:v>Pendiente</x:v>
      </x:c>
      <x:c r="AB42" s="38" t="str">
        <x:v>Pendiente</x:v>
      </x:c>
      <x:c r="AC42" s="38" t="str">
        <x:v>Pendiente</x:v>
      </x:c>
      <x:c r="AD42" s="38" t="str">
        <x:v>Pendiente</x:v>
      </x:c>
      <x:c r="AE42" s="38" t="str">
        <x:v>Pendiente</x:v>
      </x:c>
      <x:c r="AF42" s="38" t="str"/>
    </x:row>
    <x:row r="43">
      <x:c r="A43" s="38" t="str">
        <x:v>PUB-039</x:v>
      </x:c>
      <x:c r="B43" s="38" t="n">
        <x:v>39</x:v>
      </x:c>
      <x:c r="C43" s="38" t="str">
        <x:v>F3 Persistencia / triage</x:v>
      </x:c>
      <x:c r="D43" s="38" t="str">
        <x:v>P2 High</x:v>
      </x:c>
      <x:c r="E43" s="38" t="str">
        <x:v>Recomendada</x:v>
      </x:c>
      <x:c r="F43" s="38" t="str">
        <x:v>Windows.System.TaskScheduler</x:v>
      </x:c>
      <x:c r="G43" s="38" t="str">
        <x:v>CLIENT/Hunt</x:v>
      </x:c>
      <x:c r="H43" s="38" t="str">
        <x:v>Post-ejecución</x:v>
      </x:c>
      <x:c r="I43" s="38" t="str">
        <x:v>TEC-003</x:v>
      </x:c>
      <x:c r="J43" s="38" t="str">
        <x:v>T1053.005</x:v>
      </x:c>
      <x:c r="K43" s="38" t="str">
        <x:v>Execution / Persistence / Privilege Escalation</x:v>
      </x:c>
      <x:c r="L43" s="38" t="str">
        <x:v>Scheduled Task</x:v>
      </x:c>
      <x:c r="M43" s="38" t="str">
        <x:v>Comprobar tarea programada creada.</x:v>
      </x:c>
      <x:c r="N43" s="38" t="str">
        <x:v>Ejecutar después de la técnica; no activar como HIDS continuo.</x:v>
      </x:c>
      <x:c r="O43" s="38" t="str">
        <x:v>Elemento persistente o artefacto post-ejecución identificable.</x:v>
      </x:c>
      <x:c r="P43" s="38" t="str">
        <x:v>Pendiente</x:v>
      </x:c>
      <x:c r="Q43" s="38" t="str">
        <x:v>Pendiente</x:v>
      </x:c>
      <x:c r="R43" s="38" t="str">
        <x:v>Pendiente</x:v>
      </x:c>
      <x:c r="S43" s="38" t="str">
        <x:v>Pendiente</x:v>
      </x:c>
      <x:c r="T43" s="38" t="str">
        <x:v>Pendiente</x:v>
      </x:c>
      <x:c r="U43" s="38" t="str">
        <x:v>Pendiente</x:v>
      </x:c>
      <x:c r="V43" s="38" t="str">
        <x:v>Pendiente</x:v>
      </x:c>
      <x:c r="W43" s="38" t="str"/>
      <x:c r="X43" s="38" t="str"/>
      <x:c r="Y43" s="38" t="str"/>
      <x:c r="Z43" s="38" t="str"/>
      <x:c r="AA43" s="38" t="str">
        <x:v>Pendiente</x:v>
      </x:c>
      <x:c r="AB43" s="38" t="str">
        <x:v>Pendiente</x:v>
      </x:c>
      <x:c r="AC43" s="38" t="str">
        <x:v>Pendiente</x:v>
      </x:c>
      <x:c r="AD43" s="38" t="str">
        <x:v>Pendiente</x:v>
      </x:c>
      <x:c r="AE43" s="38" t="str">
        <x:v>Pendiente</x:v>
      </x:c>
      <x:c r="AF43" s="38" t="str"/>
    </x:row>
    <x:row r="44">
      <x:c r="A44" s="38" t="str">
        <x:v>PUB-040</x:v>
      </x:c>
      <x:c r="B44" s="38" t="n">
        <x:v>40</x:v>
      </x:c>
      <x:c r="C44" s="38" t="str">
        <x:v>F3 Persistencia / triage</x:v>
      </x:c>
      <x:c r="D44" s="38" t="str">
        <x:v>P2 High</x:v>
      </x:c>
      <x:c r="E44" s="38" t="str">
        <x:v>Recomendada</x:v>
      </x:c>
      <x:c r="F44" s="38" t="str">
        <x:v>Windows.Registry.ScheduledTasks</x:v>
      </x:c>
      <x:c r="G44" s="38" t="str">
        <x:v>CLIENT/Hunt</x:v>
      </x:c>
      <x:c r="H44" s="38" t="str">
        <x:v>Post-ejecución</x:v>
      </x:c>
      <x:c r="I44" s="38" t="str">
        <x:v>TEC-003</x:v>
      </x:c>
      <x:c r="J44" s="38" t="str">
        <x:v>T1053.005</x:v>
      </x:c>
      <x:c r="K44" s="38" t="str">
        <x:v>Execution / Persistence / Privilege Escalation</x:v>
      </x:c>
      <x:c r="L44" s="38" t="str">
        <x:v>Scheduled Task</x:v>
      </x:c>
      <x:c r="M44" s="38" t="str">
        <x:v>Comprobar evidencia de tarea desde registro.</x:v>
      </x:c>
      <x:c r="N44" s="38" t="str">
        <x:v>Ejecutar después de la técnica; no activar como HIDS continuo.</x:v>
      </x:c>
      <x:c r="O44" s="38" t="str">
        <x:v>Elemento persistente o artefacto post-ejecución identificable.</x:v>
      </x:c>
      <x:c r="P44" s="38" t="str">
        <x:v>Pendiente</x:v>
      </x:c>
      <x:c r="Q44" s="38" t="str">
        <x:v>Pendiente</x:v>
      </x:c>
      <x:c r="R44" s="38" t="str">
        <x:v>Pendiente</x:v>
      </x:c>
      <x:c r="S44" s="38" t="str">
        <x:v>Pendiente</x:v>
      </x:c>
      <x:c r="T44" s="38" t="str">
        <x:v>Pendiente</x:v>
      </x:c>
      <x:c r="U44" s="38" t="str">
        <x:v>Pendiente</x:v>
      </x:c>
      <x:c r="V44" s="38" t="str">
        <x:v>Pendiente</x:v>
      </x:c>
      <x:c r="W44" s="38" t="str"/>
      <x:c r="X44" s="38" t="str"/>
      <x:c r="Y44" s="38" t="str"/>
      <x:c r="Z44" s="38" t="str"/>
      <x:c r="AA44" s="38" t="str">
        <x:v>Pendiente</x:v>
      </x:c>
      <x:c r="AB44" s="38" t="str">
        <x:v>Pendiente</x:v>
      </x:c>
      <x:c r="AC44" s="38" t="str">
        <x:v>Pendiente</x:v>
      </x:c>
      <x:c r="AD44" s="38" t="str">
        <x:v>Pendiente</x:v>
      </x:c>
      <x:c r="AE44" s="38" t="str">
        <x:v>Pendiente</x:v>
      </x:c>
      <x:c r="AF44" s="38" t="str"/>
    </x:row>
    <x:row r="45">
      <x:c r="A45" s="38" t="str">
        <x:v>PUB-041</x:v>
      </x:c>
      <x:c r="B45" s="38" t="n">
        <x:v>41</x:v>
      </x:c>
      <x:c r="C45" s="38" t="str">
        <x:v>F3 Persistencia / triage</x:v>
      </x:c>
      <x:c r="D45" s="38" t="str">
        <x:v>P2 High</x:v>
      </x:c>
      <x:c r="E45" s="38" t="str">
        <x:v>Recomendada</x:v>
      </x:c>
      <x:c r="F45" s="38" t="str">
        <x:v>Windows.System.Services</x:v>
      </x:c>
      <x:c r="G45" s="38" t="str">
        <x:v>CLIENT/Hunt</x:v>
      </x:c>
      <x:c r="H45" s="38" t="str">
        <x:v>Post-ejecución</x:v>
      </x:c>
      <x:c r="I45" s="38" t="str">
        <x:v>TEC-005</x:v>
      </x:c>
      <x:c r="J45" s="38" t="str">
        <x:v>T1569.002</x:v>
      </x:c>
      <x:c r="K45" s="38" t="str">
        <x:v>Execution</x:v>
      </x:c>
      <x:c r="L45" s="38" t="str">
        <x:v>Service Execution</x:v>
      </x:c>
      <x:c r="M45" s="38" t="str">
        <x:v>Comprobar servicio instalado.</x:v>
      </x:c>
      <x:c r="N45" s="38" t="str">
        <x:v>Ejecutar después de la técnica; no activar como HIDS continuo.</x:v>
      </x:c>
      <x:c r="O45" s="38" t="str">
        <x:v>Elemento persistente o artefacto post-ejecución identificable.</x:v>
      </x:c>
      <x:c r="P45" s="38" t="str">
        <x:v>Pendiente</x:v>
      </x:c>
      <x:c r="Q45" s="38" t="str">
        <x:v>Pendiente</x:v>
      </x:c>
      <x:c r="R45" s="38" t="str">
        <x:v>Pendiente</x:v>
      </x:c>
      <x:c r="S45" s="38" t="str">
        <x:v>Pendiente</x:v>
      </x:c>
      <x:c r="T45" s="38" t="str">
        <x:v>Pendiente</x:v>
      </x:c>
      <x:c r="U45" s="38" t="str">
        <x:v>Pendiente</x:v>
      </x:c>
      <x:c r="V45" s="38" t="str">
        <x:v>Pendiente</x:v>
      </x:c>
      <x:c r="W45" s="38" t="str"/>
      <x:c r="X45" s="38" t="str"/>
      <x:c r="Y45" s="38" t="str"/>
      <x:c r="Z45" s="38" t="str"/>
      <x:c r="AA45" s="38" t="str">
        <x:v>Pendiente</x:v>
      </x:c>
      <x:c r="AB45" s="38" t="str">
        <x:v>Pendiente</x:v>
      </x:c>
      <x:c r="AC45" s="38" t="str">
        <x:v>Pendiente</x:v>
      </x:c>
      <x:c r="AD45" s="38" t="str">
        <x:v>Pendiente</x:v>
      </x:c>
      <x:c r="AE45" s="38" t="str">
        <x:v>Pendiente</x:v>
      </x:c>
      <x:c r="AF45" s="38" t="str"/>
    </x:row>
    <x:row r="46">
      <x:c r="A46" s="38" t="str">
        <x:v>PUB-042</x:v>
      </x:c>
      <x:c r="B46" s="38" t="n">
        <x:v>42</x:v>
      </x:c>
      <x:c r="C46" s="38" t="str">
        <x:v>F3 Persistencia / triage</x:v>
      </x:c>
      <x:c r="D46" s="38" t="str">
        <x:v>P2 High</x:v>
      </x:c>
      <x:c r="E46" s="38" t="str">
        <x:v>Recomendada</x:v>
      </x:c>
      <x:c r="F46" s="38" t="str">
        <x:v>Windows.Sysinternals.Autoruns</x:v>
      </x:c>
      <x:c r="G46" s="38" t="str">
        <x:v>CLIENT/Hunt</x:v>
      </x:c>
      <x:c r="H46" s="38" t="str">
        <x:v>Post-ejecución</x:v>
      </x:c>
      <x:c r="I46" s="38" t="str">
        <x:v>TEC-003</x:v>
      </x:c>
      <x:c r="J46" s="38" t="str">
        <x:v>T1053.005</x:v>
      </x:c>
      <x:c r="K46" s="38" t="str">
        <x:v>Execution / Persistence / Privilege Escalation</x:v>
      </x:c>
      <x:c r="L46" s="38" t="str">
        <x:v>Scheduled Task</x:v>
      </x:c>
      <x:c r="M46" s="38" t="str">
        <x:v>Comprobar persistencia amplia tras Scheduled Task.</x:v>
      </x:c>
      <x:c r="N46" s="38" t="str">
        <x:v>Ejecutar después de la técnica; no activar como HIDS continuo.</x:v>
      </x:c>
      <x:c r="O46" s="38" t="str">
        <x:v>Elemento persistente o artefacto post-ejecución identificable.</x:v>
      </x:c>
      <x:c r="P46" s="38" t="str">
        <x:v>Pendiente</x:v>
      </x:c>
      <x:c r="Q46" s="38" t="str">
        <x:v>Pendiente</x:v>
      </x:c>
      <x:c r="R46" s="38" t="str">
        <x:v>Pendiente</x:v>
      </x:c>
      <x:c r="S46" s="38" t="str">
        <x:v>Pendiente</x:v>
      </x:c>
      <x:c r="T46" s="38" t="str">
        <x:v>Pendiente</x:v>
      </x:c>
      <x:c r="U46" s="38" t="str">
        <x:v>Pendiente</x:v>
      </x:c>
      <x:c r="V46" s="38" t="str">
        <x:v>Pendiente</x:v>
      </x:c>
      <x:c r="W46" s="38" t="str"/>
      <x:c r="X46" s="38" t="str"/>
      <x:c r="Y46" s="38" t="str"/>
      <x:c r="Z46" s="38" t="str"/>
      <x:c r="AA46" s="38" t="str">
        <x:v>Pendiente</x:v>
      </x:c>
      <x:c r="AB46" s="38" t="str">
        <x:v>Pendiente</x:v>
      </x:c>
      <x:c r="AC46" s="38" t="str">
        <x:v>Pendiente</x:v>
      </x:c>
      <x:c r="AD46" s="38" t="str">
        <x:v>Pendiente</x:v>
      </x:c>
      <x:c r="AE46" s="38" t="str">
        <x:v>Pendiente</x:v>
      </x:c>
      <x:c r="AF46" s="38" t="str"/>
    </x:row>
    <x:row r="47">
      <x:c r="A47" s="38" t="str">
        <x:v>PUB-043</x:v>
      </x:c>
      <x:c r="B47" s="38" t="n">
        <x:v>43</x:v>
      </x:c>
      <x:c r="C47" s="38" t="str">
        <x:v>F3 Persistencia / triage</x:v>
      </x:c>
      <x:c r="D47" s="38" t="str">
        <x:v>P2 High</x:v>
      </x:c>
      <x:c r="E47" s="38" t="str">
        <x:v>Recomendada</x:v>
      </x:c>
      <x:c r="F47" s="38" t="str">
        <x:v>Windows.Sysinternals.Autoruns</x:v>
      </x:c>
      <x:c r="G47" s="38" t="str">
        <x:v>CLIENT/Hunt</x:v>
      </x:c>
      <x:c r="H47" s="38" t="str">
        <x:v>Post-ejecución</x:v>
      </x:c>
      <x:c r="I47" s="38" t="str">
        <x:v>TEC-004</x:v>
      </x:c>
      <x:c r="J47" s="38" t="str">
        <x:v>T1547.001</x:v>
      </x:c>
      <x:c r="K47" s="38" t="str">
        <x:v>Persistence / Privilege Escalation</x:v>
      </x:c>
      <x:c r="L47" s="38" t="str">
        <x:v>Registry Run Keys / Startup Folder</x:v>
      </x:c>
      <x:c r="M47" s="38" t="str">
        <x:v>Comprobar persistencia amplia tras Run Key.</x:v>
      </x:c>
      <x:c r="N47" s="38" t="str">
        <x:v>Ejecutar después de la técnica; no activar como HIDS continuo.</x:v>
      </x:c>
      <x:c r="O47" s="38" t="str">
        <x:v>Elemento persistente o artefacto post-ejecución identificable.</x:v>
      </x:c>
      <x:c r="P47" s="38" t="str">
        <x:v>Pendiente</x:v>
      </x:c>
      <x:c r="Q47" s="38" t="str">
        <x:v>Pendiente</x:v>
      </x:c>
      <x:c r="R47" s="38" t="str">
        <x:v>Pendiente</x:v>
      </x:c>
      <x:c r="S47" s="38" t="str">
        <x:v>Pendiente</x:v>
      </x:c>
      <x:c r="T47" s="38" t="str">
        <x:v>Pendiente</x:v>
      </x:c>
      <x:c r="U47" s="38" t="str">
        <x:v>Pendiente</x:v>
      </x:c>
      <x:c r="V47" s="38" t="str">
        <x:v>Pendiente</x:v>
      </x:c>
      <x:c r="W47" s="38" t="str"/>
      <x:c r="X47" s="38" t="str"/>
      <x:c r="Y47" s="38" t="str"/>
      <x:c r="Z47" s="38" t="str"/>
      <x:c r="AA47" s="38" t="str">
        <x:v>Pendiente</x:v>
      </x:c>
      <x:c r="AB47" s="38" t="str">
        <x:v>Pendiente</x:v>
      </x:c>
      <x:c r="AC47" s="38" t="str">
        <x:v>Pendiente</x:v>
      </x:c>
      <x:c r="AD47" s="38" t="str">
        <x:v>Pendiente</x:v>
      </x:c>
      <x:c r="AE47" s="38" t="str">
        <x:v>Pendiente</x:v>
      </x:c>
      <x:c r="AF47" s="38" t="str"/>
    </x:row>
    <x:row r="48">
      <x:c r="A48" s="38" t="str">
        <x:v>PUB-044</x:v>
      </x:c>
      <x:c r="B48" s="38" t="n">
        <x:v>44</x:v>
      </x:c>
      <x:c r="C48" s="38" t="str">
        <x:v>F3 Persistencia / triage</x:v>
      </x:c>
      <x:c r="D48" s="38" t="str">
        <x:v>P2 High</x:v>
      </x:c>
      <x:c r="E48" s="38" t="str">
        <x:v>Recomendada</x:v>
      </x:c>
      <x:c r="F48" s="38" t="str">
        <x:v>Windows.Sysinternals.Autoruns</x:v>
      </x:c>
      <x:c r="G48" s="38" t="str">
        <x:v>CLIENT/Hunt</x:v>
      </x:c>
      <x:c r="H48" s="38" t="str">
        <x:v>Post-ejecución</x:v>
      </x:c>
      <x:c r="I48" s="38" t="str">
        <x:v>TEC-005</x:v>
      </x:c>
      <x:c r="J48" s="38" t="str">
        <x:v>T1569.002</x:v>
      </x:c>
      <x:c r="K48" s="38" t="str">
        <x:v>Execution</x:v>
      </x:c>
      <x:c r="L48" s="38" t="str">
        <x:v>Service Execution</x:v>
      </x:c>
      <x:c r="M48" s="38" t="str">
        <x:v>Comprobar persistencia amplia tras Service Execution.</x:v>
      </x:c>
      <x:c r="N48" s="38" t="str">
        <x:v>Ejecutar después de la técnica; no activar como HIDS continuo.</x:v>
      </x:c>
      <x:c r="O48" s="38" t="str">
        <x:v>Elemento persistente o artefacto post-ejecución identificable.</x:v>
      </x:c>
      <x:c r="P48" s="38" t="str">
        <x:v>Pendiente</x:v>
      </x:c>
      <x:c r="Q48" s="38" t="str">
        <x:v>Pendiente</x:v>
      </x:c>
      <x:c r="R48" s="38" t="str">
        <x:v>Pendiente</x:v>
      </x:c>
      <x:c r="S48" s="38" t="str">
        <x:v>Pendiente</x:v>
      </x:c>
      <x:c r="T48" s="38" t="str">
        <x:v>Pendiente</x:v>
      </x:c>
      <x:c r="U48" s="38" t="str">
        <x:v>Pendiente</x:v>
      </x:c>
      <x:c r="V48" s="38" t="str">
        <x:v>Pendiente</x:v>
      </x:c>
      <x:c r="W48" s="38" t="str"/>
      <x:c r="X48" s="38" t="str"/>
      <x:c r="Y48" s="38" t="str"/>
      <x:c r="Z48" s="38" t="str"/>
      <x:c r="AA48" s="38" t="str">
        <x:v>Pendiente</x:v>
      </x:c>
      <x:c r="AB48" s="38" t="str">
        <x:v>Pendiente</x:v>
      </x:c>
      <x:c r="AC48" s="38" t="str">
        <x:v>Pendiente</x:v>
      </x:c>
      <x:c r="AD48" s="38" t="str">
        <x:v>Pendiente</x:v>
      </x:c>
      <x:c r="AE48" s="38" t="str">
        <x:v>Pendiente</x:v>
      </x:c>
      <x:c r="AF48" s="38" t="str"/>
    </x:row>
    <x:row r="49">
      <x:c r="A49" s="38" t="str">
        <x:v>PUB-045</x:v>
      </x:c>
      <x:c r="B49" s="38" t="n">
        <x:v>45</x:v>
      </x:c>
      <x:c r="C49" s="38" t="str">
        <x:v>F4 Opcional forense alto detalle</x:v>
      </x:c>
      <x:c r="D49" s="38" t="str">
        <x:v>P1 Critical</x:v>
      </x:c>
      <x:c r="E49" s="38" t="str">
        <x:v>Opcional</x:v>
      </x:c>
      <x:c r="F49" s="38" t="str">
        <x:v>Windows.Triage.Targets</x:v>
      </x:c>
      <x:c r="G49" s="38" t="str">
        <x:v>CLIENT/Hunt</x:v>
      </x:c>
      <x:c r="H49" s="38" t="str">
        <x:v>Bajo demanda</x:v>
      </x:c>
      <x:c r="I49" s="38" t="str">
        <x:v>TEC-007</x:v>
      </x:c>
      <x:c r="J49" s="38" t="str">
        <x:v>T1486</x:v>
      </x:c>
      <x:c r="K49" s="38" t="str">
        <x:v>Impact</x:v>
      </x:c>
      <x:c r="L49" s="38" t="str">
        <x:v>Data Encrypted for Impact</x:v>
      </x:c>
      <x:c r="M49" s="38" t="str">
        <x:v>Valorar utilidad de Windows.Triage.Targets como apoyo forense.</x:v>
      </x:c>
      <x:c r="N49" s="38" t="str">
        <x:v>Solo si se requiere evidencia ampliada; no usar como monitorización continua.</x:v>
      </x:c>
      <x:c r="O49" s="38" t="str">
        <x:v>Evidencia forense ampliada.</x:v>
      </x:c>
      <x:c r="P49" s="38" t="str">
        <x:v>Pendiente</x:v>
      </x:c>
      <x:c r="Q49" s="38" t="str">
        <x:v>Pendiente</x:v>
      </x:c>
      <x:c r="R49" s="38" t="str">
        <x:v>Pendiente</x:v>
      </x:c>
      <x:c r="S49" s="38" t="str">
        <x:v>Pendiente</x:v>
      </x:c>
      <x:c r="T49" s="38" t="str">
        <x:v>Pendiente</x:v>
      </x:c>
      <x:c r="U49" s="38" t="str">
        <x:v>Pendiente</x:v>
      </x:c>
      <x:c r="V49" s="38" t="str">
        <x:v>Pendiente</x:v>
      </x:c>
      <x:c r="W49" s="38" t="str"/>
      <x:c r="X49" s="38" t="str"/>
      <x:c r="Y49" s="38" t="str"/>
      <x:c r="Z49" s="38" t="str"/>
      <x:c r="AA49" s="38" t="str">
        <x:v>Pendiente</x:v>
      </x:c>
      <x:c r="AB49" s="38" t="str">
        <x:v>Pendiente</x:v>
      </x:c>
      <x:c r="AC49" s="38" t="str">
        <x:v>Pendiente</x:v>
      </x:c>
      <x:c r="AD49" s="38" t="str">
        <x:v>Pendiente</x:v>
      </x:c>
      <x:c r="AE49" s="38" t="str">
        <x:v>Pendiente</x:v>
      </x:c>
      <x:c r="AF49" s="38" t="str"/>
    </x:row>
    <x:row r="50">
      <x:c r="A50" s="38" t="str">
        <x:v>PUB-046</x:v>
      </x:c>
      <x:c r="B50" s="38" t="n">
        <x:v>46</x:v>
      </x:c>
      <x:c r="C50" s="38" t="str">
        <x:v>F4 Opcional forense alto detalle</x:v>
      </x:c>
      <x:c r="D50" s="38" t="str">
        <x:v>P1 Critical</x:v>
      </x:c>
      <x:c r="E50" s="38" t="str">
        <x:v>Opcional</x:v>
      </x:c>
      <x:c r="F50" s="38" t="str">
        <x:v>Windows.Triage.Targets</x:v>
      </x:c>
      <x:c r="G50" s="38" t="str">
        <x:v>CLIENT/Hunt</x:v>
      </x:c>
      <x:c r="H50" s="38" t="str">
        <x:v>Bajo demanda</x:v>
      </x:c>
      <x:c r="I50" s="38" t="str">
        <x:v>TEC-008</x:v>
      </x:c>
      <x:c r="J50" s="38" t="str">
        <x:v>T1485</x:v>
      </x:c>
      <x:c r="K50" s="38" t="str">
        <x:v>Impact</x:v>
      </x:c>
      <x:c r="L50" s="38" t="str">
        <x:v>Data Destruction</x:v>
      </x:c>
      <x:c r="M50" s="38" t="str">
        <x:v>Valorar utilidad de Windows.Triage.Targets como apoyo forense.</x:v>
      </x:c>
      <x:c r="N50" s="38" t="str">
        <x:v>Solo si se requiere evidencia ampliada; no usar como monitorización continua.</x:v>
      </x:c>
      <x:c r="O50" s="38" t="str">
        <x:v>Evidencia forense ampliada.</x:v>
      </x:c>
      <x:c r="P50" s="38" t="str">
        <x:v>Pendiente</x:v>
      </x:c>
      <x:c r="Q50" s="38" t="str">
        <x:v>Pendiente</x:v>
      </x:c>
      <x:c r="R50" s="38" t="str">
        <x:v>Pendiente</x:v>
      </x:c>
      <x:c r="S50" s="38" t="str">
        <x:v>Pendiente</x:v>
      </x:c>
      <x:c r="T50" s="38" t="str">
        <x:v>Pendiente</x:v>
      </x:c>
      <x:c r="U50" s="38" t="str">
        <x:v>Pendiente</x:v>
      </x:c>
      <x:c r="V50" s="38" t="str">
        <x:v>Pendiente</x:v>
      </x:c>
      <x:c r="W50" s="38" t="str"/>
      <x:c r="X50" s="38" t="str"/>
      <x:c r="Y50" s="38" t="str"/>
      <x:c r="Z50" s="38" t="str"/>
      <x:c r="AA50" s="38" t="str">
        <x:v>Pendiente</x:v>
      </x:c>
      <x:c r="AB50" s="38" t="str">
        <x:v>Pendiente</x:v>
      </x:c>
      <x:c r="AC50" s="38" t="str">
        <x:v>Pendiente</x:v>
      </x:c>
      <x:c r="AD50" s="38" t="str">
        <x:v>Pendiente</x:v>
      </x:c>
      <x:c r="AE50" s="38" t="str">
        <x:v>Pendiente</x:v>
      </x:c>
      <x:c r="AF50" s="38" t="str"/>
    </x:row>
    <x:row r="51">
      <x:c r="A51" s="38" t="str">
        <x:v>PUB-047</x:v>
      </x:c>
      <x:c r="B51" s="38" t="n">
        <x:v>47</x:v>
      </x:c>
      <x:c r="C51" s="38" t="str">
        <x:v>F4 Opcional forense alto detalle</x:v>
      </x:c>
      <x:c r="D51" s="38" t="str">
        <x:v>P1 Critical</x:v>
      </x:c>
      <x:c r="E51" s="38" t="str">
        <x:v>Opcional</x:v>
      </x:c>
      <x:c r="F51" s="38" t="str">
        <x:v>Windows.Registry.Hunter</x:v>
      </x:c>
      <x:c r="G51" s="38" t="str">
        <x:v>CLIENT/Hunt</x:v>
      </x:c>
      <x:c r="H51" s="38" t="str">
        <x:v>Bajo demanda</x:v>
      </x:c>
      <x:c r="I51" s="38" t="str">
        <x:v>TEC-004</x:v>
      </x:c>
      <x:c r="J51" s="38" t="str">
        <x:v>T1547.001</x:v>
      </x:c>
      <x:c r="K51" s="38" t="str">
        <x:v>Persistence / Privilege Escalation</x:v>
      </x:c>
      <x:c r="L51" s="38" t="str">
        <x:v>Registry Run Keys / Startup Folder</x:v>
      </x:c>
      <x:c r="M51" s="38" t="str">
        <x:v>Valorar utilidad de Windows.Registry.Hunter como apoyo forense.</x:v>
      </x:c>
      <x:c r="N51" s="38" t="str">
        <x:v>Solo si se requiere evidencia ampliada; no usar como monitorización continua.</x:v>
      </x:c>
      <x:c r="O51" s="38" t="str">
        <x:v>Evidencia forense ampliada.</x:v>
      </x:c>
      <x:c r="P51" s="38" t="str">
        <x:v>Pendiente</x:v>
      </x:c>
      <x:c r="Q51" s="38" t="str">
        <x:v>Pendiente</x:v>
      </x:c>
      <x:c r="R51" s="38" t="str">
        <x:v>Pendiente</x:v>
      </x:c>
      <x:c r="S51" s="38" t="str">
        <x:v>Pendiente</x:v>
      </x:c>
      <x:c r="T51" s="38" t="str">
        <x:v>Pendiente</x:v>
      </x:c>
      <x:c r="U51" s="38" t="str">
        <x:v>Pendiente</x:v>
      </x:c>
      <x:c r="V51" s="38" t="str">
        <x:v>Pendiente</x:v>
      </x:c>
      <x:c r="W51" s="38" t="str"/>
      <x:c r="X51" s="38" t="str"/>
      <x:c r="Y51" s="38" t="str"/>
      <x:c r="Z51" s="38" t="str"/>
      <x:c r="AA51" s="38" t="str">
        <x:v>Pendiente</x:v>
      </x:c>
      <x:c r="AB51" s="38" t="str">
        <x:v>Pendiente</x:v>
      </x:c>
      <x:c r="AC51" s="38" t="str">
        <x:v>Pendiente</x:v>
      </x:c>
      <x:c r="AD51" s="38" t="str">
        <x:v>Pendiente</x:v>
      </x:c>
      <x:c r="AE51" s="38" t="str">
        <x:v>Pendiente</x:v>
      </x:c>
      <x:c r="AF51" s="38" t="str"/>
    </x:row>
  </x:sheetData>
  <x:mergeCells>
    <x:mergeCell ref="A1:AF1"/>
    <x:mergeCell ref="A2:AF2"/>
  </x:mergeCells>
  <x:conditionalFormatting sqref="U5:U51">
    <x:cfRule type="expression" dxfId="0" priority="1">
      <x:formula>U5="Sí"</x:formula>
    </x:cfRule>
    <x:cfRule type="expression" dxfId="1" priority="2">
      <x:formula>U5="Parcial"</x:formula>
    </x:cfRule>
    <x:cfRule type="expression" dxfId="2" priority="3">
      <x:formula>U5="No"</x:formula>
    </x:cfRule>
  </x:conditionalFormatting>
  <x:conditionalFormatting sqref="AB5:AB51">
    <x:cfRule type="expression" dxfId="3" priority="4">
      <x:formula>AB5="Sí"</x:formula>
    </x:cfRule>
    <x:cfRule type="expression" dxfId="4" priority="5">
      <x:formula>AB5="No"</x:formula>
    </x:cfRule>
    <x:cfRule type="expression" dxfId="5" priority="6">
      <x:formula>AB5="Parcial"</x:formula>
    </x:cfRule>
  </x:conditionalFormatting>
  <x:conditionalFormatting sqref="P5:P51">
    <x:cfRule type="expression" dxfId="6" priority="7">
      <x:formula>P5="Completada"</x:formula>
    </x:cfRule>
    <x:cfRule type="expression" dxfId="7" priority="8">
      <x:formula>P5="Bloqueada"</x:formula>
    </x:cfRule>
    <x:cfRule type="expression" dxfId="8" priority="9">
      <x:formula>P5="En curso"</x:formula>
    </x:cfRule>
  </x:conditionalFormatting>
  <x:dataValidations count="9">
    <x:dataValidation type="list" sqref="P5:P51">
      <x:formula1>99_Listas!$A$2:$A$6</x:formula1>
    </x:dataValidation>
    <x:dataValidation type="list" sqref="Q5:Q51">
      <x:formula1>99_Listas!$B$2:$B$6</x:formula1>
    </x:dataValidation>
    <x:dataValidation type="list" sqref="R5:R51">
      <x:formula1>99_Listas!$B$2:$B$6</x:formula1>
    </x:dataValidation>
    <x:dataValidation type="list" sqref="S5:S51">
      <x:formula1>99_Listas!$B$2:$B$6</x:formula1>
    </x:dataValidation>
    <x:dataValidation type="list" sqref="T5:T51">
      <x:formula1>99_Listas!$B$2:$B$6</x:formula1>
    </x:dataValidation>
    <x:dataValidation type="list" sqref="U5:U51">
      <x:formula1>99_Listas!$B$2:$B$6</x:formula1>
    </x:dataValidation>
    <x:dataValidation type="list" sqref="V5:V51">
      <x:formula1>99_Listas!$C$2:$C$6</x:formula1>
    </x:dataValidation>
    <x:dataValidation type="list" sqref="AA5:AA51">
      <x:formula1>99_Listas!$D$2:$D$6</x:formula1>
    </x:dataValidation>
    <x:dataValidation type="list" sqref="AB5:AB51">
      <x:formula1>99_Listas!$E$2:$E$6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d0d1f6dec64a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0" hidden="0" customWidth="1"/>
    <x:col min="10" max="10" width="28" hidden="0" customWidth="1"/>
    <x:col min="11" max="11" width="18" hidden="0" customWidth="1"/>
    <x:col min="12" max="12" width="18" hidden="0" customWidth="1"/>
    <x:col min="13" max="13" width="36" hidden="0" customWidth="1"/>
  </x:cols>
  <x:sheetData>
    <x:row r="1" ht="34" customHeight="1">
      <x:c r="A1" s="5" t="str">
        <x:v>Matriz de cobertura pública por técnica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 ht="32" customHeight="1">
      <x:c r="A3" s="30" t="str">
        <x:v>TEC</x:v>
      </x:c>
      <x:c r="B3" s="30" t="str">
        <x:v>MITRE</x:v>
      </x:c>
      <x:c r="C3" s="30" t="str">
        <x:v>Técnica</x:v>
      </x:c>
      <x:c r="D3" s="30" t="str">
        <x:v>ProcessCreation</x:v>
      </x:c>
      <x:c r="E3" s="30" t="str">
        <x:v>ServiceCreation</x:v>
      </x:c>
      <x:c r="F3" s="30" t="str">
        <x:v>SysmonLogForward</x:v>
      </x:c>
      <x:c r="G3" s="30" t="str">
        <x:v>Hayabusa.Rules</x:v>
      </x:c>
      <x:c r="H3" s="30" t="str">
        <x:v>Hayabusa.Monitoring</x:v>
      </x:c>
      <x:c r="I3" s="30" t="str">
        <x:v>Persistence/Triage</x:v>
      </x:c>
      <x:c r="J3" s="30" t="str">
        <x:v>Conclusión pública</x:v>
      </x:c>
      <x:c r="K3" s="30" t="str">
        <x:v>Custom necesario</x:v>
      </x:c>
      <x:c r="L3" s="30" t="str">
        <x:v>Prioridad custom</x:v>
      </x:c>
      <x:c r="M3" s="30" t="str">
        <x:v>Notas</x:v>
      </x:c>
    </x:row>
    <x:row r="4">
      <x:c r="A4" s="38" t="str">
        <x:v>TEC-001</x:v>
      </x:c>
      <x:c r="B4" s="38" t="str">
        <x:v>T1059.001</x:v>
      </x:c>
      <x:c r="C4" s="38" t="str">
        <x:v>PowerShell</x:v>
      </x:c>
      <x:c r="D4" s="38" t="str">
        <x:v>Pendiente</x:v>
      </x:c>
      <x:c r="E4" s="38" t="str">
        <x:v>N/A</x:v>
      </x:c>
      <x:c r="F4" s="38" t="str">
        <x:v>Pendiente</x:v>
      </x:c>
      <x:c r="G4" s="38" t="str">
        <x:v>Pendiente</x:v>
      </x:c>
      <x:c r="H4" s="38" t="str">
        <x:v>Pendiente</x:v>
      </x:c>
      <x:c r="I4" s="38" t="str">
        <x:v>N/A</x:v>
      </x:c>
      <x:c r="J4" s="38" t="str">
        <x:v>Pendiente</x:v>
      </x:c>
      <x:c r="K4" s="38" t="str">
        <x:v>Pendiente</x:v>
      </x:c>
      <x:c r="L4" s="38" t="str">
        <x:v>Media</x:v>
      </x:c>
      <x:c r="M4" s="38" t="str"/>
    </x:row>
    <x:row r="5">
      <x:c r="A5" s="38" t="str">
        <x:v>TEC-002</x:v>
      </x:c>
      <x:c r="B5" s="38" t="str">
        <x:v>T1059.003</x:v>
      </x:c>
      <x:c r="C5" s="38" t="str">
        <x:v>Windows Command Shell</x:v>
      </x:c>
      <x:c r="D5" s="38" t="str">
        <x:v>Pendiente</x:v>
      </x:c>
      <x:c r="E5" s="38" t="str">
        <x:v>N/A</x:v>
      </x:c>
      <x:c r="F5" s="38" t="str">
        <x:v>Pendiente</x:v>
      </x:c>
      <x:c r="G5" s="38" t="str">
        <x:v>Pendiente</x:v>
      </x:c>
      <x:c r="H5" s="38" t="str">
        <x:v>Pendiente</x:v>
      </x:c>
      <x:c r="I5" s="38" t="str">
        <x:v>N/A</x:v>
      </x:c>
      <x:c r="J5" s="38" t="str">
        <x:v>Pendiente</x:v>
      </x:c>
      <x:c r="K5" s="38" t="str">
        <x:v>Pendiente</x:v>
      </x:c>
      <x:c r="L5" s="38" t="str">
        <x:v>Media</x:v>
      </x:c>
      <x:c r="M5" s="38" t="str"/>
    </x:row>
    <x:row r="6">
      <x:c r="A6" s="38" t="str">
        <x:v>TEC-003</x:v>
      </x:c>
      <x:c r="B6" s="38" t="str">
        <x:v>T1053.005</x:v>
      </x:c>
      <x:c r="C6" s="38" t="str">
        <x:v>Scheduled Task</x:v>
      </x:c>
      <x:c r="D6" s="38" t="str">
        <x:v>Pendiente</x:v>
      </x:c>
      <x:c r="E6" s="38" t="str">
        <x:v>N/A</x:v>
      </x:c>
      <x:c r="F6" s="38" t="str">
        <x:v>Pendiente</x:v>
      </x:c>
      <x:c r="G6" s="38" t="str">
        <x:v>Pendiente</x:v>
      </x:c>
      <x:c r="H6" s="38" t="str">
        <x:v>Pendiente</x:v>
      </x:c>
      <x:c r="I6" s="38" t="str">
        <x:v>Pendiente</x:v>
      </x:c>
      <x:c r="J6" s="38" t="str">
        <x:v>Pendiente</x:v>
      </x:c>
      <x:c r="K6" s="38" t="str">
        <x:v>Pendiente</x:v>
      </x:c>
      <x:c r="L6" s="38" t="str">
        <x:v>Alta</x:v>
      </x:c>
      <x:c r="M6" s="38" t="str"/>
    </x:row>
    <x:row r="7">
      <x:c r="A7" s="38" t="str">
        <x:v>TEC-004</x:v>
      </x:c>
      <x:c r="B7" s="38" t="str">
        <x:v>T1547.001</x:v>
      </x:c>
      <x:c r="C7" s="38" t="str">
        <x:v>Registry Run Keys / Startup Folder</x:v>
      </x:c>
      <x:c r="D7" s="38" t="str">
        <x:v>Pendiente</x:v>
      </x:c>
      <x:c r="E7" s="38" t="str">
        <x:v>N/A</x:v>
      </x:c>
      <x:c r="F7" s="38" t="str">
        <x:v>Pendiente</x:v>
      </x:c>
      <x:c r="G7" s="38" t="str">
        <x:v>Pendiente</x:v>
      </x:c>
      <x:c r="H7" s="38" t="str">
        <x:v>Pendiente</x:v>
      </x:c>
      <x:c r="I7" s="38" t="str">
        <x:v>Pendiente</x:v>
      </x:c>
      <x:c r="J7" s="38" t="str">
        <x:v>Pendiente</x:v>
      </x:c>
      <x:c r="K7" s="38" t="str">
        <x:v>Pendiente</x:v>
      </x:c>
      <x:c r="L7" s="38" t="str">
        <x:v>Alta</x:v>
      </x:c>
      <x:c r="M7" s="38" t="str"/>
    </x:row>
    <x:row r="8">
      <x:c r="A8" s="38" t="str">
        <x:v>TEC-005</x:v>
      </x:c>
      <x:c r="B8" s="38" t="str">
        <x:v>T1569.002</x:v>
      </x:c>
      <x:c r="C8" s="38" t="str">
        <x:v>Service Execution</x:v>
      </x:c>
      <x:c r="D8" s="38" t="str">
        <x:v>Pendiente</x:v>
      </x:c>
      <x:c r="E8" s="38" t="str">
        <x:v>Pendiente</x:v>
      </x:c>
      <x:c r="F8" s="38" t="str">
        <x:v>Pendiente</x:v>
      </x:c>
      <x:c r="G8" s="38" t="str">
        <x:v>Pendiente</x:v>
      </x:c>
      <x:c r="H8" s="38" t="str">
        <x:v>Pendiente</x:v>
      </x:c>
      <x:c r="I8" s="38" t="str">
        <x:v>Pendiente</x:v>
      </x:c>
      <x:c r="J8" s="38" t="str">
        <x:v>Pendiente</x:v>
      </x:c>
      <x:c r="K8" s="38" t="str">
        <x:v>Pendiente</x:v>
      </x:c>
      <x:c r="L8" s="38" t="str">
        <x:v>Alta</x:v>
      </x:c>
      <x:c r="M8" s="38" t="str"/>
    </x:row>
    <x:row r="9">
      <x:c r="A9" s="38" t="str">
        <x:v>TEC-006</x:v>
      </x:c>
      <x:c r="B9" s="38" t="str">
        <x:v>T1518.001</x:v>
      </x:c>
      <x:c r="C9" s="38" t="str">
        <x:v>Security Software Discovery</x:v>
      </x:c>
      <x:c r="D9" s="38" t="str">
        <x:v>Pendiente</x:v>
      </x:c>
      <x:c r="E9" s="38" t="str">
        <x:v>N/A</x:v>
      </x:c>
      <x:c r="F9" s="38" t="str">
        <x:v>Pendiente</x:v>
      </x:c>
      <x:c r="G9" s="38" t="str">
        <x:v>Pendiente</x:v>
      </x:c>
      <x:c r="H9" s="38" t="str">
        <x:v>Pendiente</x:v>
      </x:c>
      <x:c r="I9" s="38" t="str">
        <x:v>N/A</x:v>
      </x:c>
      <x:c r="J9" s="38" t="str">
        <x:v>Pendiente</x:v>
      </x:c>
      <x:c r="K9" s="38" t="str">
        <x:v>Pendiente</x:v>
      </x:c>
      <x:c r="L9" s="38" t="str">
        <x:v>Media</x:v>
      </x:c>
      <x:c r="M9" s="38" t="str"/>
    </x:row>
    <x:row r="10">
      <x:c r="A10" s="38" t="str">
        <x:v>TEC-007</x:v>
      </x:c>
      <x:c r="B10" s="38" t="str">
        <x:v>T1486</x:v>
      </x:c>
      <x:c r="C10" s="38" t="str">
        <x:v>Data Encrypted for Impact</x:v>
      </x:c>
      <x:c r="D10" s="38" t="str">
        <x:v>Parcial</x:v>
      </x:c>
      <x:c r="E10" s="38" t="str">
        <x:v>N/A</x:v>
      </x:c>
      <x:c r="F10" s="38" t="str">
        <x:v>Pendiente</x:v>
      </x:c>
      <x:c r="G10" s="38" t="str">
        <x:v>Pendiente</x:v>
      </x:c>
      <x:c r="H10" s="38" t="str">
        <x:v>Pendiente</x:v>
      </x:c>
      <x:c r="I10" s="38" t="str">
        <x:v>N/A</x:v>
      </x:c>
      <x:c r="J10" s="38" t="str">
        <x:v>Pendiente</x:v>
      </x:c>
      <x:c r="K10" s="38" t="str">
        <x:v>Sí</x:v>
      </x:c>
      <x:c r="L10" s="38" t="str">
        <x:v>Alta</x:v>
      </x:c>
      <x:c r="M10" s="38" t="str"/>
    </x:row>
    <x:row r="11">
      <x:c r="A11" s="38" t="str">
        <x:v>TEC-008</x:v>
      </x:c>
      <x:c r="B11" s="38" t="str">
        <x:v>T1485</x:v>
      </x:c>
      <x:c r="C11" s="38" t="str">
        <x:v>Data Destruction</x:v>
      </x:c>
      <x:c r="D11" s="38" t="str">
        <x:v>Parcial</x:v>
      </x:c>
      <x:c r="E11" s="38" t="str">
        <x:v>N/A</x:v>
      </x:c>
      <x:c r="F11" s="38" t="str">
        <x:v>Pendiente</x:v>
      </x:c>
      <x:c r="G11" s="38" t="str">
        <x:v>Pendiente</x:v>
      </x:c>
      <x:c r="H11" s="38" t="str">
        <x:v>Pendiente</x:v>
      </x:c>
      <x:c r="I11" s="38" t="str">
        <x:v>N/A</x:v>
      </x:c>
      <x:c r="J11" s="38" t="str">
        <x:v>Pendiente</x:v>
      </x:c>
      <x:c r="K11" s="38" t="str">
        <x:v>Sí</x:v>
      </x:c>
      <x:c r="L11" s="38" t="str">
        <x:v>Alta</x:v>
      </x:c>
      <x:c r="M11" s="38" t="str"/>
    </x:row>
    <x:row r="12">
      <x:c r="A12" s="38" t="str">
        <x:v>TEC-009</x:v>
      </x:c>
      <x:c r="B12" s="38" t="str">
        <x:v>T1074.001 / T1560.001</x:v>
      </x:c>
      <x:c r="C12" s="38" t="str">
        <x:v>Staging / Archive Collected Data</x:v>
      </x:c>
      <x:c r="D12" s="38" t="str">
        <x:v>Parcial</x:v>
      </x:c>
      <x:c r="E12" s="38" t="str">
        <x:v>N/A</x:v>
      </x:c>
      <x:c r="F12" s="38" t="str">
        <x:v>Pendiente</x:v>
      </x:c>
      <x:c r="G12" s="38" t="str">
        <x:v>Pendiente</x:v>
      </x:c>
      <x:c r="H12" s="38" t="str">
        <x:v>Pendiente</x:v>
      </x:c>
      <x:c r="I12" s="38" t="str">
        <x:v>N/A</x:v>
      </x:c>
      <x:c r="J12" s="38" t="str">
        <x:v>Pendiente</x:v>
      </x:c>
      <x:c r="K12" s="38" t="str">
        <x:v>Sí</x:v>
      </x:c>
      <x:c r="L12" s="38" t="str">
        <x:v>Alta</x:v>
      </x:c>
      <x:c r="M12" s="38" t="str"/>
    </x:row>
  </x:sheetData>
  <x:mergeCells>
    <x:mergeCell ref="A1:M1"/>
  </x:mergeCells>
  <x:conditionalFormatting sqref="D4:D12">
    <x:cfRule type="expression" dxfId="9" priority="1">
      <x:formula>D4="Sí"</x:formula>
    </x:cfRule>
    <x:cfRule type="expression" dxfId="10" priority="2">
      <x:formula>D4="Parcial"</x:formula>
    </x:cfRule>
    <x:cfRule type="expression" dxfId="11" priority="3">
      <x:formula>D4="No"</x:formula>
    </x:cfRule>
  </x:conditionalFormatting>
  <x:conditionalFormatting sqref="E4:E12">
    <x:cfRule type="expression" dxfId="12" priority="4">
      <x:formula>E4="Sí"</x:formula>
    </x:cfRule>
    <x:cfRule type="expression" dxfId="13" priority="5">
      <x:formula>E4="Parcial"</x:formula>
    </x:cfRule>
    <x:cfRule type="expression" dxfId="14" priority="6">
      <x:formula>E4="No"</x:formula>
    </x:cfRule>
  </x:conditionalFormatting>
  <x:conditionalFormatting sqref="F4:F12">
    <x:cfRule type="expression" dxfId="15" priority="7">
      <x:formula>F4="Sí"</x:formula>
    </x:cfRule>
    <x:cfRule type="expression" dxfId="16" priority="8">
      <x:formula>F4="Parcial"</x:formula>
    </x:cfRule>
    <x:cfRule type="expression" dxfId="17" priority="9">
      <x:formula>F4="No"</x:formula>
    </x:cfRule>
  </x:conditionalFormatting>
  <x:conditionalFormatting sqref="G4:G12">
    <x:cfRule type="expression" dxfId="18" priority="10">
      <x:formula>G4="Sí"</x:formula>
    </x:cfRule>
    <x:cfRule type="expression" dxfId="19" priority="11">
      <x:formula>G4="Parcial"</x:formula>
    </x:cfRule>
    <x:cfRule type="expression" dxfId="20" priority="12">
      <x:formula>G4="No"</x:formula>
    </x:cfRule>
  </x:conditionalFormatting>
  <x:conditionalFormatting sqref="H4:H12">
    <x:cfRule type="expression" dxfId="21" priority="13">
      <x:formula>H4="Sí"</x:formula>
    </x:cfRule>
    <x:cfRule type="expression" dxfId="22" priority="14">
      <x:formula>H4="Parcial"</x:formula>
    </x:cfRule>
    <x:cfRule type="expression" dxfId="23" priority="15">
      <x:formula>H4="No"</x:formula>
    </x:cfRule>
  </x:conditionalFormatting>
  <x:conditionalFormatting sqref="I4:I12">
    <x:cfRule type="expression" dxfId="24" priority="16">
      <x:formula>I4="Sí"</x:formula>
    </x:cfRule>
    <x:cfRule type="expression" dxfId="25" priority="17">
      <x:formula>I4="Parcial"</x:formula>
    </x:cfRule>
    <x:cfRule type="expression" dxfId="26" priority="18">
      <x:formula>I4="No"</x:formula>
    </x:cfRule>
  </x:conditionalFormatting>
  <x:conditionalFormatting sqref="J4:J12">
    <x:cfRule type="expression" dxfId="27" priority="19">
      <x:formula>J4="Sí"</x:formula>
    </x:cfRule>
    <x:cfRule type="expression" dxfId="28" priority="20">
      <x:formula>J4="Parcial"</x:formula>
    </x:cfRule>
    <x:cfRule type="expression" dxfId="29" priority="21">
      <x:formula>J4="No"</x:formula>
    </x:cfRule>
  </x:conditionalFormatting>
  <x:conditionalFormatting sqref="K4:K12">
    <x:cfRule type="expression" dxfId="30" priority="22">
      <x:formula>K4="Sí"</x:formula>
    </x:cfRule>
    <x:cfRule type="expression" dxfId="31" priority="23">
      <x:formula>K4="Parcial"</x:formula>
    </x:cfRule>
    <x:cfRule type="expression" dxfId="32" priority="24">
      <x:formula>K4="No"</x:formula>
    </x:cfRule>
  </x:conditionalFormatting>
  <x:dataValidations count="8">
    <x:dataValidation type="list" sqref="D4:D12">
      <x:formula1>99_Listas!$B$2:$B$6</x:formula1>
    </x:dataValidation>
    <x:dataValidation type="list" sqref="E4:E12">
      <x:formula1>99_Listas!$B$2:$B$6</x:formula1>
    </x:dataValidation>
    <x:dataValidation type="list" sqref="F4:F12">
      <x:formula1>99_Listas!$B$2:$B$6</x:formula1>
    </x:dataValidation>
    <x:dataValidation type="list" sqref="G4:G12">
      <x:formula1>99_Listas!$B$2:$B$6</x:formula1>
    </x:dataValidation>
    <x:dataValidation type="list" sqref="H4:H12">
      <x:formula1>99_Listas!$B$2:$B$6</x:formula1>
    </x:dataValidation>
    <x:dataValidation type="list" sqref="I4:I12">
      <x:formula1>99_Listas!$B$2:$B$6</x:formula1>
    </x:dataValidation>
    <x:dataValidation type="list" sqref="J4:J12">
      <x:formula1>99_Listas!$B$2:$B$6</x:formula1>
    </x:dataValidation>
    <x:dataValidation type="list" sqref="K4:K12">
      <x:formula1>99_Listas!$B$2:$B$6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63021e78954d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46" hidden="0" customWidth="1"/>
    <x:col min="10" max="10" width="34" hidden="0" customWidth="1"/>
    <x:col min="11" max="11" width="48" hidden="0" customWidth="1"/>
    <x:col min="12" max="12" width="22" hidden="0" customWidth="1"/>
  </x:cols>
  <x:sheetData>
    <x:row r="1" ht="34" customHeight="1">
      <x:c r="A1" s="5" t="str">
        <x:v>Catálogo de artifacts públicos candidatos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 ht="32" customHeight="1">
      <x:c r="A3" s="30" t="str">
        <x:v>Artifact</x:v>
      </x:c>
      <x:c r="B3" s="30" t="str">
        <x:v>Origen</x:v>
      </x:c>
      <x:c r="C3" s="30" t="str">
        <x:v>Tipo</x:v>
      </x:c>
      <x:c r="D3" s="30" t="str">
        <x:v>Modo recomendado</x:v>
      </x:c>
      <x:c r="E3" s="30" t="str">
        <x:v>Perfil</x:v>
      </x:c>
      <x:c r="F3" s="30" t="str">
        <x:v>Consumo</x:v>
      </x:c>
      <x:c r="G3" s="30" t="str">
        <x:v>Prioridad</x:v>
      </x:c>
      <x:c r="H3" s="30" t="str">
        <x:v>Técnicas objetivo</x:v>
      </x:c>
      <x:c r="I3" s="30" t="str">
        <x:v>Uso en el TFM</x:v>
      </x:c>
      <x:c r="J3" s="30" t="str">
        <x:v>Obtención</x:v>
      </x:c>
      <x:c r="K3" s="30" t="str">
        <x:v>URL fuente</x:v>
      </x:c>
      <x:c r="L3" s="30" t="str">
        <x:v>Decisión</x:v>
      </x:c>
    </x:row>
    <x:row r="4">
      <x:c r="A4" s="38" t="str">
        <x:v>Windows.Events.ProcessCreation</x:v>
      </x:c>
      <x:c r="B4" s="38" t="str">
        <x:v>Built-in</x:v>
      </x:c>
      <x:c r="C4" s="38" t="str">
        <x:v>CLIENT_EVENT</x:v>
      </x:c>
      <x:c r="D4" s="38" t="str">
        <x:v>Client Monitoring</x:v>
      </x:c>
      <x:c r="E4" s="38" t="str">
        <x:v>P4 Low</x:v>
      </x:c>
      <x:c r="F4" s="38" t="str">
        <x:v>Bajo</x:v>
      </x:c>
      <x:c r="G4" s="38" t="str">
        <x:v>Obligatoria</x:v>
      </x:c>
      <x:c r="H4" s="38" t="str">
        <x:v>TEC-001 a TEC-006; parcial TEC-007/008/009</x:v>
      </x:c>
      <x:c r="I4" s="38" t="str">
        <x:v>Visibilidad básica de procesos. No clasifica MITRE por sí solo.</x:v>
      </x:c>
      <x:c r="J4" s="38" t="str">
        <x:v>View Artifacts → buscar nombre</x:v>
      </x:c>
      <x:c r="K4" s="38" t="str">
        <x:v>https://docs.velociraptor.app/docs/gui/artifacts/</x:v>
      </x:c>
      <x:c r="L4" s="38" t="str">
        <x:v>Probar primero</x:v>
      </x:c>
    </x:row>
    <x:row r="5">
      <x:c r="A5" s="38" t="str">
        <x:v>Windows.Events.ServiceCreation</x:v>
      </x:c>
      <x:c r="B5" s="38" t="str">
        <x:v>Built-in</x:v>
      </x:c>
      <x:c r="C5" s="38" t="str">
        <x:v>CLIENT_EVENT</x:v>
      </x:c>
      <x:c r="D5" s="38" t="str">
        <x:v>Client Monitoring</x:v>
      </x:c>
      <x:c r="E5" s="38" t="str">
        <x:v>P4 Low</x:v>
      </x:c>
      <x:c r="F5" s="38" t="str">
        <x:v>Bajo</x:v>
      </x:c>
      <x:c r="G5" s="38" t="str">
        <x:v>Obligatoria</x:v>
      </x:c>
      <x:c r="H5" s="38" t="str">
        <x:v>TEC-005</x:v>
      </x:c>
      <x:c r="I5" s="38" t="str">
        <x:v>Detección directa de creación de servicios / EventID 7045.</x:v>
      </x:c>
      <x:c r="J5" s="38" t="str">
        <x:v>View Artifacts → buscar nombre</x:v>
      </x:c>
      <x:c r="K5" s="38" t="str">
        <x:v>https://docs.velociraptor.app/docs/gui/artifacts/</x:v>
      </x:c>
      <x:c r="L5" s="38" t="str">
        <x:v>Probar primero</x:v>
      </x:c>
    </x:row>
    <x:row r="6">
      <x:c r="A6" s="38" t="str">
        <x:v>Windows.Sysinternals.SysmonLogForward</x:v>
      </x:c>
      <x:c r="B6" s="38" t="str">
        <x:v>Built-in</x:v>
      </x:c>
      <x:c r="C6" s="38" t="str">
        <x:v>CLIENT_EVENT</x:v>
      </x:c>
      <x:c r="D6" s="38" t="str">
        <x:v>Client Monitoring</x:v>
      </x:c>
      <x:c r="E6" s="38" t="str">
        <x:v>P4/P2</x:v>
      </x:c>
      <x:c r="F6" s="38" t="str">
        <x:v>Bajo/medio</x:v>
      </x:c>
      <x:c r="G6" s="38" t="str">
        <x:v>Obligatoria</x:v>
      </x:c>
      <x:c r="H6" s="38" t="str">
        <x:v>Varias</x:v>
      </x:c>
      <x:c r="I6" s="38" t="str">
        <x:v>Reenvío/visibilidad Sysmon. Útil como evidencia base, no como alerta semántica.</x:v>
      </x:c>
      <x:c r="J6" s="38" t="str">
        <x:v>View Artifacts → buscar nombre</x:v>
      </x:c>
      <x:c r="K6" s="38" t="str">
        <x:v>https://docs.velociraptor.app/docs/gui/artifacts/</x:v>
      </x:c>
      <x:c r="L6" s="38" t="str">
        <x:v>Probar primero</x:v>
      </x:c>
    </x:row>
    <x:row r="7">
      <x:c r="A7" s="38" t="str">
        <x:v>Windows.Hayabusa.Rules</x:v>
      </x:c>
      <x:c r="B7" s="38" t="str">
        <x:v>Sigma/Hayabusa público</x:v>
      </x:c>
      <x:c r="C7" s="38" t="str">
        <x:v>CLIENT/Hunt</x:v>
      </x:c>
      <x:c r="D7" s="38" t="str">
        <x:v>Histórico post-ejecución</x:v>
      </x:c>
      <x:c r="E7" s="38" t="str">
        <x:v>P3 Medium</x:v>
      </x:c>
      <x:c r="F7" s="38" t="str">
        <x:v>Medio</x:v>
      </x:c>
      <x:c r="G7" s="38" t="str">
        <x:v>Obligatoria</x:v>
      </x:c>
      <x:c r="H7" s="38" t="str">
        <x:v>TEC-001 a TEC-009 parcial</x:v>
      </x:c>
      <x:c r="I7" s="38" t="str">
        <x:v>Evaluar reglas públicas Sigma/Hayabusa sobre EVTX históricos.</x:v>
      </x:c>
      <x:c r="J7" s="38" t="str">
        <x:v>Velociraptor.Sigma.Artifacts.zip / Server.Import.Extras</x:v>
      </x:c>
      <x:c r="K7" s="38" t="str">
        <x:v>https://sigma.velocidex.com/docs/artifacts/windows.hayabusa.rules/</x:v>
      </x:c>
      <x:c r="L7" s="38" t="str">
        <x:v>Probar tras cada técnica</x:v>
      </x:c>
    </x:row>
    <x:row r="8">
      <x:c r="A8" s="38" t="str">
        <x:v>Windows.Hayabusa.Monitoring</x:v>
      </x:c>
      <x:c r="B8" s="38" t="str">
        <x:v>Sigma/Hayabusa público</x:v>
      </x:c>
      <x:c r="C8" s="38" t="str">
        <x:v>CLIENT_EVENT</x:v>
      </x:c>
      <x:c r="D8" s="38" t="str">
        <x:v>Client Monitoring</x:v>
      </x:c>
      <x:c r="E8" s="38" t="str">
        <x:v>P3 Medium</x:v>
      </x:c>
      <x:c r="F8" s="38" t="str">
        <x:v>Medio</x:v>
      </x:c>
      <x:c r="G8" s="38" t="str">
        <x:v>Obligatoria</x:v>
      </x:c>
      <x:c r="H8" s="38" t="str">
        <x:v>TEC-001 a TEC-009 parcial</x:v>
      </x:c>
      <x:c r="I8" s="38" t="str">
        <x:v>Evaluar detección HIDS pública en tiempo real.</x:v>
      </x:c>
      <x:c r="J8" s="38" t="str">
        <x:v>Velociraptor.Sigma.Artifacts.zip / Server.Import.Extras</x:v>
      </x:c>
      <x:c r="K8" s="38" t="str">
        <x:v>https://sigma.velocidex.com/docs/artifacts/windows.hayabusa.monitoring/</x:v>
      </x:c>
      <x:c r="L8" s="38" t="str">
        <x:v>Probar después de Rules</x:v>
      </x:c>
    </x:row>
    <x:row r="9">
      <x:c r="A9" s="38" t="str">
        <x:v>Windows.Sigma.Triage</x:v>
      </x:c>
      <x:c r="B9" s="38" t="str">
        <x:v>Sigma público</x:v>
      </x:c>
      <x:c r="C9" s="38" t="str">
        <x:v>CLIENT/Hunt</x:v>
      </x:c>
      <x:c r="D9" s="38" t="str">
        <x:v>Histórico post-ejecución</x:v>
      </x:c>
      <x:c r="E9" s="38" t="str">
        <x:v>P3 Medium</x:v>
      </x:c>
      <x:c r="F9" s="38" t="str">
        <x:v>Medio</x:v>
      </x:c>
      <x:c r="G9" s="38" t="str">
        <x:v>Opcional</x:v>
      </x:c>
      <x:c r="H9" s="38" t="str">
        <x:v>Varias</x:v>
      </x:c>
      <x:c r="I9" s="38" t="str">
        <x:v>Comparación secundaria si Hayabusa no es suficiente.</x:v>
      </x:c>
      <x:c r="J9" s="38" t="str">
        <x:v>Velociraptor.Sigma.Artifacts.zip / Server.Import.Extras</x:v>
      </x:c>
      <x:c r="K9" s="38" t="str">
        <x:v>https://sigma.velocidex.com/docs/artifacts/</x:v>
      </x:c>
      <x:c r="L9" s="38" t="str">
        <x:v>Solo si hace falta</x:v>
      </x:c>
    </x:row>
    <x:row r="10">
      <x:c r="A10" s="38" t="str">
        <x:v>Windows.Packs.Persistence</x:v>
      </x:c>
      <x:c r="B10" s="38" t="str">
        <x:v>Built-in/Pack</x:v>
      </x:c>
      <x:c r="C10" s="38" t="str">
        <x:v>CLIENT/Hunt</x:v>
      </x:c>
      <x:c r="D10" s="38" t="str">
        <x:v>Post-ejecución</x:v>
      </x:c>
      <x:c r="E10" s="38" t="str">
        <x:v>P2 High</x:v>
      </x:c>
      <x:c r="F10" s="38" t="str">
        <x:v>Medio</x:v>
      </x:c>
      <x:c r="G10" s="38" t="str">
        <x:v>Recomendada</x:v>
      </x:c>
      <x:c r="H10" s="38" t="str">
        <x:v>TEC-003/004/005</x:v>
      </x:c>
      <x:c r="I10" s="38" t="str">
        <x:v>Evidencia pública de persistencia Windows.</x:v>
      </x:c>
      <x:c r="J10" s="38" t="str">
        <x:v>Built-in / imports oficiales</x:v>
      </x:c>
      <x:c r="K10" s="38" t="str">
        <x:v>https://github.com/Velocidex/velociraptor/blob/master/artifacts/definitions/Windows/Packs/Persistence.yaml</x:v>
      </x:c>
      <x:c r="L10" s="38" t="str">
        <x:v>Fase 3</x:v>
      </x:c>
    </x:row>
    <x:row r="11">
      <x:c r="A11" s="38" t="str">
        <x:v>Windows.Sys.StartupItems</x:v>
      </x:c>
      <x:c r="B11" s="38" t="str">
        <x:v>Built-in</x:v>
      </x:c>
      <x:c r="C11" s="38" t="str">
        <x:v>CLIENT/Hunt</x:v>
      </x:c>
      <x:c r="D11" s="38" t="str">
        <x:v>Post-ejecución</x:v>
      </x:c>
      <x:c r="E11" s="38" t="str">
        <x:v>P2 High</x:v>
      </x:c>
      <x:c r="F11" s="38" t="str">
        <x:v>Bajo/medio</x:v>
      </x:c>
      <x:c r="G11" s="38" t="str">
        <x:v>Recomendada</x:v>
      </x:c>
      <x:c r="H11" s="38" t="str">
        <x:v>TEC-004</x:v>
      </x:c>
      <x:c r="I11" s="38" t="str">
        <x:v>Run Keys y carpetas Startup.</x:v>
      </x:c>
      <x:c r="J11" s="38" t="str">
        <x:v>Built-in</x:v>
      </x:c>
      <x:c r="K11" s="38" t="str">
        <x:v>https://github.com/Velocidex/velociraptor/blob/master/artifacts/definitions/Windows/Sys/StartupItems.yaml</x:v>
      </x:c>
      <x:c r="L11" s="38" t="str">
        <x:v>Fase 3</x:v>
      </x:c>
    </x:row>
    <x:row r="12">
      <x:c r="A12" s="38" t="str">
        <x:v>Windows.System.TaskScheduler</x:v>
      </x:c>
      <x:c r="B12" s="38" t="str">
        <x:v>Built-in</x:v>
      </x:c>
      <x:c r="C12" s="38" t="str">
        <x:v>CLIENT/Hunt</x:v>
      </x:c>
      <x:c r="D12" s="38" t="str">
        <x:v>Post-ejecución</x:v>
      </x:c>
      <x:c r="E12" s="38" t="str">
        <x:v>P2 High</x:v>
      </x:c>
      <x:c r="F12" s="38" t="str">
        <x:v>Bajo/medio</x:v>
      </x:c>
      <x:c r="G12" s="38" t="str">
        <x:v>Recomendada</x:v>
      </x:c>
      <x:c r="H12" s="38" t="str">
        <x:v>TEC-003</x:v>
      </x:c>
      <x:c r="I12" s="38" t="str">
        <x:v>Evidencia de tareas programadas.</x:v>
      </x:c>
      <x:c r="J12" s="38" t="str">
        <x:v>Built-in</x:v>
      </x:c>
      <x:c r="K12" s="38" t="str">
        <x:v>https://docs.velociraptor.app/docs/gui/artifacts/</x:v>
      </x:c>
      <x:c r="L12" s="38" t="str">
        <x:v>Fase 3</x:v>
      </x:c>
    </x:row>
    <x:row r="13">
      <x:c r="A13" s="38" t="str">
        <x:v>Windows.Registry.ScheduledTasks</x:v>
      </x:c>
      <x:c r="B13" s="38" t="str">
        <x:v>Built-in</x:v>
      </x:c>
      <x:c r="C13" s="38" t="str">
        <x:v>CLIENT/Hunt</x:v>
      </x:c>
      <x:c r="D13" s="38" t="str">
        <x:v>Post-ejecución</x:v>
      </x:c>
      <x:c r="E13" s="38" t="str">
        <x:v>P2 High</x:v>
      </x:c>
      <x:c r="F13" s="38" t="str">
        <x:v>Medio</x:v>
      </x:c>
      <x:c r="G13" s="38" t="str">
        <x:v>Recomendada</x:v>
      </x:c>
      <x:c r="H13" s="38" t="str">
        <x:v>TEC-003</x:v>
      </x:c>
      <x:c r="I13" s="38" t="str">
        <x:v>Evidencia complementaria de tareas desde registro.</x:v>
      </x:c>
      <x:c r="J13" s="38" t="str">
        <x:v>Built-in</x:v>
      </x:c>
      <x:c r="K13" s="38" t="str">
        <x:v>https://docs.velociraptor.app/docs/gui/artifacts/</x:v>
      </x:c>
      <x:c r="L13" s="38" t="str">
        <x:v>Fase 3</x:v>
      </x:c>
    </x:row>
    <x:row r="14">
      <x:c r="A14" s="38" t="str">
        <x:v>Windows.System.Services</x:v>
      </x:c>
      <x:c r="B14" s="38" t="str">
        <x:v>Built-in</x:v>
      </x:c>
      <x:c r="C14" s="38" t="str">
        <x:v>CLIENT/Hunt</x:v>
      </x:c>
      <x:c r="D14" s="38" t="str">
        <x:v>Post-ejecución</x:v>
      </x:c>
      <x:c r="E14" s="38" t="str">
        <x:v>P2 High</x:v>
      </x:c>
      <x:c r="F14" s="38" t="str">
        <x:v>Bajo/medio</x:v>
      </x:c>
      <x:c r="G14" s="38" t="str">
        <x:v>Recomendada</x:v>
      </x:c>
      <x:c r="H14" s="38" t="str">
        <x:v>TEC-005</x:v>
      </x:c>
      <x:c r="I14" s="38" t="str">
        <x:v>Inventario/evidencia de servicios instalados.</x:v>
      </x:c>
      <x:c r="J14" s="38" t="str">
        <x:v>Built-in</x:v>
      </x:c>
      <x:c r="K14" s="38" t="str">
        <x:v>https://docs.velociraptor.app/docs/gui/artifacts/</x:v>
      </x:c>
      <x:c r="L14" s="38" t="str">
        <x:v>Fase 3</x:v>
      </x:c>
    </x:row>
    <x:row r="15">
      <x:c r="A15" s="38" t="str">
        <x:v>Windows.Sysinternals.Autoruns</x:v>
      </x:c>
      <x:c r="B15" s="38" t="str">
        <x:v>Built-in/Tool</x:v>
      </x:c>
      <x:c r="C15" s="38" t="str">
        <x:v>CLIENT/Hunt</x:v>
      </x:c>
      <x:c r="D15" s="38" t="str">
        <x:v>Post-ejecución</x:v>
      </x:c>
      <x:c r="E15" s="38" t="str">
        <x:v>P2 High</x:v>
      </x:c>
      <x:c r="F15" s="38" t="str">
        <x:v>Medio/alto</x:v>
      </x:c>
      <x:c r="G15" s="38" t="str">
        <x:v>Recomendada</x:v>
      </x:c>
      <x:c r="H15" s="38" t="str">
        <x:v>TEC-003/004/005</x:v>
      </x:c>
      <x:c r="I15" s="38" t="str">
        <x:v>Persistencia amplia; puede generar ruido.</x:v>
      </x:c>
      <x:c r="J15" s="38" t="str">
        <x:v>Built-in; puede requerir Sysinternals Autoruns</x:v>
      </x:c>
      <x:c r="K15" s="38" t="str">
        <x:v>https://docs.velociraptor.app/docs/gui/artifacts/</x:v>
      </x:c>
      <x:c r="L15" s="38" t="str">
        <x:v>Fase 3 con cautela</x:v>
      </x:c>
    </x:row>
    <x:row r="16">
      <x:c r="A16" s="38" t="str">
        <x:v>Windows.Triage.Targets</x:v>
      </x:c>
      <x:c r="B16" s="38" t="str">
        <x:v>Forense público</x:v>
      </x:c>
      <x:c r="C16" s="38" t="str">
        <x:v>CLIENT/Hunt</x:v>
      </x:c>
      <x:c r="D16" s="38" t="str">
        <x:v>Bajo demanda</x:v>
      </x:c>
      <x:c r="E16" s="38" t="str">
        <x:v>P1 Critical</x:v>
      </x:c>
      <x:c r="F16" s="38" t="str">
        <x:v>Alto</x:v>
      </x:c>
      <x:c r="G16" s="38" t="str">
        <x:v>Opcional</x:v>
      </x:c>
      <x:c r="H16" s="38" t="str">
        <x:v>Varias</x:v>
      </x:c>
      <x:c r="I16" s="38" t="str">
        <x:v>Triage forense amplio; no usar como HIDS continuo.</x:v>
      </x:c>
      <x:c r="J16" s="38" t="str">
        <x:v>Server.Import.Extras</x:v>
      </x:c>
      <x:c r="K16" s="38" t="str">
        <x:v>https://triage.velocidex.com/docs/windows.triage.targets/</x:v>
      </x:c>
      <x:c r="L16" s="38" t="str">
        <x:v>Solo P1/anexo</x:v>
      </x:c>
    </x:row>
    <x:row r="17">
      <x:c r="A17" s="38" t="str">
        <x:v>Windows.Registry.Hunter</x:v>
      </x:c>
      <x:c r="B17" s="38" t="str">
        <x:v>Forense público</x:v>
      </x:c>
      <x:c r="C17" s="38" t="str">
        <x:v>CLIENT/Hunt</x:v>
      </x:c>
      <x:c r="D17" s="38" t="str">
        <x:v>Bajo demanda</x:v>
      </x:c>
      <x:c r="E17" s="38" t="str">
        <x:v>P1 Critical</x:v>
      </x:c>
      <x:c r="F17" s="38" t="str">
        <x:v>Alto</x:v>
      </x:c>
      <x:c r="G17" s="38" t="str">
        <x:v>Opcional</x:v>
      </x:c>
      <x:c r="H17" s="38" t="str">
        <x:v>TEC-003/004</x:v>
      </x:c>
      <x:c r="I17" s="38" t="str">
        <x:v>Análisis avanzado de registro.</x:v>
      </x:c>
      <x:c r="J17" s="38" t="str">
        <x:v>Server.Import.Extras</x:v>
      </x:c>
      <x:c r="K17" s="38" t="str">
        <x:v>https://registry-hunter.velocidex.com/</x:v>
      </x:c>
      <x:c r="L17" s="38" t="str">
        <x:v>Solo P1/anexo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35b9cb0cb7e4d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32" hidden="0" customWidth="1"/>
    <x:col min="5" max="5" width="50" hidden="0" customWidth="1"/>
    <x:col min="6" max="6" width="36" hidden="0" customWidth="1"/>
    <x:col min="7" max="7" width="14" hidden="0" customWidth="1"/>
  </x:cols>
  <x:sheetData>
    <x:row r="1" ht="34" customHeight="1">
      <x:c r="A1" s="5" t="str">
        <x:v>Catálogo de técnicas evaluadas</x:v>
      </x:c>
      <x:c r="B1" s="5"/>
      <x:c r="C1" s="5"/>
      <x:c r="D1" s="5"/>
      <x:c r="E1" s="5"/>
      <x:c r="F1" s="5"/>
      <x:c r="G1" s="5"/>
    </x:row>
    <x:row r="3" ht="32" customHeight="1">
      <x:c r="A3" s="30" t="str">
        <x:v>TEC</x:v>
      </x:c>
      <x:c r="B3" s="30" t="str">
        <x:v>MITRE</x:v>
      </x:c>
      <x:c r="C3" s="30" t="str">
        <x:v>Técnica</x:v>
      </x:c>
      <x:c r="D3" s="30" t="str">
        <x:v>Táctica principal/contextual</x:v>
      </x:c>
      <x:c r="E3" s="30" t="str">
        <x:v>Criterio conductual</x:v>
      </x:c>
      <x:c r="F3" s="30" t="str">
        <x:v>Fuentes esperadas</x:v>
      </x:c>
      <x:c r="G3" s="30" t="str">
        <x:v>Criticidad</x:v>
      </x:c>
    </x:row>
    <x:row r="4">
      <x:c r="A4" s="38" t="str">
        <x:v>TEC-001</x:v>
      </x:c>
      <x:c r="B4" s="38" t="str">
        <x:v>T1059.001</x:v>
      </x:c>
      <x:c r="C4" s="38" t="str">
        <x:v>PowerShell</x:v>
      </x:c>
      <x:c r="D4" s="38" t="str">
        <x:v>Execution</x:v>
      </x:c>
      <x:c r="E4" s="38" t="str">
        <x:v>PowerShell sospechoso: flags de bypass, encoded, IEX, etc.</x:v>
      </x:c>
      <x:c r="F4" s="38" t="str">
        <x:v>Sysmon ID 1 / PowerShell 4104</x:v>
      </x:c>
      <x:c r="G4" s="38" t="str">
        <x:v>Alta</x:v>
      </x:c>
    </x:row>
    <x:row r="5">
      <x:c r="A5" s="38" t="str">
        <x:v>TEC-002</x:v>
      </x:c>
      <x:c r="B5" s="38" t="str">
        <x:v>T1059.003</x:v>
      </x:c>
      <x:c r="C5" s="38" t="str">
        <x:v>Windows Command Shell</x:v>
      </x:c>
      <x:c r="D5" s="38" t="str">
        <x:v>Execution</x:v>
      </x:c>
      <x:c r="E5" s="38" t="str">
        <x:v>Uso de cmd.exe con /c, chaining o herramientas dual-use.</x:v>
      </x:c>
      <x:c r="F5" s="38" t="str">
        <x:v>Sysmon ID 1</x:v>
      </x:c>
      <x:c r="G5" s="38" t="str">
        <x:v>Media</x:v>
      </x:c>
    </x:row>
    <x:row r="6">
      <x:c r="A6" s="38" t="str">
        <x:v>TEC-003</x:v>
      </x:c>
      <x:c r="B6" s="38" t="str">
        <x:v>T1053.005</x:v>
      </x:c>
      <x:c r="C6" s="38" t="str">
        <x:v>Scheduled Task</x:v>
      </x:c>
      <x:c r="D6" s="38" t="str">
        <x:v>Execution / Persistence / Privilege Escalation</x:v>
      </x:c>
      <x:c r="E6" s="38" t="str">
        <x:v>Creación, ejecución o borrado de tareas programadas.</x:v>
      </x:c>
      <x:c r="F6" s="38" t="str">
        <x:v>Sysmon ID 1 / TaskScheduler / Registro</x:v>
      </x:c>
      <x:c r="G6" s="38" t="str">
        <x:v>Alta</x:v>
      </x:c>
    </x:row>
    <x:row r="7">
      <x:c r="A7" s="38" t="str">
        <x:v>TEC-004</x:v>
      </x:c>
      <x:c r="B7" s="38" t="str">
        <x:v>T1547.001</x:v>
      </x:c>
      <x:c r="C7" s="38" t="str">
        <x:v>Registry Run Keys / Startup Folder</x:v>
      </x:c>
      <x:c r="D7" s="38" t="str">
        <x:v>Persistence / Privilege Escalation</x:v>
      </x:c>
      <x:c r="E7" s="38" t="str">
        <x:v>Persistencia mediante Run/RunOnce o carpeta Startup.</x:v>
      </x:c>
      <x:c r="F7" s="38" t="str">
        <x:v>Sysmon 12/13/14 / Autoruns / StartupItems</x:v>
      </x:c>
      <x:c r="G7" s="38" t="str">
        <x:v>Alta</x:v>
      </x:c>
    </x:row>
    <x:row r="8">
      <x:c r="A8" s="38" t="str">
        <x:v>TEC-005</x:v>
      </x:c>
      <x:c r="B8" s="38" t="str">
        <x:v>T1569.002</x:v>
      </x:c>
      <x:c r="C8" s="38" t="str">
        <x:v>Service Execution</x:v>
      </x:c>
      <x:c r="D8" s="38" t="str">
        <x:v>Execution</x:v>
      </x:c>
      <x:c r="E8" s="38" t="str">
        <x:v>Creación/arranque/borrado de servicio temporal.</x:v>
      </x:c>
      <x:c r="F8" s="38" t="str">
        <x:v>Windows Event 7045 / Sysmon ID 1</x:v>
      </x:c>
      <x:c r="G8" s="38" t="str">
        <x:v>Alta</x:v>
      </x:c>
    </x:row>
    <x:row r="9">
      <x:c r="A9" s="38" t="str">
        <x:v>TEC-006</x:v>
      </x:c>
      <x:c r="B9" s="38" t="str">
        <x:v>T1518.001</x:v>
      </x:c>
      <x:c r="C9" s="38" t="str">
        <x:v>Security Software Discovery</x:v>
      </x:c>
      <x:c r="D9" s="38" t="str">
        <x:v>Discovery</x:v>
      </x:c>
      <x:c r="E9" s="38" t="str">
        <x:v>Enumeración de AV/EDR/Defender mediante WMI/PowerShell.</x:v>
      </x:c>
      <x:c r="F9" s="38" t="str">
        <x:v>Sysmon ID 1 / PowerShell 4104</x:v>
      </x:c>
      <x:c r="G9" s="38" t="str">
        <x:v>Media</x:v>
      </x:c>
    </x:row>
    <x:row r="10">
      <x:c r="A10" s="38" t="str">
        <x:v>TEC-007</x:v>
      </x:c>
      <x:c r="B10" s="38" t="str">
        <x:v>T1486</x:v>
      </x:c>
      <x:c r="C10" s="38" t="str">
        <x:v>Data Encrypted for Impact</x:v>
      </x:c>
      <x:c r="D10" s="38" t="str">
        <x:v>Impact</x:v>
      </x:c>
      <x:c r="E10" s="38" t="str">
        <x:v>Cifrado controlado de ficheros de laboratorio.</x:v>
      </x:c>
      <x:c r="F10" s="38" t="str">
        <x:v>PowerShell 4104 / Sysmon ID 11 / extensiones</x:v>
      </x:c>
      <x:c r="G10" s="38" t="str">
        <x:v>Crítica</x:v>
      </x:c>
    </x:row>
    <x:row r="11">
      <x:c r="A11" s="38" t="str">
        <x:v>TEC-008</x:v>
      </x:c>
      <x:c r="B11" s="38" t="str">
        <x:v>T1485</x:v>
      </x:c>
      <x:c r="C11" s="38" t="str">
        <x:v>Data Destruction</x:v>
      </x:c>
      <x:c r="D11" s="38" t="str">
        <x:v>Impact</x:v>
      </x:c>
      <x:c r="E11" s="38" t="str">
        <x:v>Borrado masivo controlado de ficheros.</x:v>
      </x:c>
      <x:c r="F11" s="38" t="str">
        <x:v>PowerShell 4104 / Sysmon ID 26</x:v>
      </x:c>
      <x:c r="G11" s="38" t="str">
        <x:v>Crítica</x:v>
      </x:c>
    </x:row>
    <x:row r="12">
      <x:c r="A12" s="38" t="str">
        <x:v>TEC-009</x:v>
      </x:c>
      <x:c r="B12" s="38" t="str">
        <x:v>T1074.001 / T1560.001</x:v>
      </x:c>
      <x:c r="C12" s="38" t="str">
        <x:v>Staging / Archive Collected Data</x:v>
      </x:c>
      <x:c r="D12" s="38" t="str">
        <x:v>Collection</x:v>
      </x:c>
      <x:c r="E12" s="38" t="str">
        <x:v>Compresión/copia local como staging previo a exfiltración.</x:v>
      </x:c>
      <x:c r="F12" s="38" t="str">
        <x:v>PowerShell 4104 / Sysmon ID 11 / Sysmon ID 3 si hay red</x:v>
      </x:c>
      <x:c r="G12" s="38" t="str">
        <x:v>Alta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794eb319f1840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0" hidden="0" customWidth="1"/>
    <x:col min="4" max="4" width="48" hidden="0" customWidth="1"/>
    <x:col min="5" max="5" width="16" hidden="0" customWidth="1"/>
    <x:col min="6" max="6" width="38" hidden="0" customWidth="1"/>
    <x:col min="7" max="7" width="48" hidden="0" customWidth="1"/>
    <x:col min="8" max="8" width="16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4" customHeight="1">
      <x:c r="A1" s="5" t="str">
        <x:v>Gaps detectados y justificación de artifacts personalizados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32" customHeight="1">
      <x:c r="A3" s="30" t="str">
        <x:v>ID_Gap</x:v>
      </x:c>
      <x:c r="B3" s="30" t="str">
        <x:v>TEC</x:v>
      </x:c>
      <x:c r="C3" s="30" t="str">
        <x:v>Artifact público evaluado</x:v>
      </x:c>
      <x:c r="D3" s="30" t="str">
        <x:v>Gap detectado</x:v>
      </x:c>
      <x:c r="E3" s="30" t="str">
        <x:v>Impacto</x:v>
      </x:c>
      <x:c r="F3" s="30" t="str">
        <x:v>Causa probable</x:v>
      </x:c>
      <x:c r="G3" s="30" t="str">
        <x:v>Custom propuesto</x:v>
      </x:c>
      <x:c r="H3" s="30" t="str">
        <x:v>Perfil P4-P1</x:v>
      </x:c>
      <x:c r="I3" s="30" t="str">
        <x:v>Prioridad</x:v>
      </x:c>
      <x:c r="J3" s="30" t="str">
        <x:v>Decisión</x:v>
      </x:c>
      <x:c r="K3" s="30" t="str">
        <x:v>Notas</x:v>
      </x:c>
    </x:row>
    <x:row r="4">
      <x:c r="A4" s="38" t="str">
        <x:v>GAP-001</x:v>
      </x:c>
      <x:c r="B4" s="38" t="str">
        <x:v>TEC-007</x:v>
      </x:c>
      <x:c r="C4" s="38" t="str">
        <x:v>ProcessCreation / Hayabusa</x:v>
      </x:c>
      <x:c r="D4" s="38" t="str">
        <x:v>Detecta ejecución, pero puede no identificar lógica crypto controlada.</x:v>
      </x:c>
      <x:c r="E4" s="38" t="str">
        <x:v>Alto</x:v>
      </x:c>
      <x:c r="F4" s="38" t="str">
        <x:v>La prueba es benigna y no siempre coincide con reglas públicas.</x:v>
      </x:c>
      <x:c r="G4" s="38" t="str">
        <x:v>Custom.TFM.TEC007.Ransomware.4104Crypto</x:v>
      </x:c>
      <x:c r="H4" s="38" t="str">
        <x:v>P3/P2/P1</x:v>
      </x:c>
      <x:c r="I4" s="38" t="str">
        <x:v>Alta</x:v>
      </x:c>
      <x:c r="J4" s="38" t="str">
        <x:v>Pendiente</x:v>
      </x:c>
      <x:c r="K4" s="38" t="str">
        <x:v>Validar tras Hayabusa.</x:v>
      </x:c>
    </x:row>
    <x:row r="5">
      <x:c r="A5" s="38" t="str">
        <x:v>GAP-002</x:v>
      </x:c>
      <x:c r="B5" s="38" t="str">
        <x:v>TEC-008</x:v>
      </x:c>
      <x:c r="C5" s="38" t="str">
        <x:v>SysmonLogForward / Hayabusa</x:v>
      </x:c>
      <x:c r="D5" s="38" t="str">
        <x:v>Sysmon ID 26 genera evidencia por fichero, pero no alerta resumida.</x:v>
      </x:c>
      <x:c r="E5" s="38" t="str">
        <x:v>Alto</x:v>
      </x:c>
      <x:c r="F5" s="38" t="str">
        <x:v>Evento de borrado masivo produce volumen y spam si se notifica directamente.</x:v>
      </x:c>
      <x:c r="G5" s="38" t="str">
        <x:v>Custom.TFM.TEC008.DataDestruction.4104Delete + Sysmon26 evidencia</x:v>
      </x:c>
      <x:c r="H5" s="38" t="str">
        <x:v>P3/P2/P1</x:v>
      </x:c>
      <x:c r="I5" s="38" t="str">
        <x:v>Alta</x:v>
      </x:c>
      <x:c r="J5" s="38" t="str">
        <x:v>Pendiente</x:v>
      </x:c>
      <x:c r="K5" s="38" t="str">
        <x:v>Discord solo vía 4104 resumido.</x:v>
      </x:c>
    </x:row>
    <x:row r="6">
      <x:c r="A6" s="38" t="str">
        <x:v>GAP-003</x:v>
      </x:c>
      <x:c r="B6" s="38" t="str">
        <x:v>TEC-009</x:v>
      </x:c>
      <x:c r="C6" s="38" t="str">
        <x:v>Hayabusa / ProcessCreation</x:v>
      </x:c>
      <x:c r="D6" s="38" t="str">
        <x:v>ZIP/copia local puede verse como actividad legítima.</x:v>
      </x:c>
      <x:c r="E6" s="38" t="str">
        <x:v>Medio/alto</x:v>
      </x:c>
      <x:c r="F6" s="38" t="str">
        <x:v>Staging sin salida externa no siempre dispara exfiltración.</x:v>
      </x:c>
      <x:c r="G6" s="38" t="str">
        <x:v>Custom.TFM.TEC009.Staging.4104Archive</x:v>
      </x:c>
      <x:c r="H6" s="38" t="str">
        <x:v>P3/P2/P1</x:v>
      </x:c>
      <x:c r="I6" s="38" t="str">
        <x:v>Alta</x:v>
      </x:c>
      <x:c r="J6" s="38" t="str">
        <x:v>Pendiente</x:v>
      </x:c>
      <x:c r="K6" s="38" t="str">
        <x:v>T1041 solo si hay red externa real.</x:v>
      </x:c>
    </x:row>
    <x:row r="7">
      <x:c r="A7" s="38" t="str">
        <x:v>GAP-004</x:v>
      </x:c>
      <x:c r="B7" s="38" t="str">
        <x:v>TEC-006</x:v>
      </x:c>
      <x:c r="C7" s="38" t="str">
        <x:v>ProcessCreation / Hayabusa</x:v>
      </x:c>
      <x:c r="D7" s="38" t="str">
        <x:v>Discovery puede clasificarse de forma genérica.</x:v>
      </x:c>
      <x:c r="E7" s="38" t="str">
        <x:v>Medio</x:v>
      </x:c>
      <x:c r="F7" s="38" t="str">
        <x:v>Necesidad de contexto SecurityCenter2/AntivirusProduct.</x:v>
      </x:c>
      <x:c r="G7" s="38" t="str">
        <x:v>Custom.TFM.TEC006.SecurityDiscovery.4104</x:v>
      </x:c>
      <x:c r="H7" s="38" t="str">
        <x:v>P3/P2</x:v>
      </x:c>
      <x:c r="I7" s="38" t="str">
        <x:v>Media</x:v>
      </x:c>
      <x:c r="J7" s="38" t="str">
        <x:v>Pendiente</x:v>
      </x:c>
      <x:c r="K7" s="38" t="str"/>
    </x:row>
    <x:row r="8">
      <x:c r="A8" s="38" t="str">
        <x:v>GAP-005</x:v>
      </x:c>
      <x:c r="B8" s="38" t="str">
        <x:v>TEC-001-005</x:v>
      </x:c>
      <x:c r="C8" s="38" t="str">
        <x:v>Built-in básicos</x:v>
      </x:c>
      <x:c r="D8" s="38" t="str">
        <x:v>No devuelven severidad SOC ni CU_ID normalizado.</x:v>
      </x:c>
      <x:c r="E8" s="38" t="str">
        <x:v>Medio</x:v>
      </x:c>
      <x:c r="F8" s="38" t="str">
        <x:v>Artifacts públicos priorizan visibilidad, no formato de alerta TFM.</x:v>
      </x:c>
      <x:c r="G8" s="38" t="str">
        <x:v>Router/Webhook normalizado + artifacts P4-P1</x:v>
      </x:c>
      <x:c r="H8" s="38" t="str">
        <x:v>P4-P1</x:v>
      </x:c>
      <x:c r="I8" s="38" t="str">
        <x:v>Media</x:v>
      </x:c>
      <x:c r="J8" s="38" t="str">
        <x:v>Pendiente</x:v>
      </x:c>
      <x:c r="K8" s="38" t="str"/>
    </x:row>
  </x:sheetData>
  <x:mergeCells>
    <x:mergeCell ref="A1:K1"/>
  </x:mergeCells>
  <x:dataValidations count="1">
    <x:dataValidation type="list" sqref="J4:J8">
      <x:formula1>"Pendiente,Aceptar custom,No custom,Revisar"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755ab1c204400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0" t="str">
        <x:v>Estados</x:v>
      </x:c>
      <x:c r="B1" s="30" t="str">
        <x:v>SiNoParcial</x:v>
      </x:c>
      <x:c r="C1" s="30" t="str">
        <x:v>Calidad</x:v>
      </x:c>
      <x:c r="D1" s="30" t="str">
        <x:v>FPRiesgo</x:v>
      </x:c>
      <x:c r="E1" s="30" t="str">
        <x:v>Custom</x:v>
      </x:c>
      <x:c r="F1" s="30" t="str">
        <x:v>Prioridad</x:v>
      </x:c>
      <x:c r="G1" s="30" t="str">
        <x:v>Fase</x:v>
      </x:c>
      <x:c r="H1" s="30" t="str">
        <x:v>Perfil</x:v>
      </x:c>
    </x:row>
    <x:row r="2">
      <x:c r="A2" s="38" t="str">
        <x:v>Pendiente</x:v>
      </x:c>
      <x:c r="B2" s="38" t="str">
        <x:v>Pendiente</x:v>
      </x:c>
      <x:c r="C2" s="38" t="str">
        <x:v>Pendiente</x:v>
      </x:c>
      <x:c r="D2" s="38" t="str">
        <x:v>Pendiente</x:v>
      </x:c>
      <x:c r="E2" s="38" t="str">
        <x:v>Pendiente</x:v>
      </x:c>
      <x:c r="F2" s="38" t="str">
        <x:v>Obligatoria</x:v>
      </x:c>
      <x:c r="G2" s="38" t="str">
        <x:v>F1 Built-in básico</x:v>
      </x:c>
      <x:c r="H2" s="38" t="str">
        <x:v>P4 Low</x:v>
      </x:c>
    </x:row>
    <x:row r="3">
      <x:c r="A3" s="38" t="str">
        <x:v>En curso</x:v>
      </x:c>
      <x:c r="B3" s="38" t="str">
        <x:v>Sí</x:v>
      </x:c>
      <x:c r="C3" s="38" t="str">
        <x:v>Alta</x:v>
      </x:c>
      <x:c r="D3" s="38" t="str">
        <x:v>Bajo</x:v>
      </x:c>
      <x:c r="E3" s="38" t="str">
        <x:v>Sí</x:v>
      </x:c>
      <x:c r="F3" s="38" t="str">
        <x:v>Recomendada</x:v>
      </x:c>
      <x:c r="G3" s="38" t="str">
        <x:v>F2 Sigma/Hayabusa histórico</x:v>
      </x:c>
      <x:c r="H3" s="38" t="str">
        <x:v>P3 Medium</x:v>
      </x:c>
    </x:row>
    <x:row r="4">
      <x:c r="A4" s="38" t="str">
        <x:v>Completada</x:v>
      </x:c>
      <x:c r="B4" s="38" t="str">
        <x:v>No</x:v>
      </x:c>
      <x:c r="C4" s="38" t="str">
        <x:v>Media</x:v>
      </x:c>
      <x:c r="D4" s="38" t="str">
        <x:v>Medio</x:v>
      </x:c>
      <x:c r="E4" s="38" t="str">
        <x:v>No</x:v>
      </x:c>
      <x:c r="F4" s="38" t="str">
        <x:v>Opcional</x:v>
      </x:c>
      <x:c r="G4" s="38" t="str">
        <x:v>F2 Sigma/Hayabusa tiempo real</x:v>
      </x:c>
      <x:c r="H4" s="38" t="str">
        <x:v>P2 High</x:v>
      </x:c>
    </x:row>
    <x:row r="5">
      <x:c r="A5" s="38" t="str">
        <x:v>Bloqueada</x:v>
      </x:c>
      <x:c r="B5" s="38" t="str">
        <x:v>Parcial</x:v>
      </x:c>
      <x:c r="C5" s="38" t="str">
        <x:v>Baja</x:v>
      </x:c>
      <x:c r="D5" s="38" t="str">
        <x:v>Alto</x:v>
      </x:c>
      <x:c r="E5" s="38" t="str">
        <x:v>Parcial</x:v>
      </x:c>
      <x:c r="F5" s="38" t="str"/>
      <x:c r="G5" s="38" t="str">
        <x:v>F3 Persistencia / triage</x:v>
      </x:c>
      <x:c r="H5" s="38" t="str">
        <x:v>P1 Critical</x:v>
      </x:c>
    </x:row>
    <x:row r="6">
      <x:c r="A6" s="38" t="str">
        <x:v>No aplica</x:v>
      </x:c>
      <x:c r="B6" s="38" t="str">
        <x:v>N/A</x:v>
      </x:c>
      <x:c r="C6" s="38" t="str">
        <x:v>No útil</x:v>
      </x:c>
      <x:c r="D6" s="38" t="str">
        <x:v>N/A</x:v>
      </x:c>
      <x:c r="E6" s="38" t="str">
        <x:v>N/A</x:v>
      </x:c>
      <x:c r="F6" s="38" t="str"/>
      <x:c r="G6" s="38" t="str">
        <x:v>F4 Opcional forense alto detalle</x:v>
      </x:c>
      <x:c r="H6" s="38" t="str">
        <x:v>P4/P2</x:v>
      </x:c>
    </x:row>
    <x:row r="7">
      <x:c r="A7" s="38" t="str"/>
      <x:c r="B7" s="38" t="str"/>
      <x:c r="C7" s="38" t="str">
        <x:v>N/A</x:v>
      </x:c>
      <x:c r="D7" s="38" t="str"/>
      <x:c r="E7" s="38" t="str"/>
      <x:c r="F7" s="38" t="str"/>
      <x:c r="G7" s="38" t="str"/>
      <x:c r="H7" s="3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2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6" hidden="0" customWidth="1"/>
    <x:col min="10" max="10" width="16" hidden="0" customWidth="1"/>
    <x:col min="11" max="11" width="20" hidden="0" customWidth="1"/>
    <x:col min="12" max="12" width="36" hidden="0" customWidth="1"/>
  </x:cols>
  <x:sheetData>
    <x:row r="1" ht="34" customHeight="1">
      <x:c r="A1" s="5" t="str">
        <x:v>Control de operaciones benignas para falsos positivos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21" t="str">
        <x:v>Objetivo: comprobar que artifacts públicos no alertan por actividad administrativa legítima o dual-use esperable.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 ht="32" customHeight="1">
      <x:c r="A4" s="30" t="str">
        <x:v>ID_OB</x:v>
      </x:c>
      <x:c r="B4" s="30" t="str">
        <x:v>Operación benigna</x:v>
      </x:c>
      <x:c r="C4" s="30" t="str">
        <x:v>Evidencia host esperada</x:v>
      </x:c>
      <x:c r="D4" s="30" t="str">
        <x:v>Código usado / procedimiento</x:v>
      </x:c>
      <x:c r="E4" s="30" t="str">
        <x:v>ProcessCreation</x:v>
      </x:c>
      <x:c r="F4" s="30" t="str">
        <x:v>SysmonLogForward</x:v>
      </x:c>
      <x:c r="G4" s="30" t="str">
        <x:v>Hayabusa.Rules</x:v>
      </x:c>
      <x:c r="H4" s="30" t="str">
        <x:v>Hayabusa.Monitoring</x:v>
      </x:c>
      <x:c r="I4" s="30" t="str">
        <x:v>FP confirmado</x:v>
      </x:c>
      <x:c r="J4" s="30" t="str">
        <x:v>Calidad FP</x:v>
      </x:c>
      <x:c r="K4" s="30" t="str">
        <x:v>Custom/tuning necesario</x:v>
      </x:c>
      <x:c r="L4" s="30" t="str">
        <x:v>Comentario</x:v>
      </x:c>
    </x:row>
    <x:row r="5">
      <x:c r="A5" s="38" t="str">
        <x:v>OB-001</x:v>
      </x:c>
      <x:c r="B5" s="38" t="str">
        <x:v>PowerShell administrativo básico</x:v>
      </x:c>
      <x:c r="C5" s="38" t="str">
        <x:v>Sysmon Event ID 1 - ProcessCreation</x:v>
      </x:c>
      <x:c r="D5" s="38" t="str">
        <x:v>powershell.exe -Command "Get-Date; Get-Process | Select-Object -First 5"</x:v>
      </x:c>
      <x:c r="E5" s="38" t="str">
        <x:v>Pendiente</x:v>
      </x:c>
      <x:c r="F5" s="38" t="str">
        <x:v>Pendiente</x:v>
      </x:c>
      <x:c r="G5" s="38" t="str">
        <x:v>Pendiente</x:v>
      </x:c>
      <x:c r="H5" s="38" t="str">
        <x:v>Pendiente</x:v>
      </x:c>
      <x:c r="I5" s="38" t="str">
        <x:v>Pendiente</x:v>
      </x:c>
      <x:c r="J5" s="38" t="str">
        <x:v>Pendiente</x:v>
      </x:c>
      <x:c r="K5" s="38" t="str">
        <x:v>Pendiente</x:v>
      </x:c>
      <x:c r="L5" s="38" t="str"/>
    </x:row>
    <x:row r="6">
      <x:c r="A6" s="38" t="str">
        <x:v>OB-002</x:v>
      </x:c>
      <x:c r="B6" s="38" t="str">
        <x:v>PowerShell con consulta de sistema</x:v>
      </x:c>
      <x:c r="C6" s="38" t="str">
        <x:v>Sysmon Event ID 1 - ProcessCreation</x:v>
      </x:c>
      <x:c r="D6" s="38" t="str">
        <x:v>powershell.exe -Command "Get-CimInstance Win32_OperatingSystem | Select-Object Caption,Version"</x:v>
      </x:c>
      <x:c r="E6" s="38" t="str">
        <x:v>Pendiente</x:v>
      </x:c>
      <x:c r="F6" s="38" t="str">
        <x:v>Pendiente</x:v>
      </x:c>
      <x:c r="G6" s="38" t="str">
        <x:v>Pendiente</x:v>
      </x:c>
      <x:c r="H6" s="38" t="str">
        <x:v>Pendiente</x:v>
      </x:c>
      <x:c r="I6" s="38" t="str">
        <x:v>Pendiente</x:v>
      </x:c>
      <x:c r="J6" s="38" t="str">
        <x:v>Pendiente</x:v>
      </x:c>
      <x:c r="K6" s="38" t="str">
        <x:v>Pendiente</x:v>
      </x:c>
      <x:c r="L6" s="38" t="str"/>
    </x:row>
    <x:row r="7">
      <x:c r="A7" s="38" t="str">
        <x:v>OB-003</x:v>
      </x:c>
      <x:c r="B7" s="38" t="str">
        <x:v>CMD benigno simple</x:v>
      </x:c>
      <x:c r="C7" s="38" t="str">
        <x:v>Sysmon Event ID 1 - ProcessCreation; posible Event ID 11 - FileCreate</x:v>
      </x:c>
      <x:c r="D7" s="38" t="str">
        <x:v>cmd.exe /c echo prueba benigna &gt; C:\Users\Public\benigno_cmd.txt</x:v>
      </x:c>
      <x:c r="E7" s="38" t="str">
        <x:v>Pendiente</x:v>
      </x:c>
      <x:c r="F7" s="38" t="str">
        <x:v>Pendiente</x:v>
      </x:c>
      <x:c r="G7" s="38" t="str">
        <x:v>Pendiente</x:v>
      </x:c>
      <x:c r="H7" s="38" t="str">
        <x:v>Pendiente</x:v>
      </x:c>
      <x:c r="I7" s="38" t="str">
        <x:v>Pendiente</x:v>
      </x:c>
      <x:c r="J7" s="38" t="str">
        <x:v>Pendiente</x:v>
      </x:c>
      <x:c r="K7" s="38" t="str">
        <x:v>Pendiente</x:v>
      </x:c>
      <x:c r="L7" s="38" t="str"/>
    </x:row>
    <x:row r="8">
      <x:c r="A8" s="38" t="str">
        <x:v>OB-004</x:v>
      </x:c>
      <x:c r="B8" s="38" t="str">
        <x:v>Consulta de directorio con CMD</x:v>
      </x:c>
      <x:c r="C8" s="38" t="str">
        <x:v>Sysmon Event ID 1 - ProcessCreation</x:v>
      </x:c>
      <x:c r="D8" s="38" t="str">
        <x:v>cmd.exe /c dir C:\Users\Public</x:v>
      </x:c>
      <x:c r="E8" s="38" t="str">
        <x:v>Pendiente</x:v>
      </x:c>
      <x:c r="F8" s="38" t="str">
        <x:v>Pendiente</x:v>
      </x:c>
      <x:c r="G8" s="38" t="str">
        <x:v>Pendiente</x:v>
      </x:c>
      <x:c r="H8" s="38" t="str">
        <x:v>Pendiente</x:v>
      </x:c>
      <x:c r="I8" s="38" t="str">
        <x:v>Pendiente</x:v>
      </x:c>
      <x:c r="J8" s="38" t="str">
        <x:v>Pendiente</x:v>
      </x:c>
      <x:c r="K8" s="38" t="str">
        <x:v>Pendiente</x:v>
      </x:c>
      <x:c r="L8" s="38" t="str"/>
    </x:row>
    <x:row r="9">
      <x:c r="A9" s="38" t="str">
        <x:v>OB-005</x:v>
      </x:c>
      <x:c r="B9" s="38" t="str">
        <x:v>Consulta de tareas programadas</x:v>
      </x:c>
      <x:c r="C9" s="38" t="str">
        <x:v>Sysmon Event ID 1 - ProcessCreation</x:v>
      </x:c>
      <x:c r="D9" s="38" t="str">
        <x:v>schtasks /query /fo LIST</x:v>
      </x:c>
      <x:c r="E9" s="38" t="str">
        <x:v>Pendiente</x:v>
      </x:c>
      <x:c r="F9" s="38" t="str">
        <x:v>Pendiente</x:v>
      </x:c>
      <x:c r="G9" s="38" t="str">
        <x:v>Pendiente</x:v>
      </x:c>
      <x:c r="H9" s="38" t="str">
        <x:v>Pendiente</x:v>
      </x:c>
      <x:c r="I9" s="38" t="str">
        <x:v>Pendiente</x:v>
      </x:c>
      <x:c r="J9" s="38" t="str">
        <x:v>Pendiente</x:v>
      </x:c>
      <x:c r="K9" s="38" t="str">
        <x:v>Pendiente</x:v>
      </x:c>
      <x:c r="L9" s="38" t="str"/>
    </x:row>
    <x:row r="10">
      <x:c r="A10" s="38" t="str">
        <x:v>OB-006</x:v>
      </x:c>
      <x:c r="B10" s="38" t="str">
        <x:v>Creación de tarea programada benigna</x:v>
      </x:c>
      <x:c r="C10" s="38" t="str">
        <x:v>Sysmon Event ID 1 - ProcessCreation</x:v>
      </x:c>
      <x:c r="D10" s="38" t="str">
        <x:v>schtasks /create /tn "Benign_Update_Check" /tr "cmd.exe /c echo benigno &gt; C:\Users\Public\benign_task.txt" /sc once /st 23:59 &amp;&amp; schtasks /delete /tn "Benign_Update_Check" /f</x:v>
      </x:c>
      <x:c r="E10" s="38" t="str">
        <x:v>Pendiente</x:v>
      </x:c>
      <x:c r="F10" s="38" t="str">
        <x:v>Pendiente</x:v>
      </x:c>
      <x:c r="G10" s="38" t="str">
        <x:v>Pendiente</x:v>
      </x:c>
      <x:c r="H10" s="38" t="str">
        <x:v>Pendiente</x:v>
      </x:c>
      <x:c r="I10" s="38" t="str">
        <x:v>Pendiente</x:v>
      </x:c>
      <x:c r="J10" s="38" t="str">
        <x:v>Pendiente</x:v>
      </x:c>
      <x:c r="K10" s="38" t="str">
        <x:v>Pendiente</x:v>
      </x:c>
      <x:c r="L10" s="38" t="str"/>
    </x:row>
    <x:row r="11">
      <x:c r="A11" s="38" t="str">
        <x:v>OB-007</x:v>
      </x:c>
      <x:c r="B11" s="38" t="str">
        <x:v>Consulta de Run Keys</x:v>
      </x:c>
      <x:c r="C11" s="38" t="str">
        <x:v>Sysmon Event ID 1 - ProcessCreation</x:v>
      </x:c>
      <x:c r="D11" s="38" t="str">
        <x:v>reg query "HKCU\Software\Microsoft\Windows\CurrentVersion\Run"</x:v>
      </x:c>
      <x:c r="E11" s="38" t="str">
        <x:v>Pendiente</x:v>
      </x:c>
      <x:c r="F11" s="38" t="str">
        <x:v>Pendiente</x:v>
      </x:c>
      <x:c r="G11" s="38" t="str">
        <x:v>Pendiente</x:v>
      </x:c>
      <x:c r="H11" s="38" t="str">
        <x:v>Pendiente</x:v>
      </x:c>
      <x:c r="I11" s="38" t="str">
        <x:v>Pendiente</x:v>
      </x:c>
      <x:c r="J11" s="38" t="str">
        <x:v>Pendiente</x:v>
      </x:c>
      <x:c r="K11" s="38" t="str">
        <x:v>Pendiente</x:v>
      </x:c>
      <x:c r="L11" s="38" t="str"/>
    </x:row>
    <x:row r="12">
      <x:c r="A12" s="38" t="str">
        <x:v>OB-008</x:v>
      </x:c>
      <x:c r="B12" s="38" t="str">
        <x:v>Modificación benigna de clave no persistente</x:v>
      </x:c>
      <x:c r="C12" s="38" t="str">
        <x:v>Sysmon Event ID 1 - ProcessCreation</x:v>
      </x:c>
      <x:c r="D12" s="38" t="str">
        <x:v>reg add HKCU\Software\TFM_Benigno /v Test /t REG_SZ /d benigno /f &amp;&amp; reg delete HKCU\Software\TFM_Benigno /f</x:v>
      </x:c>
      <x:c r="E12" s="38" t="str">
        <x:v>Pendiente</x:v>
      </x:c>
      <x:c r="F12" s="38" t="str">
        <x:v>Pendiente</x:v>
      </x:c>
      <x:c r="G12" s="38" t="str">
        <x:v>Pendiente</x:v>
      </x:c>
      <x:c r="H12" s="38" t="str">
        <x:v>Pendiente</x:v>
      </x:c>
      <x:c r="I12" s="38" t="str">
        <x:v>Pendiente</x:v>
      </x:c>
      <x:c r="J12" s="38" t="str">
        <x:v>Pendiente</x:v>
      </x:c>
      <x:c r="K12" s="38" t="str">
        <x:v>Pendiente</x:v>
      </x:c>
      <x:c r="L12" s="38" t="str"/>
    </x:row>
    <x:row r="13">
      <x:c r="A13" s="38" t="str">
        <x:v>OB-009</x:v>
      </x:c>
      <x:c r="B13" s="38" t="str">
        <x:v>Consulta de servicio Windows</x:v>
      </x:c>
      <x:c r="C13" s="38" t="str">
        <x:v>Sysmon Event ID 1 - ProcessCreation</x:v>
      </x:c>
      <x:c r="D13" s="38" t="str">
        <x:v>sc query Spooler</x:v>
      </x:c>
      <x:c r="E13" s="38" t="str">
        <x:v>Pendiente</x:v>
      </x:c>
      <x:c r="F13" s="38" t="str">
        <x:v>Pendiente</x:v>
      </x:c>
      <x:c r="G13" s="38" t="str">
        <x:v>Pendiente</x:v>
      </x:c>
      <x:c r="H13" s="38" t="str">
        <x:v>Pendiente</x:v>
      </x:c>
      <x:c r="I13" s="38" t="str">
        <x:v>Pendiente</x:v>
      </x:c>
      <x:c r="J13" s="38" t="str">
        <x:v>Pendiente</x:v>
      </x:c>
      <x:c r="K13" s="38" t="str">
        <x:v>Pendiente</x:v>
      </x:c>
      <x:c r="L13" s="38" t="str"/>
    </x:row>
    <x:row r="14">
      <x:c r="A14" s="38" t="str">
        <x:v>OB-010</x:v>
      </x:c>
      <x:c r="B14" s="38" t="str">
        <x:v>Consulta de servicio Windows Update</x:v>
      </x:c>
      <x:c r="C14" s="38" t="str">
        <x:v>Sysmon Event ID 1 - ProcessCreation</x:v>
      </x:c>
      <x:c r="D14" s="38" t="str">
        <x:v>sc query wuauserv</x:v>
      </x:c>
      <x:c r="E14" s="38" t="str">
        <x:v>Pendiente</x:v>
      </x:c>
      <x:c r="F14" s="38" t="str">
        <x:v>Pendiente</x:v>
      </x:c>
      <x:c r="G14" s="38" t="str">
        <x:v>Pendiente</x:v>
      </x:c>
      <x:c r="H14" s="38" t="str">
        <x:v>Pendiente</x:v>
      </x:c>
      <x:c r="I14" s="38" t="str">
        <x:v>Pendiente</x:v>
      </x:c>
      <x:c r="J14" s="38" t="str">
        <x:v>Pendiente</x:v>
      </x:c>
      <x:c r="K14" s="38" t="str">
        <x:v>Pendiente</x:v>
      </x:c>
      <x:c r="L14" s="38" t="str"/>
    </x:row>
    <x:row r="15">
      <x:c r="A15" s="38" t="str">
        <x:v>OB-011</x:v>
      </x:c>
      <x:c r="B15" s="38" t="str">
        <x:v>Consulta WMI no sensible</x:v>
      </x:c>
      <x:c r="C15" s="38" t="str">
        <x:v>Sysmon Event ID 1 - ProcessCreation</x:v>
      </x:c>
      <x:c r="D15" s="38" t="str">
        <x:v>wmic os get Caption,Version</x:v>
      </x:c>
      <x:c r="E15" s="38" t="str">
        <x:v>Pendiente</x:v>
      </x:c>
      <x:c r="F15" s="38" t="str">
        <x:v>Pendiente</x:v>
      </x:c>
      <x:c r="G15" s="38" t="str">
        <x:v>Pendiente</x:v>
      </x:c>
      <x:c r="H15" s="38" t="str">
        <x:v>Pendiente</x:v>
      </x:c>
      <x:c r="I15" s="38" t="str">
        <x:v>Pendiente</x:v>
      </x:c>
      <x:c r="J15" s="38" t="str">
        <x:v>Pendiente</x:v>
      </x:c>
      <x:c r="K15" s="38" t="str">
        <x:v>Pendiente</x:v>
      </x:c>
      <x:c r="L15" s="38" t="str"/>
    </x:row>
    <x:row r="16">
      <x:c r="A16" s="38" t="str">
        <x:v>OB-012</x:v>
      </x:c>
      <x:c r="B16" s="38" t="str">
        <x:v>Creación de archivos .txt</x:v>
      </x:c>
      <x:c r="C16" s="38" t="str">
        <x:v>Sysmon Event ID 1 - ProcessCreation; posible Event ID 11 - FileCreate</x:v>
      </x:c>
      <x:c r="D16" s="38" t="str">
        <x:v>cmd.exe /c mkdir C:\Users\Public\benign_files &amp; echo test &gt; C:\Users\Public\benign_files\file1.txt &amp; echo test &gt; C:\Users\Public\benign_files\file2.txt</x:v>
      </x:c>
      <x:c r="E16" s="38" t="str">
        <x:v>Pendiente</x:v>
      </x:c>
      <x:c r="F16" s="38" t="str">
        <x:v>Pendiente</x:v>
      </x:c>
      <x:c r="G16" s="38" t="str">
        <x:v>Pendiente</x:v>
      </x:c>
      <x:c r="H16" s="38" t="str">
        <x:v>Pendiente</x:v>
      </x:c>
      <x:c r="I16" s="38" t="str">
        <x:v>Pendiente</x:v>
      </x:c>
      <x:c r="J16" s="38" t="str">
        <x:v>Pendiente</x:v>
      </x:c>
      <x:c r="K16" s="38" t="str">
        <x:v>Pendiente</x:v>
      </x:c>
      <x:c r="L16" s="38" t="str"/>
    </x:row>
    <x:row r="17">
      <x:c r="A17" s="38" t="str">
        <x:v>OB-013</x:v>
      </x:c>
      <x:c r="B17" s="38" t="str">
        <x:v>Copia de archivos</x:v>
      </x:c>
      <x:c r="C17" s="38" t="str">
        <x:v>Sysmon Event ID 1 - ProcessCreation; posible Event ID 11 - FileCreate</x:v>
      </x:c>
      <x:c r="D17" s="38" t="str">
        <x:v>cmd.exe /c mkdir C:\Users\Public\benign_backup &amp; copy C:\Users\Public\benign_files\file1.txt C:\Users\Public\benign_backup\file1_copy.txt</x:v>
      </x:c>
      <x:c r="E17" s="38" t="str">
        <x:v>Pendiente</x:v>
      </x:c>
      <x:c r="F17" s="38" t="str">
        <x:v>Pendiente</x:v>
      </x:c>
      <x:c r="G17" s="38" t="str">
        <x:v>Pendiente</x:v>
      </x:c>
      <x:c r="H17" s="38" t="str">
        <x:v>Pendiente</x:v>
      </x:c>
      <x:c r="I17" s="38" t="str">
        <x:v>Pendiente</x:v>
      </x:c>
      <x:c r="J17" s="38" t="str">
        <x:v>Pendiente</x:v>
      </x:c>
      <x:c r="K17" s="38" t="str">
        <x:v>Pendiente</x:v>
      </x:c>
      <x:c r="L17" s="38" t="str"/>
    </x:row>
    <x:row r="18">
      <x:c r="A18" s="38" t="str">
        <x:v>OB-014</x:v>
      </x:c>
      <x:c r="B18" s="38" t="str">
        <x:v>Borrado de archivo benigno</x:v>
      </x:c>
      <x:c r="C18" s="38" t="str">
        <x:v>Sysmon Event ID 1 - ProcessCreation; posible Event ID 23/26 - FileDelete</x:v>
      </x:c>
      <x:c r="D18" s="38" t="str">
        <x:v>cmd.exe /c del C:\Users\Public\benign_backup\file1_copy.txt</x:v>
      </x:c>
      <x:c r="E18" s="38" t="str">
        <x:v>Pendiente</x:v>
      </x:c>
      <x:c r="F18" s="38" t="str">
        <x:v>Pendiente</x:v>
      </x:c>
      <x:c r="G18" s="38" t="str">
        <x:v>Pendiente</x:v>
      </x:c>
      <x:c r="H18" s="38" t="str">
        <x:v>Pendiente</x:v>
      </x:c>
      <x:c r="I18" s="38" t="str">
        <x:v>Pendiente</x:v>
      </x:c>
      <x:c r="J18" s="38" t="str">
        <x:v>Pendiente</x:v>
      </x:c>
      <x:c r="K18" s="38" t="str">
        <x:v>Pendiente</x:v>
      </x:c>
      <x:c r="L18" s="38" t="str"/>
    </x:row>
    <x:row r="19">
      <x:c r="A19" s="38" t="str">
        <x:v>OB-015</x:v>
      </x:c>
      <x:c r="B19" s="38" t="str">
        <x:v>Creación de archivo con extensión no .aes</x:v>
      </x:c>
      <x:c r="C19" s="38" t="str">
        <x:v>Sysmon Event ID 1 - ProcessCreation; posible Event ID 11 - FileCreate</x:v>
      </x:c>
      <x:c r="D19" s="38" t="str">
        <x:v>cmd.exe /c echo backup &gt; C:\Users\Public\benign_files\file1.bak</x:v>
      </x:c>
      <x:c r="E19" s="38" t="str">
        <x:v>Pendiente</x:v>
      </x:c>
      <x:c r="F19" s="38" t="str">
        <x:v>Pendiente</x:v>
      </x:c>
      <x:c r="G19" s="38" t="str">
        <x:v>Pendiente</x:v>
      </x:c>
      <x:c r="H19" s="38" t="str">
        <x:v>Pendiente</x:v>
      </x:c>
      <x:c r="I19" s="38" t="str">
        <x:v>Pendiente</x:v>
      </x:c>
      <x:c r="J19" s="38" t="str">
        <x:v>Pendiente</x:v>
      </x:c>
      <x:c r="K19" s="38" t="str">
        <x:v>Pendiente</x:v>
      </x:c>
      <x:c r="L19" s="38" t="str"/>
    </x:row>
  </x:sheetData>
  <x:mergeCells>
    <x:mergeCell ref="A1:L1"/>
    <x:mergeCell ref="A2:L2"/>
  </x:mergeCells>
  <x:conditionalFormatting sqref="E5:E19">
    <x:cfRule type="expression" dxfId="33" priority="1">
      <x:formula>E5="Sí"</x:formula>
    </x:cfRule>
    <x:cfRule type="expression" dxfId="34" priority="2">
      <x:formula>E5="Parcial"</x:formula>
    </x:cfRule>
    <x:cfRule type="expression" dxfId="35" priority="3">
      <x:formula>E5="No"</x:formula>
    </x:cfRule>
  </x:conditionalFormatting>
  <x:conditionalFormatting sqref="F5:F19">
    <x:cfRule type="expression" dxfId="36" priority="4">
      <x:formula>F5="Sí"</x:formula>
    </x:cfRule>
    <x:cfRule type="expression" dxfId="37" priority="5">
      <x:formula>F5="Parcial"</x:formula>
    </x:cfRule>
    <x:cfRule type="expression" dxfId="38" priority="6">
      <x:formula>F5="No"</x:formula>
    </x:cfRule>
  </x:conditionalFormatting>
  <x:conditionalFormatting sqref="G5:G19">
    <x:cfRule type="expression" dxfId="39" priority="7">
      <x:formula>G5="Sí"</x:formula>
    </x:cfRule>
    <x:cfRule type="expression" dxfId="40" priority="8">
      <x:formula>G5="Parcial"</x:formula>
    </x:cfRule>
    <x:cfRule type="expression" dxfId="41" priority="9">
      <x:formula>G5="No"</x:formula>
    </x:cfRule>
  </x:conditionalFormatting>
  <x:conditionalFormatting sqref="H5:H19">
    <x:cfRule type="expression" dxfId="42" priority="10">
      <x:formula>H5="Sí"</x:formula>
    </x:cfRule>
    <x:cfRule type="expression" dxfId="43" priority="11">
      <x:formula>H5="Parcial"</x:formula>
    </x:cfRule>
    <x:cfRule type="expression" dxfId="44" priority="12">
      <x:formula>H5="No"</x:formula>
    </x:cfRule>
  </x:conditionalFormatting>
  <x:conditionalFormatting sqref="I5:I19">
    <x:cfRule type="expression" dxfId="45" priority="13">
      <x:formula>I5="Sí"</x:formula>
    </x:cfRule>
    <x:cfRule type="expression" dxfId="46" priority="14">
      <x:formula>I5="Parcial"</x:formula>
    </x:cfRule>
    <x:cfRule type="expression" dxfId="47" priority="15">
      <x:formula>I5="No"</x:formula>
    </x:cfRule>
  </x:conditionalFormatting>
  <x:conditionalFormatting sqref="K5:K19">
    <x:cfRule type="expression" dxfId="48" priority="16">
      <x:formula>K5="Sí"</x:formula>
    </x:cfRule>
    <x:cfRule type="expression" dxfId="49" priority="17">
      <x:formula>K5="Parcial"</x:formula>
    </x:cfRule>
    <x:cfRule type="expression" dxfId="50" priority="18">
      <x:formula>K5="No"</x:formula>
    </x:cfRule>
  </x:conditionalFormatting>
  <x:dataValidations count="7">
    <x:dataValidation type="list" sqref="E5:E19">
      <x:formula1>99_Listas!$B$2:$B$6</x:formula1>
    </x:dataValidation>
    <x:dataValidation type="list" sqref="F5:F19">
      <x:formula1>99_Listas!$B$2:$B$6</x:formula1>
    </x:dataValidation>
    <x:dataValidation type="list" sqref="G5:G19">
      <x:formula1>99_Listas!$B$2:$B$6</x:formula1>
    </x:dataValidation>
    <x:dataValidation type="list" sqref="H5:H19">
      <x:formula1>99_Listas!$B$2:$B$6</x:formula1>
    </x:dataValidation>
    <x:dataValidation type="list" sqref="I5:I19">
      <x:formula1>99_Listas!$B$2:$B$6</x:formula1>
    </x:dataValidation>
    <x:dataValidation type="list" sqref="K5:K19">
      <x:formula1>99_Listas!$B$2:$B$6</x:formula1>
    </x:dataValidation>
    <x:dataValidation type="list" sqref="J5:J19">
      <x:formula1>99_Listas!$C$2:$C$6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1babb2171f4b54"/>
  </x:tableParts>
</x:worksheet>
</file>