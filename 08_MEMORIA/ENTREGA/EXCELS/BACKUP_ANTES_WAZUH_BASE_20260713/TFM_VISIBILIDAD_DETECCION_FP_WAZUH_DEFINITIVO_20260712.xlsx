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o\Desktop\TFM\08_MEMORIA\ENTREGABLE\"/>
    </mc:Choice>
  </mc:AlternateContent>
  <xr:revisionPtr revIDLastSave="0" documentId="13_ncr:1_{28A520FC-048D-442A-B777-3098C9C95C50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00_Guia" sheetId="1" r:id="rId1"/>
    <sheet name="01_Dashboard" sheetId="2" r:id="rId2"/>
    <sheet name="02_Seleccion_Tecnicas" sheetId="3" r:id="rId3"/>
    <sheet name="03_Evaluacion_VR" sheetId="4" r:id="rId4"/>
    <sheet name="04_Control_Publicos" sheetId="5" r:id="rId5"/>
    <sheet name="05_Matriz_Resultados" sheetId="6" r:id="rId6"/>
    <sheet name="06_Resumen" sheetId="7" r:id="rId7"/>
    <sheet name="07_Catalogo_Artifacts" sheetId="8" r:id="rId8"/>
    <sheet name="08_Benignas_FP" sheetId="9" r:id="rId9"/>
    <sheet name="09_Benchmark_Plan" sheetId="10" r:id="rId10"/>
    <sheet name="10_Gaps_Custom_P1P4" sheetId="11" r:id="rId11"/>
    <sheet name="99_Listas" sheetId="12" r:id="rId12"/>
    <sheet name="11_Alertabilidad" sheetId="13" r:id="rId13"/>
    <sheet name="12_Plan_Alertas" sheetId="14" r:id="rId14"/>
    <sheet name="13_Hayabusa_Resumen" sheetId="15" r:id="rId15"/>
    <sheet name="14_Arquitectura_Custom" sheetId="16" r:id="rId16"/>
    <sheet name="15_Publicos_Definitivo" sheetId="17" r:id="rId17"/>
    <sheet name="16_Scripts_Validados" sheetId="18" r:id="rId18"/>
    <sheet name="17_Incoherencias_Cerradas" sheetId="19" r:id="rId19"/>
    <sheet name="README" sheetId="20" r:id="rId20"/>
    <sheet name="RESUMEN_EJECUTIVO" sheetId="21" r:id="rId21"/>
    <sheet name="TECNICAS_REAL_VR" sheetId="22" r:id="rId22"/>
    <sheet name="VISIBILIDAD_SISTEMA" sheetId="23" r:id="rId23"/>
    <sheet name="ALERTAS_VR" sheetId="24" r:id="rId24"/>
    <sheet name="FP_RUNNER" sheetId="25" r:id="rId25"/>
    <sheet name="FP_HITS" sheetId="26" r:id="rId26"/>
    <sheet name="COMPARACION_VR_WAZUH" sheetId="27" r:id="rId27"/>
    <sheet name="WAZUH_DETALLE" sheetId="28" r:id="rId28"/>
    <sheet name="DISCREPANCIAS" sheetId="29" r:id="rId29"/>
    <sheet name="FUENTES" sheetId="30" r:id="rId30"/>
    <sheet name="GRAFICAS" sheetId="31" r:id="rId31"/>
  </sheets>
  <definedNames>
    <definedName name="_xlnm._FilterDatabase" localSheetId="16" hidden="1">'15_Publicos_Definitivo'!$A$4:$T$10</definedName>
    <definedName name="_xlnm._FilterDatabase" localSheetId="23" hidden="1">ALERTAS_VR!$A$4:$O$383</definedName>
    <definedName name="_xlnm._FilterDatabase" localSheetId="26" hidden="1">COMPARACION_VR_WAZUH!$A$4:$M$8</definedName>
    <definedName name="_xlnm._FilterDatabase" localSheetId="28" hidden="1">DISCREPANCIAS!$A$4:$E$58</definedName>
    <definedName name="_xlnm._FilterDatabase" localSheetId="25" hidden="1">FP_HITS!$A$4:$N$5</definedName>
    <definedName name="_xlnm._FilterDatabase" localSheetId="24" hidden="1">FP_RUNNER!$A$4:$L$14</definedName>
    <definedName name="_xlnm._FilterDatabase" localSheetId="29" hidden="1">FUENTES!$A$4:$G$218</definedName>
    <definedName name="_xlnm._FilterDatabase" localSheetId="19" hidden="1">README!$A$4:$B$15</definedName>
    <definedName name="_xlnm._FilterDatabase" localSheetId="20" hidden="1">RESUMEN_EJECUTIVO!$A$4:$C$33</definedName>
    <definedName name="_xlnm._FilterDatabase" localSheetId="21" hidden="1">TECNICAS_REAL_VR!$A$4:$T$13</definedName>
    <definedName name="_xlnm._FilterDatabase" localSheetId="22" hidden="1">VISIBILIDAD_SISTEMA!$A$4:$K$12</definedName>
    <definedName name="_xlnm._FilterDatabase" localSheetId="27" hidden="1">WAZUH_DETALLE!$A$4:$G$11</definedName>
    <definedName name="_xlnm.Print_Area" localSheetId="1">'01_Dashboard'!$A$1:$N$70</definedName>
    <definedName name="_xlnm.Print_Area" localSheetId="16">'15_Publicos_Definitivo'!$A$1:$T$15</definedName>
    <definedName name="_xlnm.Print_Titles" localSheetId="16">'15_Publicos_Definitivo'!$4:$4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8" i="31" l="1"/>
  <c r="J77" i="31"/>
  <c r="J76" i="31"/>
  <c r="J75" i="31"/>
  <c r="J74" i="31"/>
  <c r="S11" i="17"/>
  <c r="Q11" i="17"/>
  <c r="P11" i="17"/>
  <c r="O11" i="17"/>
  <c r="N11" i="17"/>
  <c r="G62" i="31"/>
  <c r="C79" i="31"/>
  <c r="B79" i="31"/>
  <c r="C78" i="31"/>
  <c r="B78" i="31"/>
  <c r="C77" i="31"/>
  <c r="B77" i="31"/>
  <c r="C76" i="31"/>
  <c r="B76" i="31"/>
  <c r="C75" i="31"/>
  <c r="B75" i="31"/>
  <c r="C74" i="31"/>
  <c r="B74" i="31"/>
  <c r="R69" i="31"/>
  <c r="P69" i="31"/>
  <c r="R68" i="31"/>
  <c r="P68" i="31"/>
  <c r="R67" i="31"/>
  <c r="P67" i="31"/>
  <c r="R66" i="31"/>
  <c r="P66" i="31"/>
  <c r="R65" i="31"/>
  <c r="P65" i="31"/>
  <c r="R64" i="31"/>
  <c r="P64" i="31"/>
  <c r="R63" i="31"/>
  <c r="P63" i="31"/>
  <c r="R62" i="31"/>
  <c r="P62" i="31"/>
  <c r="R61" i="31"/>
  <c r="P61" i="31"/>
  <c r="B16" i="7"/>
  <c r="B15" i="7"/>
  <c r="B14" i="7"/>
  <c r="G7" i="2"/>
  <c r="G6" i="2"/>
  <c r="G5" i="2"/>
  <c r="G63" i="31" l="1"/>
  <c r="G61" i="31"/>
</calcChain>
</file>

<file path=xl/sharedStrings.xml><?xml version="1.0" encoding="utf-8"?>
<sst xmlns="http://schemas.openxmlformats.org/spreadsheetml/2006/main" count="10723" uniqueCount="2539">
  <si>
    <t>Guía de uso · Evaluación de artifacts públicos y custom</t>
  </si>
  <si>
    <t>Workbook maestro para ejecutar, registrar y justificar la evaluación de Velociraptor como HIDS/DFIR.</t>
  </si>
  <si>
    <t>Bloque</t>
  </si>
  <si>
    <t>Qué contiene</t>
  </si>
  <si>
    <t>Uso operativo</t>
  </si>
  <si>
    <t>01_Dashboard</t>
  </si>
  <si>
    <t>02_Seleccion_Tecnicas</t>
  </si>
  <si>
    <t>TEC-001 a TEC-009 con MITRE, táctica y criterio de evidencia</t>
  </si>
  <si>
    <t>Base metodológica del TFM</t>
  </si>
  <si>
    <t>03_Evaluacion_VR</t>
  </si>
  <si>
    <t>Evaluación final de Velociraptor por técnica y artifact</t>
  </si>
  <si>
    <t>Hoja principal para conclusiones del TFM</t>
  </si>
  <si>
    <t>04_Control_Publicos</t>
  </si>
  <si>
    <t>Checklist detallado de pruebas con artifacts públicos</t>
  </si>
  <si>
    <t>05_Matriz_Resultados</t>
  </si>
  <si>
    <t>Matriz TEC vs artifacts públicos</t>
  </si>
  <si>
    <t>Decidir cobertura pública y necesidad custom</t>
  </si>
  <si>
    <t>06_Resumen</t>
  </si>
  <si>
    <t>Resumen calculado de cobertura, detección y gaps</t>
  </si>
  <si>
    <t>Usar para memoria</t>
  </si>
  <si>
    <t>07_Catalogo_Artifacts</t>
  </si>
  <si>
    <t>Catálogo P4-P1 de artifacts públicos</t>
  </si>
  <si>
    <t>Justificar orden de activación</t>
  </si>
  <si>
    <t>08_Benignas_FP</t>
  </si>
  <si>
    <t>Operaciones benignas para falso positivo</t>
  </si>
  <si>
    <t>09_Benchmark_Plan</t>
  </si>
  <si>
    <t>Plan de benchmark por proceso</t>
  </si>
  <si>
    <t>Ejecutar después de cerrar artifacts</t>
  </si>
  <si>
    <t>10_Gaps_Custom_P1P4</t>
  </si>
  <si>
    <t>Gaps y diseño custom P4-P1</t>
  </si>
  <si>
    <t>Justificar artifacts propios</t>
  </si>
  <si>
    <t>KPI</t>
  </si>
  <si>
    <t>Valor</t>
  </si>
  <si>
    <t>Acción</t>
  </si>
  <si>
    <t>Cobertura</t>
  </si>
  <si>
    <t>Artifacts públicos RT núcleo</t>
  </si>
  <si>
    <t>Hayabusa.Monitoring, ServiceCreation, ProcessCreation, SysmonLogForward, ETW.Monitoring, TrackNetworkConnections</t>
  </si>
  <si>
    <t>Principal</t>
  </si>
  <si>
    <t>Artifact histórico complementario</t>
  </si>
  <si>
    <t>Ampliada</t>
  </si>
  <si>
    <t>Alertas públicas RT validadas</t>
  </si>
  <si>
    <t>3</t>
  </si>
  <si>
    <t>Contextual red</t>
  </si>
  <si>
    <t>Custom necesario</t>
  </si>
  <si>
    <t>Sí</t>
  </si>
  <si>
    <t>Cobertura principal /14</t>
  </si>
  <si>
    <t>Cobertura ampliada /14</t>
  </si>
  <si>
    <t>Cobertura contextual con red /14</t>
  </si>
  <si>
    <t>TEC-009</t>
  </si>
  <si>
    <t>4 artifacts</t>
  </si>
  <si>
    <t>Selección de técnicas MITRE evaluadas</t>
  </si>
  <si>
    <t>Técnicas TEC-001 a TEC-009, cobertura táctica y evidencia host-based esperada.</t>
  </si>
  <si>
    <t>TEC</t>
  </si>
  <si>
    <t>MITRE_ID</t>
  </si>
  <si>
    <t>Técnica MITRE</t>
  </si>
  <si>
    <t>Táctica principal</t>
  </si>
  <si>
    <t>Tácticas secundarias/contextuales</t>
  </si>
  <si>
    <t>Procedimiento controlado</t>
  </si>
  <si>
    <t>Evidencia esperada</t>
  </si>
  <si>
    <t>Artifacts públicos candidatos</t>
  </si>
  <si>
    <t>Custom esperado</t>
  </si>
  <si>
    <t>Notas</t>
  </si>
  <si>
    <t>TEC-001</t>
  </si>
  <si>
    <t>T1059.001</t>
  </si>
  <si>
    <t>PowerShell</t>
  </si>
  <si>
    <t>Execution</t>
  </si>
  <si>
    <t>PowerShell con -NoProfile / -ExecutionPolicy Bypass</t>
  </si>
  <si>
    <t>Sysmon ID 1; ProcessCreation; 4104 si aplica</t>
  </si>
  <si>
    <t>ProcessCreation; Hayabusa.Rules; Hayabusa.Monitoring</t>
  </si>
  <si>
    <t>Parcial</t>
  </si>
  <si>
    <t>Públicos deberían ver proceso; custom mejora severidad y campos</t>
  </si>
  <si>
    <t>TEC-002</t>
  </si>
  <si>
    <t>T1059.003</t>
  </si>
  <si>
    <t>Windows Command Shell</t>
  </si>
  <si>
    <t>cmd.exe /c con comandos dual-use</t>
  </si>
  <si>
    <t>Sysmon ID 1; ProcessCreation</t>
  </si>
  <si>
    <t>ProcessCreation; Hayabusa.*</t>
  </si>
  <si>
    <t>Públicos ven proceso, no siempre intención</t>
  </si>
  <si>
    <t>TEC-003</t>
  </si>
  <si>
    <t>T1053.005</t>
  </si>
  <si>
    <t>Scheduled Task</t>
  </si>
  <si>
    <t>Persistence; Privilege Escalation</t>
  </si>
  <si>
    <t>schtasks /create /run /delete</t>
  </si>
  <si>
    <t>ProcessCreation; TaskScheduler; logs de tarea</t>
  </si>
  <si>
    <t>ProcessCreation; Hayabusa.*; TaskScheduler; Persistence Pack</t>
  </si>
  <si>
    <t>Diferenciar operación admin vs persistencia</t>
  </si>
  <si>
    <t>TEC-004</t>
  </si>
  <si>
    <t>T1547.001</t>
  </si>
  <si>
    <t>Registry Run Keys / Startup Folder</t>
  </si>
  <si>
    <t>Persistence</t>
  </si>
  <si>
    <t>Privilege Escalation</t>
  </si>
  <si>
    <t>reg add/delete sobre Run/RunOnce</t>
  </si>
  <si>
    <t>Sysmon 12/13/14; StartupItems; Autoruns</t>
  </si>
  <si>
    <t>StartupItems; Autoruns; Hayabusa.*; SysmonLogForward</t>
  </si>
  <si>
    <t>La evidencia post-ejecución puede desaparecer si se borra</t>
  </si>
  <si>
    <t>TEC-005</t>
  </si>
  <si>
    <t>T1569.002</t>
  </si>
  <si>
    <t>Service Execution</t>
  </si>
  <si>
    <t>sc create/start/delete servicio temporal</t>
  </si>
  <si>
    <t>Event ID 7045; ServiceCreation; ProcessCreation</t>
  </si>
  <si>
    <t>ServiceCreation; ProcessCreation; Hayabusa.*; Services</t>
  </si>
  <si>
    <t>ServiceCreation ya ha detectado 7045</t>
  </si>
  <si>
    <t>TEC-006</t>
  </si>
  <si>
    <t>T1518.001</t>
  </si>
  <si>
    <t>Security Software Discovery</t>
  </si>
  <si>
    <t>Discovery</t>
  </si>
  <si>
    <t>Get-CimInstance root\SecurityCenter2 / AntivirusProduct</t>
  </si>
  <si>
    <t>ProcessCreation; 4104; CommandLine</t>
  </si>
  <si>
    <t>Puede requerir 4104 para contexto</t>
  </si>
  <si>
    <t>TEC-007</t>
  </si>
  <si>
    <t>T1486</t>
  </si>
  <si>
    <t>Data Encrypted for Impact</t>
  </si>
  <si>
    <t>Impact</t>
  </si>
  <si>
    <t>cifrado controlado de ficheros</t>
  </si>
  <si>
    <t>4104 crypto; Sysmon ID 11; extensiones .aes/.locked</t>
  </si>
  <si>
    <t>Hayabusa.* parcial; SysmonLogForward</t>
  </si>
  <si>
    <t>Necesita lógica de umbral y crypto</t>
  </si>
  <si>
    <t>TEC-008</t>
  </si>
  <si>
    <t>T1485</t>
  </si>
  <si>
    <t>Data Destruction</t>
  </si>
  <si>
    <t>sabotaje.ps1: borrado masivo controlado dentro de DUMB_LAB</t>
  </si>
  <si>
    <t>PowerShell 4104: Get-ChildItem + Remove-Item + ForEach-Object; Sysmon ID 26 como evidencia forense</t>
  </si>
  <si>
    <t>Hayabusa.* parcial; SysmonLogForward; ProcessCreation</t>
  </si>
  <si>
    <t>Corregir cabecera del script: aparece TEC-009, debe ser TEC-008. ID26 no debe ir a Discord por fichero.</t>
  </si>
  <si>
    <t>T1074.001 / T1560.001</t>
  </si>
  <si>
    <t>Local Data Staging / Archive Collected Data</t>
  </si>
  <si>
    <t>Collection</t>
  </si>
  <si>
    <t>Exfiltration contextual solo si hay red externa documentada</t>
  </si>
  <si>
    <t>exfiltracion.ps1: Compress-Archive + Copy-Item + TcpClient example.com:80 durante 20 s</t>
  </si>
  <si>
    <t>4104: Compress-Archive/Copy-Item/TcpClient; Sysmon ID 11 ZIP; Sysmon ID 3 powershell.exe -&gt; example.com:80; TrackNetworkConnections</t>
  </si>
  <si>
    <t>Hayabusa.* parcial; SysmonLogForward; Generic.Events.TrackNetworkConnections</t>
  </si>
  <si>
    <t>Hay conexión TCP externa real controlada, pero no se transfiere el ZIP ni datos reales. T1020/T1041 solo contextual.</t>
  </si>
  <si>
    <t>Evaluación VR · resultados consolidados</t>
  </si>
  <si>
    <t>Hoja maestra para registrar la evaluación final de Velociraptor: detección, evidencia, falsos positivos y decisión custom.</t>
  </si>
  <si>
    <t>ID_Prueba</t>
  </si>
  <si>
    <t>ID_Interna</t>
  </si>
  <si>
    <t>MITRE</t>
  </si>
  <si>
    <t>Táctica</t>
  </si>
  <si>
    <t>Escenario_Prueba</t>
  </si>
  <si>
    <t>Artifact_Usado</t>
  </si>
  <si>
    <t>Tipo_Artifact</t>
  </si>
  <si>
    <t>Modo</t>
  </si>
  <si>
    <t>Resultado_Detección</t>
  </si>
  <si>
    <t>Ground_Truth</t>
  </si>
  <si>
    <t>Fuente_Evidencia</t>
  </si>
  <si>
    <t>Evidencia_Host_Observada</t>
  </si>
  <si>
    <t>Discord</t>
  </si>
  <si>
    <t>FP_Risk</t>
  </si>
  <si>
    <t>Custom_Necesario</t>
  </si>
  <si>
    <t>Conclusión_Técnica</t>
  </si>
  <si>
    <t>VR-001</t>
  </si>
  <si>
    <t>Evaluación PowerShell</t>
  </si>
  <si>
    <t>Detectado básico</t>
  </si>
  <si>
    <t>Positivo</t>
  </si>
  <si>
    <t>Windows Event Logs / Sysmon / Velociraptor</t>
  </si>
  <si>
    <t>VR-002</t>
  </si>
  <si>
    <t>Evaluación Windows Command Shell</t>
  </si>
  <si>
    <t>VR-003</t>
  </si>
  <si>
    <t>Evaluación Scheduled Task</t>
  </si>
  <si>
    <t>VR-004</t>
  </si>
  <si>
    <t>Evaluación Registry Run Keys / Startup Folder</t>
  </si>
  <si>
    <t>VR-005</t>
  </si>
  <si>
    <t>Evaluación Service Execution</t>
  </si>
  <si>
    <t>Detectado</t>
  </si>
  <si>
    <t>VR-006</t>
  </si>
  <si>
    <t>Evaluación Security Software Discovery</t>
  </si>
  <si>
    <t>VR-007</t>
  </si>
  <si>
    <t>Evaluación Data Encrypted for Impact</t>
  </si>
  <si>
    <t>Detectado parcialmente</t>
  </si>
  <si>
    <t>VR-008</t>
  </si>
  <si>
    <t>Evaluación Data Destruction</t>
  </si>
  <si>
    <t>VR-009</t>
  </si>
  <si>
    <t>Evaluación Staging / Archive Collected Data</t>
  </si>
  <si>
    <t>Control operativo · pruebas de artifacts públicos</t>
  </si>
  <si>
    <t>Checklist completo para ejecutar artifacts públicos antes de diseñar los artifacts custom P4–P1.</t>
  </si>
  <si>
    <t>Fase</t>
  </si>
  <si>
    <t>Perfil</t>
  </si>
  <si>
    <t>Prioridad</t>
  </si>
  <si>
    <t>Artifact_Publico</t>
  </si>
  <si>
    <t>Fuente</t>
  </si>
  <si>
    <t>Objetivo_Prueba</t>
  </si>
  <si>
    <t>Configuración</t>
  </si>
  <si>
    <t>Pasos_Validacion</t>
  </si>
  <si>
    <t>Resultado</t>
  </si>
  <si>
    <t>Regla_Evento</t>
  </si>
  <si>
    <t>Severity</t>
  </si>
  <si>
    <t>MITRE_Detectado</t>
  </si>
  <si>
    <t>Evidencia</t>
  </si>
  <si>
    <t>Estado</t>
  </si>
  <si>
    <t>Fecha</t>
  </si>
  <si>
    <t>Captura_Log</t>
  </si>
  <si>
    <t>Observaciones</t>
  </si>
  <si>
    <t>Visibilidad</t>
  </si>
  <si>
    <t>Detección_Regla</t>
  </si>
  <si>
    <t>Alerta_RT</t>
  </si>
  <si>
    <t>Artifact_Alertante</t>
  </si>
  <si>
    <t>Salida_Externa</t>
  </si>
  <si>
    <t>Veredicto_Alertabilidad</t>
  </si>
  <si>
    <t>PUB-001</t>
  </si>
  <si>
    <t>F1 Built-in básico</t>
  </si>
  <si>
    <t>P4 Low</t>
  </si>
  <si>
    <t>Obligatorio</t>
  </si>
  <si>
    <t>Windows.Events.ProcessCreation</t>
  </si>
  <si>
    <t>CLIENT_EVENT</t>
  </si>
  <si>
    <t>Process creation</t>
  </si>
  <si>
    <t>Comprobar visibilidad pública de PowerShell sospechoso</t>
  </si>
  <si>
    <t>Client Monitoring activo</t>
  </si>
  <si>
    <t>Ejecutar técnica y revisar Client Events</t>
  </si>
  <si>
    <t>ProcessCreation event</t>
  </si>
  <si>
    <t>N/A</t>
  </si>
  <si>
    <t>powershell.exe -NoProfile -ExecutionPolicy Bypass observado</t>
  </si>
  <si>
    <t>Bajo</t>
  </si>
  <si>
    <t>Completado</t>
  </si>
  <si>
    <t>PUB-002</t>
  </si>
  <si>
    <t>Comprobar visibilidad pública de cmd.exe / chaining</t>
  </si>
  <si>
    <t>cmd.exe observado</t>
  </si>
  <si>
    <t>PUB-003</t>
  </si>
  <si>
    <t>Execution/Persistence</t>
  </si>
  <si>
    <t>Comprobar visibilidad pública de schtasks.exe</t>
  </si>
  <si>
    <t>schtasks.exe observado</t>
  </si>
  <si>
    <t>PUB-004</t>
  </si>
  <si>
    <t>Comprobar visibilidad pública de reg.exe sobre Run/RunOnce</t>
  </si>
  <si>
    <t>PUB-005</t>
  </si>
  <si>
    <t>Comprobar visibilidad pública de sc.exe / servicio</t>
  </si>
  <si>
    <t>sc.exe/proceso observable; servicio cubierto por ServiceCreation</t>
  </si>
  <si>
    <t>PUB-006</t>
  </si>
  <si>
    <t>Comprobar visibilidad pública de security software discovery</t>
  </si>
  <si>
    <t>PUB-007</t>
  </si>
  <si>
    <t>Comprobar visibilidad pública de ejecución de script de cifrado</t>
  </si>
  <si>
    <t>visibilidad de proceso, no cifrado</t>
  </si>
  <si>
    <t>PUB-008</t>
  </si>
  <si>
    <t>Comprobar visibilidad pública de borrado destructivo</t>
  </si>
  <si>
    <t>visibilidad de proceso, no resumen de borrado</t>
  </si>
  <si>
    <t>PUB-009</t>
  </si>
  <si>
    <t>T1074.001/T1560.001</t>
  </si>
  <si>
    <t>Comprobar visibilidad pública de staging/archivo</t>
  </si>
  <si>
    <t>visibilidad de proceso, no staging semántico</t>
  </si>
  <si>
    <t>PUB-010</t>
  </si>
  <si>
    <t>Windows.Events.ServiceCreation</t>
  </si>
  <si>
    <t>System Event 7045</t>
  </si>
  <si>
    <t>Comprobar creación de servicio</t>
  </si>
  <si>
    <t>Crear servicio temporal, revisar EventID 7045</t>
  </si>
  <si>
    <t>PUB-011</t>
  </si>
  <si>
    <t>P4/P2</t>
  </si>
  <si>
    <t>Windows.Sysinternals.SysmonLogForward</t>
  </si>
  <si>
    <t>Sysmon Operational</t>
  </si>
  <si>
    <t>Comprobar reenvío de Sysmon ID 1</t>
  </si>
  <si>
    <t>Sysmon activo + LogForward</t>
  </si>
  <si>
    <t>Ejecutar técnica y revisar eventos Sysmon reenviados</t>
  </si>
  <si>
    <t>PUB-012</t>
  </si>
  <si>
    <t>Comprobar reenvío de Sysmon 12/13/14</t>
  </si>
  <si>
    <t>PUB-013</t>
  </si>
  <si>
    <t>Comprobar reenvío de Sysmon ID 11</t>
  </si>
  <si>
    <t>PUB-014</t>
  </si>
  <si>
    <t>Comprobar reenvío de Sysmon ID 26</t>
  </si>
  <si>
    <t>PUB-015</t>
  </si>
  <si>
    <t>Comprobar reenvío de Sysmon ID 11/3/22</t>
  </si>
  <si>
    <t>PUB-016</t>
  </si>
  <si>
    <t>F2 Hayabusa histórico</t>
  </si>
  <si>
    <t>P3 Medium</t>
  </si>
  <si>
    <t>Windows.Hayabusa.Rules</t>
  </si>
  <si>
    <t>Hunt histórico</t>
  </si>
  <si>
    <t>EVTX/Sigma/Hayabusa</t>
  </si>
  <si>
    <t>Evaluar regla pública para PowerShell</t>
  </si>
  <si>
    <t>RuleLevel=Critical,High; RuleStatus=Stable</t>
  </si>
  <si>
    <t>Ejecutar técnica; lanzar/observar artifact; registrar RuleTitle, Level, MITRE</t>
  </si>
  <si>
    <t>PUB-017</t>
  </si>
  <si>
    <t>Evaluar regla pública para CMD</t>
  </si>
  <si>
    <t>PUB-018</t>
  </si>
  <si>
    <t>Evaluar regla pública para Scheduled Task</t>
  </si>
  <si>
    <t>PUB-019</t>
  </si>
  <si>
    <t>Evaluar regla pública para Run Keys</t>
  </si>
  <si>
    <t>PUB-020</t>
  </si>
  <si>
    <t>Evaluar regla pública para Service Execution</t>
  </si>
  <si>
    <t>PUB-021</t>
  </si>
  <si>
    <t>Evaluar regla pública para Security Discovery</t>
  </si>
  <si>
    <t>PUB-022</t>
  </si>
  <si>
    <t>Evaluar regla pública para Ransomware-like crypto</t>
  </si>
  <si>
    <t>PUB-023</t>
  </si>
  <si>
    <t>Evaluar regla pública para Data Destruction</t>
  </si>
  <si>
    <t>PUB-024</t>
  </si>
  <si>
    <t>Evaluar regla pública para Staging/Archive</t>
  </si>
  <si>
    <t>PUB-025</t>
  </si>
  <si>
    <t>F2 Hayabusa histórico ampliado</t>
  </si>
  <si>
    <t>RuleLevel=Critical,High,Medium; RuleStatus=Stable</t>
  </si>
  <si>
    <t>PUB-026</t>
  </si>
  <si>
    <t>PUB-027</t>
  </si>
  <si>
    <t>PUB-028</t>
  </si>
  <si>
    <t>PUB-029</t>
  </si>
  <si>
    <t>PUB-030</t>
  </si>
  <si>
    <t>PUB-031</t>
  </si>
  <si>
    <t>PUB-032</t>
  </si>
  <si>
    <t>PUB-033</t>
  </si>
  <si>
    <t>PUB-034</t>
  </si>
  <si>
    <t>F2 Hayabusa monitoring</t>
  </si>
  <si>
    <t>Windows.Hayabusa.Monitoring</t>
  </si>
  <si>
    <t>PUB-035</t>
  </si>
  <si>
    <t>PUB-036</t>
  </si>
  <si>
    <t>PUB-037</t>
  </si>
  <si>
    <t>PUB-038</t>
  </si>
  <si>
    <t>PUB-039</t>
  </si>
  <si>
    <t>PUB-040</t>
  </si>
  <si>
    <t>PUB-041</t>
  </si>
  <si>
    <t>PUB-042</t>
  </si>
  <si>
    <t>PUB-043</t>
  </si>
  <si>
    <t>F2 Hayabusa monitoring ampliado</t>
  </si>
  <si>
    <t>PUB-044</t>
  </si>
  <si>
    <t>PUB-045</t>
  </si>
  <si>
    <t>PUB-046</t>
  </si>
  <si>
    <t>PUB-047</t>
  </si>
  <si>
    <t>PUB-048</t>
  </si>
  <si>
    <t>PUB-049</t>
  </si>
  <si>
    <t>PUB-050</t>
  </si>
  <si>
    <t>PUB-051</t>
  </si>
  <si>
    <t>PUB-052</t>
  </si>
  <si>
    <t>F3 Persistencia/Triage</t>
  </si>
  <si>
    <t>P2 High</t>
  </si>
  <si>
    <t>Recomendado</t>
  </si>
  <si>
    <t>Windows.Packs.Persistence</t>
  </si>
  <si>
    <t>Hunt post-ejecución</t>
  </si>
  <si>
    <t>Persistencia Windows</t>
  </si>
  <si>
    <t>TEC-003/004/005</t>
  </si>
  <si>
    <t>Varios</t>
  </si>
  <si>
    <t>Persistence/Execution</t>
  </si>
  <si>
    <t>Evaluar persistencia general tras ejecutar técnica</t>
  </si>
  <si>
    <t>Post-ejecución</t>
  </si>
  <si>
    <t>Ejecutar técnica, lanzar artifact, registrar evidencia y ruido</t>
  </si>
  <si>
    <t>PUB-053</t>
  </si>
  <si>
    <t>Windows.Sys.StartupItems</t>
  </si>
  <si>
    <t>Evaluar Run Keys / Startup Folder tras ejecutar técnica</t>
  </si>
  <si>
    <t>PUB-054</t>
  </si>
  <si>
    <t>Windows.System.TaskScheduler</t>
  </si>
  <si>
    <t>Evaluar tareas programadas tras ejecutar técnica</t>
  </si>
  <si>
    <t>PUB-055</t>
  </si>
  <si>
    <t>Windows.Registry.ScheduledTasks</t>
  </si>
  <si>
    <t>Evaluar tareas desde registro tras ejecutar técnica</t>
  </si>
  <si>
    <t>PUB-056</t>
  </si>
  <si>
    <t>Windows.System.Services</t>
  </si>
  <si>
    <t>Evaluar servicios instalados tras ejecutar técnica</t>
  </si>
  <si>
    <t>PUB-057</t>
  </si>
  <si>
    <t>Windows.Sysinternals.Autoruns</t>
  </si>
  <si>
    <t>Evaluar autoruns/persistencia amplia tras ejecutar técnica</t>
  </si>
  <si>
    <t>Matriz de resultados · artifacts públicos por técnica</t>
  </si>
  <si>
    <t>Vista principal para decidir si los artifacts públicos cubren cada técnica o si justifican artifacts custom.</t>
  </si>
  <si>
    <t>Técnica</t>
  </si>
  <si>
    <t>ProcessCreation</t>
  </si>
  <si>
    <t>ServiceCreation</t>
  </si>
  <si>
    <t>SysmonLogForward</t>
  </si>
  <si>
    <t>Hayabusa.Rules CH</t>
  </si>
  <si>
    <t>Hayabusa.Rules CHM</t>
  </si>
  <si>
    <t>Hayabusa.Monitoring CH</t>
  </si>
  <si>
    <t>Hayabusa.Monitoring CHM</t>
  </si>
  <si>
    <t>Persistence/Triage</t>
  </si>
  <si>
    <t>Cobertura pública</t>
  </si>
  <si>
    <t>Evidencia principal</t>
  </si>
  <si>
    <t>Decisión</t>
  </si>
  <si>
    <t>Visibilidad pública</t>
  </si>
  <si>
    <t>Detección pública</t>
  </si>
  <si>
    <t>Alerta RT pública</t>
  </si>
  <si>
    <t>Artifact alertante público</t>
  </si>
  <si>
    <t>Necesidad custom alerta</t>
  </si>
  <si>
    <t>Sí/Parcial</t>
  </si>
  <si>
    <t>No suficiente</t>
  </si>
  <si>
    <t>Sí, necesario</t>
  </si>
  <si>
    <t>Parcial/Ruido</t>
  </si>
  <si>
    <t>Staging / Archive Collected Data</t>
  </si>
  <si>
    <t>Resumen definitivo · evaluación de artifacts</t>
  </si>
  <si>
    <t>Indicadores consolidados tras resolver incoherencias: públicos útiles como base, custom necesario para semántica TFM.</t>
  </si>
  <si>
    <t>Indicador</t>
  </si>
  <si>
    <t>Fórmula / interpretación</t>
  </si>
  <si>
    <t>Windows.Hayabusa.Rules = análisis histórico; no HIDS RT</t>
  </si>
  <si>
    <t>Artifacts server/transporte</t>
  </si>
  <si>
    <t>Server.Alerts.TrackNetworkConnections + Custom Router Discord; no cuentan como detección</t>
  </si>
  <si>
    <t>Públicos con visibilidad/evidencia sin semántica completa</t>
  </si>
  <si>
    <t>ETW.Monitoring</t>
  </si>
  <si>
    <t>Para CU_ID, severidad, confianza, MITRE específico, anti-FP y control P4-P1</t>
  </si>
  <si>
    <t>Arquitectura custom</t>
  </si>
  <si>
    <t>Custom.TFM.HIDS.P4.Low.Basic / P3.Medium.Behavioral / P2.High.Forensic / P1.Critical.Correlation</t>
  </si>
  <si>
    <t>Técnicas evaluadas</t>
  </si>
  <si>
    <t>TEC-001 a TEC-009</t>
  </si>
  <si>
    <t>5/14: Execution, Persistence, Discovery, Collection, Impact</t>
  </si>
  <si>
    <t>6/14: principal + Privilege Escalation secundaria/contextual</t>
  </si>
  <si>
    <t>7/14: añade Exfiltration si TEC-009 tiene red externa documentada</t>
  </si>
  <si>
    <t>Benchmark</t>
  </si>
  <si>
    <t>Por proceso</t>
  </si>
  <si>
    <t>B0-B8; CPU/RAM/I/O para velociraptor.exe, Sysmon64.exe y proceso de técnica</t>
  </si>
  <si>
    <t>Conclusión pública</t>
  </si>
  <si>
    <t>Conclusión custom</t>
  </si>
  <si>
    <t>Necesario</t>
  </si>
  <si>
    <t>La adaptación convierte telemetría en alertas accionables y defendibles como HIDS</t>
  </si>
  <si>
    <t>Decisión FortiEDR</t>
  </si>
  <si>
    <t>Fuera de evaluación empírica</t>
  </si>
  <si>
    <t>Mantener EDR/SIEM/HIDS como marco conceptual, no comparativa experimental</t>
  </si>
  <si>
    <t>Catálogo definitivo de artifacts públicos y rol metodológico</t>
  </si>
  <si>
    <t>Separación estricta: detección CLIENT_EVENT / hunt histórico / server-side transporte.</t>
  </si>
  <si>
    <t>Artifact</t>
  </si>
  <si>
    <t>Tipo</t>
  </si>
  <si>
    <t>Modo recomendado</t>
  </si>
  <si>
    <t>Consumo esperado</t>
  </si>
  <si>
    <t>Técnicas objetivo</t>
  </si>
  <si>
    <t>Uso TFM</t>
  </si>
  <si>
    <t>Dónde obtener</t>
  </si>
  <si>
    <t>Built-in</t>
  </si>
  <si>
    <t>Client Monitoring</t>
  </si>
  <si>
    <t>TEC-001/002/003/004/006; visibilidad 007/008/009</t>
  </si>
  <si>
    <t>Fuente base de procesos en tiempo real</t>
  </si>
  <si>
    <t>Built-in GUI</t>
  </si>
  <si>
    <t>Mantener</t>
  </si>
  <si>
    <t>Visibilidad alta; no clasifica MITRE por sí solo</t>
  </si>
  <si>
    <t>EventID 7045 / creación de servicios</t>
  </si>
  <si>
    <t>Caso público exitoso: alerta precisa para TEC-005</t>
  </si>
  <si>
    <t>P4 Low / P2 High</t>
  </si>
  <si>
    <t>Bajo/medio</t>
  </si>
  <si>
    <t>TEC-004/007/008/009</t>
  </si>
  <si>
    <t>Evidencia Sysmon 3/11/12/13/14/26</t>
  </si>
  <si>
    <t>Evidencia, no semántica; ID26 no enviar a Discord</t>
  </si>
  <si>
    <t>Sigma/Hayabusa</t>
  </si>
  <si>
    <t>Medio</t>
  </si>
  <si>
    <t>TEC-001 parcial; 007/008/009 parcial/no específico</t>
  </si>
  <si>
    <t>Alerta pública RT Sigma/Hayabusa</t>
  </si>
  <si>
    <t>Sigma artifacts / Server.Import.Extras</t>
  </si>
  <si>
    <t>Genera alerta PowerShell genérica; insuficiente para técnicas de impacto/staging</t>
  </si>
  <si>
    <t>Windows.ETW.Monitoring</t>
  </si>
  <si>
    <t>Sigma/ETW</t>
  </si>
  <si>
    <t>P2/P1 opcional</t>
  </si>
  <si>
    <t>Medio/alto</t>
  </si>
  <si>
    <t>Documentar</t>
  </si>
  <si>
    <t>Varias esperadas</t>
  </si>
  <si>
    <t>Prueba negativa en entorno</t>
  </si>
  <si>
    <t>No priorizar</t>
  </si>
  <si>
    <t>No generó eventos útiles; resultado válido para memoria</t>
  </si>
  <si>
    <t>Generic.Events.TrackNetworkConnections</t>
  </si>
  <si>
    <t>Community / SEC Consult</t>
  </si>
  <si>
    <t>P3/P2</t>
  </si>
  <si>
    <t>Importante</t>
  </si>
  <si>
    <t>TEC-009 contextual</t>
  </si>
  <si>
    <t>Conexiones nuevas/eliminadas por endpoint</t>
  </si>
  <si>
    <t>Artifact Exchange / SEC Consult</t>
  </si>
  <si>
    <t>Mantener con filtro</t>
  </si>
  <si>
    <t>Usa netstat+diff; filtrar TCP added, puerto 80/443, destino externo y proceso powershell/curl</t>
  </si>
  <si>
    <t>Complementario</t>
  </si>
  <si>
    <t>TEC-001 a TEC-009 parcial</t>
  </si>
  <si>
    <t>Comparación histórica sobre EVTX</t>
  </si>
  <si>
    <t>Mantener como histórico</t>
  </si>
  <si>
    <t>No es HIDS RT; útil para demostrar ruido y detección parcial</t>
  </si>
  <si>
    <t>Server.Alerts.TrackNetworkConnections</t>
  </si>
  <si>
    <t>Server-side companion</t>
  </si>
  <si>
    <t>Server Monitoring</t>
  </si>
  <si>
    <t>Transporte</t>
  </si>
  <si>
    <t>Reacción/alerta server-side de conexiones</t>
  </si>
  <si>
    <t>SEC Consult companion</t>
  </si>
  <si>
    <t>No contar como detección</t>
  </si>
  <si>
    <t>No es CLIENT_EVENT; sirve para notificación</t>
  </si>
  <si>
    <t>Custom.TFM.PublicAlerts.Discord.Router</t>
  </si>
  <si>
    <t>Custom SERVER_EVENT</t>
  </si>
  <si>
    <t>Transporte normalizado</t>
  </si>
  <si>
    <t>Necesario TFM</t>
  </si>
  <si>
    <t>Todas alertables</t>
  </si>
  <si>
    <t>Normalizar Discord: CU_ID, MITRE, severidad, evidencia</t>
  </si>
  <si>
    <t>Desarrollo propio</t>
  </si>
  <si>
    <t>No detecta; transporta alertas filtradas</t>
  </si>
  <si>
    <t>Operaciones benignas y control de falsos positivos</t>
  </si>
  <si>
    <t>Pruebas negativas o dual-use para valorar discriminación de artifacts públicos/custom.</t>
  </si>
  <si>
    <t>ID_OB</t>
  </si>
  <si>
    <t>Operación benigna</t>
  </si>
  <si>
    <t>Comando/acción</t>
  </si>
  <si>
    <t>Técnica que podría parecer</t>
  </si>
  <si>
    <t>Resultado esperado</t>
  </si>
  <si>
    <t>Artifact a comprobar</t>
  </si>
  <si>
    <t>Resultado real</t>
  </si>
  <si>
    <t>Veredicto</t>
  </si>
  <si>
    <t>OB-001</t>
  </si>
  <si>
    <t>Apertura PowerShell normal</t>
  </si>
  <si>
    <t>powershell.exe</t>
  </si>
  <si>
    <t>No alerta o baja prioridad</t>
  </si>
  <si>
    <t>ProcessCreation / Hayabusa</t>
  </si>
  <si>
    <t>Control de ruido</t>
  </si>
  <si>
    <t>OB-002</t>
  </si>
  <si>
    <t>CMD normal</t>
  </si>
  <si>
    <t>cmd.exe</t>
  </si>
  <si>
    <t>No alerta</t>
  </si>
  <si>
    <t>OB-003</t>
  </si>
  <si>
    <t>Consulta eventos defensiva</t>
  </si>
  <si>
    <t>Get-WinEvent Sysmon/PowerShell</t>
  </si>
  <si>
    <t>TEC-006/008</t>
  </si>
  <si>
    <t>No clasificar como ataque</t>
  </si>
  <si>
    <t>Hayabusa/custom</t>
  </si>
  <si>
    <t>Excluir diagnósticos defensivos</t>
  </si>
  <si>
    <t>OB-004</t>
  </si>
  <si>
    <t>Crear ZIP administrativo</t>
  </si>
  <si>
    <t>Compress-Archive documentos</t>
  </si>
  <si>
    <t>No exfil si no hay contexto</t>
  </si>
  <si>
    <t>Diferenciar backup vs staging</t>
  </si>
  <si>
    <t>OB-005</t>
  </si>
  <si>
    <t>Borrado individual</t>
  </si>
  <si>
    <t>Remove-Item un fichero</t>
  </si>
  <si>
    <t>No alerta crítica</t>
  </si>
  <si>
    <t>Sysmon ID 26 / custom</t>
  </si>
  <si>
    <t>No alertar por fichero</t>
  </si>
  <si>
    <t>OB-006</t>
  </si>
  <si>
    <t>Scheduled task administrativa</t>
  </si>
  <si>
    <t>schtasks create/delete controlado</t>
  </si>
  <si>
    <t>Posible dual-use</t>
  </si>
  <si>
    <t>Hayabusa/public/custom</t>
  </si>
  <si>
    <t>Alto</t>
  </si>
  <si>
    <t>Puede generar FP controlado</t>
  </si>
  <si>
    <t>OB-007</t>
  </si>
  <si>
    <t>Servicio legítimo Windows</t>
  </si>
  <si>
    <t>Actualización/instalador crea servicio</t>
  </si>
  <si>
    <t>No alerta crítica si contexto legítimo</t>
  </si>
  <si>
    <t>ServiceCreation/Hayabusa</t>
  </si>
  <si>
    <t>OB-008</t>
  </si>
  <si>
    <t>Consulta AV defensiva</t>
  </si>
  <si>
    <t>Get-CimInstance AntivirusProduct</t>
  </si>
  <si>
    <t>Puede ser positivo si prueba; benigno si admin</t>
  </si>
  <si>
    <t>ProcessCreation/4104</t>
  </si>
  <si>
    <t>Dual-use</t>
  </si>
  <si>
    <t>Plan definitivo de benchmark por proceso</t>
  </si>
  <si>
    <t>Equivalente tipo top/ntop en Windows: foco en velociraptor.exe, Sysmon64.exe y proceso de la técnica; comparar reposo vs ejecución.</t>
  </si>
  <si>
    <t>Escenario</t>
  </si>
  <si>
    <t>Objetivo</t>
  </si>
  <si>
    <t>VR activo</t>
  </si>
  <si>
    <t>Artifacts activos</t>
  </si>
  <si>
    <t>Procesos medidos</t>
  </si>
  <si>
    <t>Métricas</t>
  </si>
  <si>
    <t>Duración</t>
  </si>
  <si>
    <t>Repeticiones</t>
  </si>
  <si>
    <t>B0</t>
  </si>
  <si>
    <t>Baseline Windows + Sysmon sin Velociraptor</t>
  </si>
  <si>
    <t>No</t>
  </si>
  <si>
    <t>Sysmon64.exe; proceso técnica si aplica</t>
  </si>
  <si>
    <t>CPU media/P95/max; Working Set; Private Bytes; I/O read/write</t>
  </si>
  <si>
    <t>5-10 min</t>
  </si>
  <si>
    <t>Control basal</t>
  </si>
  <si>
    <t>B1</t>
  </si>
  <si>
    <t>Velociraptor activo sin artifacts custom</t>
  </si>
  <si>
    <t>Sin custom</t>
  </si>
  <si>
    <t>velociraptor.exe; Sysmon64.exe</t>
  </si>
  <si>
    <t>CPU/RAM/I/O por proceso</t>
  </si>
  <si>
    <t>Coste VR en reposo</t>
  </si>
  <si>
    <t>B2</t>
  </si>
  <si>
    <t>Artifacts públicos básicos</t>
  </si>
  <si>
    <t>ProcessCreation; ServiceCreation; SysmonLogForward</t>
  </si>
  <si>
    <t>CPU/RAM/I/O</t>
  </si>
  <si>
    <t>P4 público</t>
  </si>
  <si>
    <t>B3</t>
  </si>
  <si>
    <t>Hayabusa/Sigma público</t>
  </si>
  <si>
    <t>Hayabusa.Monitoring; Hayabusa.Rules si histórico</t>
  </si>
  <si>
    <t>P3 público</t>
  </si>
  <si>
    <t>B4</t>
  </si>
  <si>
    <t>Red host-based pública</t>
  </si>
  <si>
    <t>Generic.Events.TrackNetworkConnections + companion/router</t>
  </si>
  <si>
    <t>velociraptor.exe; Sysmon64.exe; powershell.exe</t>
  </si>
  <si>
    <t>CPU/RAM/I/O + nº conexiones/eventos</t>
  </si>
  <si>
    <t>B5</t>
  </si>
  <si>
    <t>Custom P4 Low</t>
  </si>
  <si>
    <t>Custom.TFM.HIDS.P4.Low.Basic</t>
  </si>
  <si>
    <t>Señales baratas</t>
  </si>
  <si>
    <t>B6</t>
  </si>
  <si>
    <t>Custom P3 Medium</t>
  </si>
  <si>
    <t>Custom.TFM.HIDS.P3.Medium.Behavioral</t>
  </si>
  <si>
    <t>CPU/RAM/I/O + eventos 4104</t>
  </si>
  <si>
    <t>Comportamiento 4104 selectivo</t>
  </si>
  <si>
    <t>B7</t>
  </si>
  <si>
    <t>Custom P2 High</t>
  </si>
  <si>
    <t>Custom.TFM.HIDS.P2.High.Forensic</t>
  </si>
  <si>
    <t>CPU/RAM/I/O + Sysmon 3/11/26</t>
  </si>
  <si>
    <t>Evidencia forense</t>
  </si>
  <si>
    <t>B8</t>
  </si>
  <si>
    <t>Custom P1 Critical</t>
  </si>
  <si>
    <t>Custom.TFM.HIDS.P1.Critical.Correlation</t>
  </si>
  <si>
    <t>velociraptor.exe; Sysmon64.exe; procesos técnica</t>
  </si>
  <si>
    <t>CPU/RAM/I/O + correlaciones + umbrales</t>
  </si>
  <si>
    <t>Máxima visibilidad; no usar siempre</t>
  </si>
  <si>
    <t>Gaps públicos y diseño custom P4-P1</t>
  </si>
  <si>
    <t>Justificación técnica: los públicos aportan visibilidad/alerta parcial; los custom aportan semántica, CU_ID y control de consumo.</t>
  </si>
  <si>
    <t>Gap_ID</t>
  </si>
  <si>
    <t>Técnica/área</t>
  </si>
  <si>
    <t>Gap de artifact público</t>
  </si>
  <si>
    <t>Riesgo</t>
  </si>
  <si>
    <t>Perfil custom propuesto</t>
  </si>
  <si>
    <t>Fuente custom</t>
  </si>
  <si>
    <t>Justificación</t>
  </si>
  <si>
    <t>GAP-001</t>
  </si>
  <si>
    <t>TEC-007 Ransomware</t>
  </si>
  <si>
    <t>Hayabusa puede detectar PowerShell genérico, no AES/CryptoStream/.aes con umbral</t>
  </si>
  <si>
    <t>P3/P2/P1</t>
  </si>
  <si>
    <t>4104 + Sysmon ID11 + threshold</t>
  </si>
  <si>
    <t>Sí vía resumen</t>
  </si>
  <si>
    <t>Necesaria semántica ransomware controlada</t>
  </si>
  <si>
    <t>Alta</t>
  </si>
  <si>
    <t>GAP-002</t>
  </si>
  <si>
    <t>TEC-008 Sabotaje</t>
  </si>
  <si>
    <t>ID26 genera evidencia por fichero, no alerta operativa resumida</t>
  </si>
  <si>
    <t>4104 destructivo + ID26 forense</t>
  </si>
  <si>
    <t>Sí vía 4104; no vía ID26</t>
  </si>
  <si>
    <t>Evitar spam y detectar borrado masivo</t>
  </si>
  <si>
    <t>GAP-003</t>
  </si>
  <si>
    <t>TEC-009 Staging/red</t>
  </si>
  <si>
    <t>ZIP/copia/TCP no se clasifican solos como exfiltración contextual</t>
  </si>
  <si>
    <t>4104 + Sysmon ID11 + Sysmon ID3/TrackNetwork</t>
  </si>
  <si>
    <t>Sí si resumen filtrado</t>
  </si>
  <si>
    <t>Distinguir staging, archivado y red contextual</t>
  </si>
  <si>
    <t>GAP-004</t>
  </si>
  <si>
    <t>TEC-006 Discovery</t>
  </si>
  <si>
    <t>ProcessCreation ve comando, pero no intención de discovery AV/EDR</t>
  </si>
  <si>
    <t>P3</t>
  </si>
  <si>
    <t>4104 + CommandLine</t>
  </si>
  <si>
    <t>Mejorar clasificación Discovery</t>
  </si>
  <si>
    <t>Media</t>
  </si>
  <si>
    <t>GAP-005</t>
  </si>
  <si>
    <t>Arquitectura operativa</t>
  </si>
  <si>
    <t>Artifact monolítico contradice tutoría y dificulta benchmark</t>
  </si>
  <si>
    <t>P4-P1</t>
  </si>
  <si>
    <t>4 profiles con sources por técnica</t>
  </si>
  <si>
    <t>Requisito profesor: granularidad por consumo/control</t>
  </si>
  <si>
    <t>GAP-006</t>
  </si>
  <si>
    <t>Formato SOC/TFM</t>
  </si>
  <si>
    <t>Públicos no normalizan CU_ID, severidad, confianza, FP_Risk ni DetectionLogic</t>
  </si>
  <si>
    <t>Router + custom</t>
  </si>
  <si>
    <t>watch_monitoring + http_client</t>
  </si>
  <si>
    <t>Necesario para comparar y defender alertabilidad</t>
  </si>
  <si>
    <t>Verdicto</t>
  </si>
  <si>
    <t>CustomNecesario</t>
  </si>
  <si>
    <t>Severidad</t>
  </si>
  <si>
    <t>VP</t>
  </si>
  <si>
    <t>Critical</t>
  </si>
  <si>
    <t>En curso</t>
  </si>
  <si>
    <t>CLIENT</t>
  </si>
  <si>
    <t>VN</t>
  </si>
  <si>
    <t>High</t>
  </si>
  <si>
    <t>Opcional</t>
  </si>
  <si>
    <t>SERVER_EVENT</t>
  </si>
  <si>
    <t>FP</t>
  </si>
  <si>
    <t>Medium</t>
  </si>
  <si>
    <t>Descartado</t>
  </si>
  <si>
    <t>P1 Critical</t>
  </si>
  <si>
    <t>Descartar</t>
  </si>
  <si>
    <t>FN</t>
  </si>
  <si>
    <t>Low</t>
  </si>
  <si>
    <t>P0 Debug</t>
  </si>
  <si>
    <t>No evaluado</t>
  </si>
  <si>
    <t>Informational</t>
  </si>
  <si>
    <t>Modelo de alertabilidad · artifacts públicos</t>
  </si>
  <si>
    <t>Nivel</t>
  </si>
  <si>
    <t>Definición</t>
  </si>
  <si>
    <t>Ejemplo</t>
  </si>
  <si>
    <t>¿Cuenta como alerta HIDS?</t>
  </si>
  <si>
    <t>Uso en el TFM</t>
  </si>
  <si>
    <t>El evento aparece en logs o Client Events, pero sin regla ni severidad.</t>
  </si>
  <si>
    <t>ProcessCreation ve powershell.exe</t>
  </si>
  <si>
    <t>Demuestra telemetría host-based.</t>
  </si>
  <si>
    <t>Detección</t>
  </si>
  <si>
    <t>Una regla/artifact clasifica el evento como sospechoso o relevante.</t>
  </si>
  <si>
    <t>Hayabusa.Rules: Potentially Malicious PwSh</t>
  </si>
  <si>
    <t>Comparación pública; puede ser histórico.</t>
  </si>
  <si>
    <t>Alerta real-time</t>
  </si>
  <si>
    <t>CLIENT_EVENT genera detección en tiempo real con severidad/regla.</t>
  </si>
  <si>
    <t>Hayabusa.Monitoring con regla Sigma</t>
  </si>
  <si>
    <t>Base pública más cercana a HIDS.</t>
  </si>
  <si>
    <t>Rol</t>
  </si>
  <si>
    <t>¿Detecta todas las TEC?</t>
  </si>
  <si>
    <t>¿Genera alerta real-time?</t>
  </si>
  <si>
    <t>Limitación</t>
  </si>
  <si>
    <t>Decisión TFM</t>
  </si>
  <si>
    <t>Detección pública Sigma/Hayabusa en tiempo real</t>
  </si>
  <si>
    <t>No garantizado</t>
  </si>
  <si>
    <t>Sí, si hay regla que haga match</t>
  </si>
  <si>
    <t>Depende de reglas y fuentes EVTX; puede no cubrir TEC-007/008/009 de laboratorio</t>
  </si>
  <si>
    <t>Probar como artifact público alertante principal, no como única solución</t>
  </si>
  <si>
    <t>Detección histórica Sigma/Hayabusa sobre EVTX</t>
  </si>
  <si>
    <t>No es tiempo real; genera ruido si no se acota por fecha/reglas</t>
  </si>
  <si>
    <t>Usar como línea base pública histórica</t>
  </si>
  <si>
    <t>Telemetría de procesos en tiempo real</t>
  </si>
  <si>
    <t>No por sí solo</t>
  </si>
  <si>
    <t>No tiene severidad ni semántica MITRE</t>
  </si>
  <si>
    <t>Fuente P4 y entrada para custom</t>
  </si>
  <si>
    <t>Evento fuerte de creación de servicio</t>
  </si>
  <si>
    <t>Solo TEC-005</t>
  </si>
  <si>
    <t>Detecta 7045, pero no normaliza alerta SOC</t>
  </si>
  <si>
    <t>Mantener P4/P3 y enrutar con SERVER_EVENT/custom</t>
  </si>
  <si>
    <t>Reenvío de eventos Sysmon</t>
  </si>
  <si>
    <t>Mucho volumen; evidencia raw</t>
  </si>
  <si>
    <t>Usar como evidencia P2/P1, no como alerta directa</t>
  </si>
  <si>
    <t>Windows.Packs.Persistence / Autoruns / StartupItems</t>
  </si>
  <si>
    <t>Hunt post-ejecución de persistencia</t>
  </si>
  <si>
    <t>No continuo; útil tras ejecución</t>
  </si>
  <si>
    <t>Complemento para TEC-003/004/005</t>
  </si>
  <si>
    <t>Server.Alerts.Notification</t>
  </si>
  <si>
    <t>Transporte de alertas a webhook</t>
  </si>
  <si>
    <t>Sí, como transporte</t>
  </si>
  <si>
    <t>No detecta; solo reenvía alertas/eventos</t>
  </si>
  <si>
    <t>Pregunta</t>
  </si>
  <si>
    <t>Respuesta técnica</t>
  </si>
  <si>
    <t>¿Hayabusa.Monitoring puede detectar todas las técnicas?</t>
  </si>
  <si>
    <t>No de forma garantizada. Es el mejor artifact público para alerta real-time, pero depende de que exista una regla Sigma/Hayabusa compatible con la evidencia generada.</t>
  </si>
  <si>
    <t>¿Necesito otros artifacts públicos?</t>
  </si>
  <si>
    <t>¿Cuándo justifico custom?</t>
  </si>
  <si>
    <t>Plan paso a paso · prueba de alertas públicas</t>
  </si>
  <si>
    <t>Secuencia para comprobar no solo visibilidad, sino detección alertable con artifacts públicos antes de crear custom P4–P1.</t>
  </si>
  <si>
    <t>Paso</t>
  </si>
  <si>
    <t>Configuración activa</t>
  </si>
  <si>
    <t>Qué revisar</t>
  </si>
  <si>
    <t>Criterio de éxito</t>
  </si>
  <si>
    <t>Excel</t>
  </si>
  <si>
    <t>Solo Windows.Hayabusa.Monitoring</t>
  </si>
  <si>
    <t>Ejecutar TEC-001 aislada</t>
  </si>
  <si>
    <t>Client Events → Hayabusa.Monitoring</t>
  </si>
  <si>
    <t>Regla PowerShell con Level/Title</t>
  </si>
  <si>
    <t>Parcial o Sí</t>
  </si>
  <si>
    <t>Ejecutar TEC-005 aislada</t>
  </si>
  <si>
    <t>Hayabusa.Monitoring + System 7045</t>
  </si>
  <si>
    <t>Regla de servicio o evento relacionado</t>
  </si>
  <si>
    <t>Ejecutar TEC-008 aislada</t>
  </si>
  <si>
    <t>Hayabusa.Monitoring</t>
  </si>
  <si>
    <t>Regla útil no masiva/no ruido</t>
  </si>
  <si>
    <t>Probable parcial/ruido</t>
  </si>
  <si>
    <t>Hayabusa.Monitoring + ServiceCreation</t>
  </si>
  <si>
    <t>Ejecutar TEC-005</t>
  </si>
  <si>
    <t>EventID 7045 en tiempo real</t>
  </si>
  <si>
    <t>Sí técnico, alerta SOC pendiente</t>
  </si>
  <si>
    <t>Hayabusa.Rules</t>
  </si>
  <si>
    <t>Collection acotada por DateAfter/DateBefore</t>
  </si>
  <si>
    <t>Todas</t>
  </si>
  <si>
    <t>Results CSV</t>
  </si>
  <si>
    <t>Reglas relevantes sin ruido excesivo</t>
  </si>
  <si>
    <t>Detección_Histórica</t>
  </si>
  <si>
    <t>Consultar ID 11 e ID 26</t>
  </si>
  <si>
    <t>TEC-007/008/009</t>
  </si>
  <si>
    <t>Sysmon ID 11/26</t>
  </si>
  <si>
    <t>Evidencia forense concreta</t>
  </si>
  <si>
    <t>Sí evidencia, no alerta</t>
  </si>
  <si>
    <t>SERVER_EVENT público o custom</t>
  </si>
  <si>
    <t>Reenviar evento de Hayabusa/ServiceCreation</t>
  </si>
  <si>
    <t>TEC detectada</t>
  </si>
  <si>
    <t>Discord/Webhook</t>
  </si>
  <si>
    <t>Mensaje con técnica, severidad, evidencia</t>
  </si>
  <si>
    <t>¿Hayabusa.Monitoring suficiente?</t>
  </si>
  <si>
    <t>Artifacts públicos adicionales</t>
  </si>
  <si>
    <t>Resultado público esperado</t>
  </si>
  <si>
    <t>Custom recomendado</t>
  </si>
  <si>
    <t>Puede ser suficiente si salta regla PowerShell</t>
  </si>
  <si>
    <t>ProcessCreation / Hayabusa.Rules</t>
  </si>
  <si>
    <t>Parcial/Sí</t>
  </si>
  <si>
    <t>Sí para CU_ID y Discord limpio</t>
  </si>
  <si>
    <t>Puede detectar si regla scheduled task</t>
  </si>
  <si>
    <t>TaskScheduler / Persistence / ProcessCreation</t>
  </si>
  <si>
    <t>Puede detectar si regla Run Key</t>
  </si>
  <si>
    <t>StartupItems / Autoruns / SysmonLogForward</t>
  </si>
  <si>
    <t>Puede, pero ServiceCreation es más directo</t>
  </si>
  <si>
    <t>ServiceCreation / System 7045</t>
  </si>
  <si>
    <t>Router para Discord</t>
  </si>
  <si>
    <t>ProcessCreation / 4104 / Hayabusa.Rules</t>
  </si>
  <si>
    <t>Sysmon ID 11 / Hayabusa.Rules</t>
  </si>
  <si>
    <t>No suficiente por ruido ID26/File Deleted</t>
  </si>
  <si>
    <t>Sysmon ID 26 / 4104</t>
  </si>
  <si>
    <t>No suficiente para staging local</t>
  </si>
  <si>
    <t>Sysmon ID 11 / 4104</t>
  </si>
  <si>
    <t>Resumen de Windows.Hayabusa.Rules filtrado</t>
  </si>
  <si>
    <t>Resumen del CSV filtrado para separar detección útil de ruido y justificar ajuste/custom.</t>
  </si>
  <si>
    <t>Métrica</t>
  </si>
  <si>
    <t>Total filas filtradas</t>
  </si>
  <si>
    <t>Títulos únicos</t>
  </si>
  <si>
    <t>Nivel predominante</t>
  </si>
  <si>
    <t>medium</t>
  </si>
  <si>
    <t>Título predominante</t>
  </si>
  <si>
    <t>File Deleted (Sysmon Alert)</t>
  </si>
  <si>
    <t>Interpretación</t>
  </si>
  <si>
    <t>Detección parcial, pero ruido alto si no se acota por fecha/regla</t>
  </si>
  <si>
    <t>Title</t>
  </si>
  <si>
    <t>Filas</t>
  </si>
  <si>
    <t>% sobre filtrado</t>
  </si>
  <si>
    <t>95.03%</t>
  </si>
  <si>
    <t>Ruido/alto volumen; evidencia forense, no alerta directa</t>
  </si>
  <si>
    <t>Potentially Malicious PwSh</t>
  </si>
  <si>
    <t>4.97%</t>
  </si>
  <si>
    <t>Detección PowerShell parcial; revisar detalle</t>
  </si>
  <si>
    <t>Conclusión</t>
  </si>
  <si>
    <t>Detalle</t>
  </si>
  <si>
    <t>Hayabusa.Rules funciona</t>
  </si>
  <si>
    <t>Sí: genera reglas sobre EVTX y ha producido resultados filtrados.</t>
  </si>
  <si>
    <t>No equivale a alerta real-time</t>
  </si>
  <si>
    <t>Ruido detectado</t>
  </si>
  <si>
    <t>File Deleted domina el resultado; no conviene usarlo como alerta directa por fichero.</t>
  </si>
  <si>
    <t>Uso correcto</t>
  </si>
  <si>
    <t>Acotar DateAfter/DateBefore, filtrar RuleTitle y comparar con Hayabusa.Monitoring.</t>
  </si>
  <si>
    <t>Arquitectura custom definitiva P4-P1</t>
  </si>
  <si>
    <t>Cuatro artifacts por perfil operativo. Cada artifact contiene sources internas por técnica; no se crean 36 YAML.</t>
  </si>
  <si>
    <t>Nombre artifact</t>
  </si>
  <si>
    <t>Profundidad</t>
  </si>
  <si>
    <t>Fuentes principales</t>
  </si>
  <si>
    <t>Consumo</t>
  </si>
  <si>
    <t>Señales básicas / bajo coste</t>
  </si>
  <si>
    <t>ProcessCreation; ServiceCreation; Registry básico; 4104 muy selectivo</t>
  </si>
  <si>
    <t>Sí, señales fuertes</t>
  </si>
  <si>
    <t>Producción mínima y benchmark base</t>
  </si>
  <si>
    <t>Comportamiento por técnica</t>
  </si>
  <si>
    <t>PowerShell 4104 selectivo; command-line; exclusiones anti-FP</t>
  </si>
  <si>
    <t>Sí, alertas resumidas</t>
  </si>
  <si>
    <t>Cubre TEC-006/007/008/009 con semántica</t>
  </si>
  <si>
    <t>Evidencia + correlación ligera</t>
  </si>
  <si>
    <t>Sysmon ID 3/11/12/13/14/26; eventos forenses no masivos a Discord</t>
  </si>
  <si>
    <t>Solo resumen</t>
  </si>
  <si>
    <t>Permite trazabilidad y evita perder evidencia</t>
  </si>
  <si>
    <t>Máxima visibilidad / umbrales</t>
  </si>
  <si>
    <t>Correlación 4104 + Sysmon + thresholds + ventanas temporales</t>
  </si>
  <si>
    <t>Sí, una alerta consolidada</t>
  </si>
  <si>
    <t>Para validación avanzada y activos críticos</t>
  </si>
  <si>
    <t>P0 Debug/Lab</t>
  </si>
  <si>
    <t>Custom.TFM.HIDS.P0.Debug.Raw</t>
  </si>
  <si>
    <t>Raw/debug</t>
  </si>
  <si>
    <t>Raw 4104, Sysmon masivo, debug sources</t>
  </si>
  <si>
    <t>Muy alto</t>
  </si>
  <si>
    <t>Solo laboratorio; no producción</t>
  </si>
  <si>
    <t>Source interna</t>
  </si>
  <si>
    <t>Técnicas</t>
  </si>
  <si>
    <t>Perfil mínimo</t>
  </si>
  <si>
    <t>Señal principal</t>
  </si>
  <si>
    <t>Motivo</t>
  </si>
  <si>
    <t>Source_TEC001_PowerShell</t>
  </si>
  <si>
    <t>P4</t>
  </si>
  <si>
    <t>powershell.exe + flags sospechosos</t>
  </si>
  <si>
    <t>Execution básica</t>
  </si>
  <si>
    <t>Source_TEC002_CMD</t>
  </si>
  <si>
    <t>cmd.exe /c + chaining/dual-use</t>
  </si>
  <si>
    <t>Source_TEC003_ScheduledTask</t>
  </si>
  <si>
    <t>P4/P3</t>
  </si>
  <si>
    <t>schtasks.exe + exclusión MSFT_ScheduledTask</t>
  </si>
  <si>
    <t>Source_TEC004_RunKeys</t>
  </si>
  <si>
    <t>reg.exe + Sysmon Registry Run/RunOnce</t>
  </si>
  <si>
    <t>Source_TEC005_Service</t>
  </si>
  <si>
    <t>EventID 7045 + sc.exe</t>
  </si>
  <si>
    <t>Caso público fuerte</t>
  </si>
  <si>
    <t>Source_TEC006_Discovery</t>
  </si>
  <si>
    <t>SecurityCenter2 / AntivirusProduct / Defender / EDR strings</t>
  </si>
  <si>
    <t>Discovery semántico</t>
  </si>
  <si>
    <t>Source_TEC007_Ransomware</t>
  </si>
  <si>
    <t>AES/CryptoStream/.aes + Sysmon ID11 + umbral</t>
  </si>
  <si>
    <t>Impact/cifrado</t>
  </si>
  <si>
    <t>Source_TEC008_Destruction</t>
  </si>
  <si>
    <t>Remove-Item masivo + ID26 forense</t>
  </si>
  <si>
    <t>Impact/destrucción</t>
  </si>
  <si>
    <t>Source_TEC009_Staging_Network</t>
  </si>
  <si>
    <t>Compress-Archive + Copy-Item + TCP externa</t>
  </si>
  <si>
    <t>Collection + Exfiltration contextual</t>
  </si>
  <si>
    <t>HIDS RT</t>
  </si>
  <si>
    <t>Alerta RT</t>
  </si>
  <si>
    <t>Técnicas principales</t>
  </si>
  <si>
    <t>Varias</t>
  </si>
  <si>
    <t>No aplica</t>
  </si>
  <si>
    <t>Custom Router Discord</t>
  </si>
  <si>
    <t>Scripts de laboratorio revisados</t>
  </si>
  <si>
    <t>Resumen operativo para integrar en prompt/contexto y memoria. No usar nombres/rutas como lógica de detección final.</t>
  </si>
  <si>
    <t>Script</t>
  </si>
  <si>
    <t>Técnica / rol</t>
  </si>
  <si>
    <t>Comportamiento observado</t>
  </si>
  <si>
    <t>Corrección / nota</t>
  </si>
  <si>
    <t>crear_directorio_dummy.ps1</t>
  </si>
  <si>
    <t>Preparación dataset</t>
  </si>
  <si>
    <t>Crea DUMB_LAB con subcarpetas, marcador LAB_OK_DO_NOT_TOUCH.txt y 1500 ficheros dummy</t>
  </si>
  <si>
    <t>FileCreate / actividad de escritura si se monitoriza</t>
  </si>
  <si>
    <t>Correcto como preparación; no es técnica MITRE evaluada</t>
  </si>
  <si>
    <t>enumeracion.ps1</t>
  </si>
  <si>
    <t>Pre-TEC-007 / inventario</t>
  </si>
  <si>
    <t>Enumera DUMB_LAB y genera lista_archivos.txt + lista_archivos.csv</t>
  </si>
  <si>
    <t>4104 Get-ChildItem; creación TXT/CSV</t>
  </si>
  <si>
    <t>Puede generar señales de discovery/file enumeration; contextualizar</t>
  </si>
  <si>
    <t>descifrar.ps1</t>
  </si>
  <si>
    <t>Restauración TEC-007</t>
  </si>
  <si>
    <t>Descifra .aes usando AES/SHA256 y elimina .aes tras restaurar</t>
  </si>
  <si>
    <t>4104 AES/CryptoStream/CreateDecryptor; Sysmon ID26 por .aes eliminados</t>
  </si>
  <si>
    <t>No confundir descifrado/restauración con TEC-008 destructiva</t>
  </si>
  <si>
    <t>sabotaje.ps1</t>
  </si>
  <si>
    <t>TEC-008 Data Destruction</t>
  </si>
  <si>
    <t>Enumera DUMB_LAB y borra ficheros con Remove-Item -Force</t>
  </si>
  <si>
    <t>4104 Get-ChildItem/Remove-Item; Sysmon ID26</t>
  </si>
  <si>
    <t>Cabecera errónea: pone TEC-009; debe decir TEC-008</t>
  </si>
  <si>
    <t>exfiltracion.ps1</t>
  </si>
  <si>
    <t>TEC-009 staging + red contextual</t>
  </si>
  <si>
    <t>Compress-Archive DUMB_LAB, Copy-Item a ENVIADO_dump_exfil.zip y TcpClient a example.com:80 durante 20 s</t>
  </si>
  <si>
    <t>4104 Compress-Archive/Copy-Item/TcpClient; Sysmon ID11 ZIP; Sysmon ID3 TCP; TrackNetworkConnections</t>
  </si>
  <si>
    <t>Hay conexión externa real controlada, pero no transferencia real del ZIP</t>
  </si>
  <si>
    <t>TFM_Run_All_TEC_Tests.ps1</t>
  </si>
  <si>
    <t>Runner TEC-001..TEC-009</t>
  </si>
  <si>
    <t>Ejecuta técnicas, restaura DUMB_LAB y deja pausas entre pruebas</t>
  </si>
  <si>
    <t>Hayabusa puede detectar runner/Set-ExecutionPolicy más que técnica interna</t>
  </si>
  <si>
    <t>Comentario inicial dice TEC-009 solo staging local; actualizar a staging + TCP controlada</t>
  </si>
  <si>
    <t>ejecutar.txt</t>
  </si>
  <si>
    <t>Lanzamiento manual</t>
  </si>
  <si>
    <t>Set-ExecutionPolicy Bypass, cd a SCRIPT_PRUEBAS y ejecuta TFM_Run_All_TEC_Tests.ps1</t>
  </si>
  <si>
    <t>4104 Set-ExecutionPolicy; ProcessCreation powershell/cmd</t>
  </si>
  <si>
    <t>Útil para reproducibilidad; puede activar alerta PowerShell genérica Hayabusa</t>
  </si>
  <si>
    <t>Incoherencias cerradas / decisiones definitivas</t>
  </si>
  <si>
    <t>Hoja de control para mantener el prompt y la memoria sin contradicciones.</t>
  </si>
  <si>
    <t>ID</t>
  </si>
  <si>
    <t>Tema</t>
  </si>
  <si>
    <t>Decisión definitiva</t>
  </si>
  <si>
    <t>INC-001</t>
  </si>
  <si>
    <t>TEC-009 MITRE</t>
  </si>
  <si>
    <t>Principal = T1074.001 + T1560.001. T1020/T1041 solo contextual si hay telemetría de red externa.</t>
  </si>
  <si>
    <t>Actualizar prompt, Excel y memoria</t>
  </si>
  <si>
    <t>INC-002</t>
  </si>
  <si>
    <t>TEC-009 envío real</t>
  </si>
  <si>
    <t>INC-003</t>
  </si>
  <si>
    <t>Sabotaje script</t>
  </si>
  <si>
    <t>sabotaje.ps1 tiene cabecera errónea TEC-009, pero comportamiento y final indican TEC-008.</t>
  </si>
  <si>
    <t>Corregir cabecera</t>
  </si>
  <si>
    <t>INC-004</t>
  </si>
  <si>
    <t>No son 36 artifacts. Son 4 artifacts por perfil con sources internas por técnica.</t>
  </si>
  <si>
    <t>Mantener arquitectura P4/P3/P2/P1</t>
  </si>
  <si>
    <t>INC-005</t>
  </si>
  <si>
    <t>Riesgo endpoint</t>
  </si>
  <si>
    <t>La columna debe entenderse como intensidad/perfil operativo, no criticidad real del endpoint.</t>
  </si>
  <si>
    <t>Usar 'perfil operativo / intensidad de monitorización'</t>
  </si>
  <si>
    <t>INC-006</t>
  </si>
  <si>
    <t>Cobertura /14</t>
  </si>
  <si>
    <t>Usar /14 por criterio de tutoría. Separar principal 5/14, ampliada 6/14 y contextual 7/14.</t>
  </si>
  <si>
    <t>No inflar cobertura</t>
  </si>
  <si>
    <t>INC-007</t>
  </si>
  <si>
    <t>Sysmon ID26</t>
  </si>
  <si>
    <t>Evidencia forense de borrado; no alerta Discord por fichero.</t>
  </si>
  <si>
    <t>Mantener como P2/P1 forense</t>
  </si>
  <si>
    <t>INC-008</t>
  </si>
  <si>
    <t>FortiEDR</t>
  </si>
  <si>
    <t>No comparativa experimental. Solo marco conceptual EDR/SIEM/HIDS si se menciona.</t>
  </si>
  <si>
    <t>Eliminar de objetivos empíricos</t>
  </si>
  <si>
    <t>INC-009</t>
  </si>
  <si>
    <t>Histórico/hunt, no HIDS RT. No contar como monitoring continuo.</t>
  </si>
  <si>
    <t>Mantener como complemento</t>
  </si>
  <si>
    <t>INC-010</t>
  </si>
  <si>
    <t>Rutas TFM/DUMB_LAB</t>
  </si>
  <si>
    <t>Válidas para validación y consultas; prohibidas como lógica de detección final.</t>
  </si>
  <si>
    <t>Separar laboratorio vs detección final</t>
  </si>
  <si>
    <t>README - alcance y metodologia</t>
  </si>
  <si>
    <t>campo</t>
  </si>
  <si>
    <t>valor</t>
  </si>
  <si>
    <t>Consolidar visibilidad, deteccion, alertas/perfiles, FP y comparacion Wazuh para memoria TFM.</t>
  </si>
  <si>
    <t>Excel base</t>
  </si>
  <si>
    <t>04_EVIDENCE\Analisis_Tecnicas_TFM_V.4.xlsx</t>
  </si>
  <si>
    <t>Rutas VR</t>
  </si>
  <si>
    <t>05_LOGS\Validas\Prueba_24_06_2026 y 05_LOGS\Validas\Prueba_24_06_2026_FP</t>
  </si>
  <si>
    <t>Rutas Wazuh</t>
  </si>
  <si>
    <t>10_WAZUH\TFM_WAZUH_VISIBILIDAD_EVIDENCE</t>
  </si>
  <si>
    <t>Criterio REAL</t>
  </si>
  <si>
    <t>Solo filas CLIENT_EVENT de carpeta real dentro de 2026-06-24T12:50:22.335Z..2026-06-24T12:55:53.996Z.</t>
  </si>
  <si>
    <t>Criterio FP</t>
  </si>
  <si>
    <t>FP por summary/vr_hits del RunId TFM_FP_20260626_101948 dentro de 2026-06-26T08:19:48.709Z..2026-06-26T08:20:18.059Z.</t>
  </si>
  <si>
    <t>Advertencia</t>
  </si>
  <si>
    <t>CSV con fechas mezcladas se registran en DISCREPANCIAS y no se agregan como definitivos fuera de ventana.</t>
  </si>
  <si>
    <t>Limitaciones</t>
  </si>
  <si>
    <t>Resumen ejecutivo</t>
  </si>
  <si>
    <t>KPIs principales y conteos reconciliados.</t>
  </si>
  <si>
    <t>detalle</t>
  </si>
  <si>
    <t>TEC reales planificadas</t>
  </si>
  <si>
    <t>TEC reales ejecutadas</t>
  </si>
  <si>
    <t>OK</t>
  </si>
  <si>
    <t>TEC OK</t>
  </si>
  <si>
    <t>TEC WARN</t>
  </si>
  <si>
    <t>TEC FAIL</t>
  </si>
  <si>
    <t>FP planificados</t>
  </si>
  <si>
    <t>FP-001 a FP-010</t>
  </si>
  <si>
    <t>FP OK</t>
  </si>
  <si>
    <t>FP WARN</t>
  </si>
  <si>
    <t>FP FAIL</t>
  </si>
  <si>
    <t>FP SKIPPED</t>
  </si>
  <si>
    <t>Total alertas VR REAL incluidas</t>
  </si>
  <si>
    <t>Filas CLIENT_EVENT en carpeta real y ventana del runner.</t>
  </si>
  <si>
    <t>Alertas VR P1</t>
  </si>
  <si>
    <t>Alertas VR P2</t>
  </si>
  <si>
    <t>Alertas VR P3</t>
  </si>
  <si>
    <t>Alertas VR P4</t>
  </si>
  <si>
    <t>Hits FP</t>
  </si>
  <si>
    <t>summary.json / vr_hits.csv</t>
  </si>
  <si>
    <t>Wazuh base alerts</t>
  </si>
  <si>
    <t>Wazuh custom alerts</t>
  </si>
  <si>
    <t>Reglas Wazuh 110xxx activadas</t>
  </si>
  <si>
    <t>110201 no activada.</t>
  </si>
  <si>
    <t>Gaps</t>
  </si>
  <si>
    <t>110201=0 / TEC-009</t>
  </si>
  <si>
    <t>Tecnicas reales Velociraptor</t>
  </si>
  <si>
    <t>TEC-001 a TEC-009; ejecucion real 24/06; filas fuera de ventana excluidas.</t>
  </si>
  <si>
    <t>TEC_ID</t>
  </si>
  <si>
    <t>tecnica</t>
  </si>
  <si>
    <t>tactica</t>
  </si>
  <si>
    <t>runner</t>
  </si>
  <si>
    <t>inicio</t>
  </si>
  <si>
    <t>fin</t>
  </si>
  <si>
    <t>duracion_seg</t>
  </si>
  <si>
    <t>estado_ejecucion</t>
  </si>
  <si>
    <t>Sysmon_events</t>
  </si>
  <si>
    <t>PowerShell_4104</t>
  </si>
  <si>
    <t>System_7045</t>
  </si>
  <si>
    <t>visibilidad_sistema</t>
  </si>
  <si>
    <t>visibilidad_velociraptor</t>
  </si>
  <si>
    <t>deteccion_vr</t>
  </si>
  <si>
    <t>perfil_max_vr</t>
  </si>
  <si>
    <t>alerta_externa_jsonl_discord</t>
  </si>
  <si>
    <t>evidencia_principal</t>
  </si>
  <si>
    <t>observaciones</t>
  </si>
  <si>
    <t>limitaciones</t>
  </si>
  <si>
    <t>C:\Users\seguridad\Desktop\TFM\03_RUNNERS\TFM_Run_All_TEC_Tests_v6_PATCHED_4104.ps1</t>
  </si>
  <si>
    <t>2026-06-24T12:50:48.978Z</t>
  </si>
  <si>
    <t>2026-06-24T12:50:56.109Z</t>
  </si>
  <si>
    <t>SI</t>
  </si>
  <si>
    <t>SI_CLIENT_EVENT</t>
  </si>
  <si>
    <t>P2</t>
  </si>
  <si>
    <t>NO_JSONL_DISCORD_VALIDO_LOCALIZADO</t>
  </si>
  <si>
    <t>Command A ExitCode=0; Command B ExitCode=0; Stdout=TEC001_BASE64_OK | TEC001_IEX_OK</t>
  </si>
  <si>
    <t>PowerShell execution evidence generated for CU-001.</t>
  </si>
  <si>
    <t>2026-06-24T12:51:04.050Z</t>
  </si>
  <si>
    <t>2026-06-24T12:51:06.771Z</t>
  </si>
  <si>
    <t>ExitCode=0; Stdout=TEC002_OK | lt29\seguridad | | Handles NPM(K) PM(K) WS(K) CPU(s) Id SI ProcessName | ------- ------ ----- ----- ------ -- -- ----------- | 430 24 31304 7368 4,78 3568 1 AnyDesk | 507 30 29460 3708 8,31 4204 0 AnyDesk | 352 19 4328 744 0,59 4192 0 armsvc | 321 27 105508 160760 88,61 876 1 chrome | 207 17 17236 30132 0,23 6296 1 chrome | 369 21 18084 40308 5,19 6656 1 chrome | 1524 59 76692 173600 43,91 9688 1 chrome | 170 12 9872 18940 0,17 9708 1 chrome | 341 23 19892 45004 79,33 9908 1 chrome | 180 10 6908 9372 0,09 11104 1 chrome | 78 5 4464 4388 0,00 2156 1 cmd | 241 13 3724 808 0,16 5532 1 cmd | 242 13 3668 14196 0,17 5760 1 cmd | 78 5 4308 4116 0,02 14220 1 cmd | 193 13 7816 19508 13,36 4072 1 conhost | 191 12 8632 19060 0,20 4320 1 conhost | 104 7 6328 468 3,25 9212 1 conhost | 266 14 5592 19572 3,89 10664 1 conhost | 191 12 8740 6032 1,09 13172 1 conhost | 822 2...</t>
  </si>
  <si>
    <t>Windows command shell evidence with PowerShell child process.</t>
  </si>
  <si>
    <t>Execution / Persistence</t>
  </si>
  <si>
    <t>2026-06-24T12:51:15.889Z</t>
  </si>
  <si>
    <t>2026-06-24T12:51:23.114Z</t>
  </si>
  <si>
    <t>CreateExit=0; QueryExit=0; RunExit=0; DeleteExit=0</t>
  </si>
  <si>
    <t>Scheduled task lifecycle generated; run/delete may be noisy but create is primary evidence.</t>
  </si>
  <si>
    <t>Registry Run Key</t>
  </si>
  <si>
    <t>Persistence / Privilege Escalation</t>
  </si>
  <si>
    <t>2026-06-24T12:51:33.772Z</t>
  </si>
  <si>
    <t>2026-06-24T12:51:38.869Z</t>
  </si>
  <si>
    <t>P1</t>
  </si>
  <si>
    <t>AddExit=0; QueryExit=0; DeleteExit=0</t>
  </si>
  <si>
    <t>Run Key persistence evidence generated without relying on lab paths as detector IOC.</t>
  </si>
  <si>
    <t>2026-06-24T12:51:51.408Z</t>
  </si>
  <si>
    <t>2026-06-24T12:52:00.664Z</t>
  </si>
  <si>
    <t>CreateExit=0; QueryExit=0; StartExit=1053; DeleteExit=0</t>
  </si>
  <si>
    <t>Service creation is primary evidence; start failure is expected for cmd.exe service wrapper.</t>
  </si>
  <si>
    <t>2026-06-24T12:52:15.076Z</t>
  </si>
  <si>
    <t>2026-06-24T12:52:20.590Z</t>
  </si>
  <si>
    <t>PowerShellExit=0; WMICExit=0; PowerShellStdout=displayName productState | ----------- ------------ | Windows Defender 397568</t>
  </si>
  <si>
    <t>Security software discovery evidence generated; WMIC may be absent/deprecated.</t>
  </si>
  <si>
    <t>2026-06-24T12:52:35.781Z</t>
  </si>
  <si>
    <t>2026-06-24T12:53:14.950Z</t>
  </si>
  <si>
    <t>EnumExit=0; RansomExit=0; .aesCount=25</t>
  </si>
  <si>
    <t>Simulacion controlada de cifrado para impacto; no ransomware real. Controlled encryption generated .aes evidence.</t>
  </si>
  <si>
    <t>2026-06-24T12:53:28.420Z</t>
  </si>
  <si>
    <t>2026-06-24T12:53:57.736Z</t>
  </si>
  <si>
    <t>ExitCode=0; FilesBefore=50; FilesAfter=0</t>
  </si>
  <si>
    <t>Borrado controlado de ficheros dummy; Sysmon ID 26 es evidencia forense, no alerta individual. Controlled destructive deletion executed; Sysmon ID 26 remains forensic context, not individual alert.</t>
  </si>
  <si>
    <t>T1074.001 T1560.001 T1048.003</t>
  </si>
  <si>
    <t>Staging / ZIP / Controlled HTTP Upload</t>
  </si>
  <si>
    <t>Collection / Exfiltration</t>
  </si>
  <si>
    <t>2026-06-24T12:54:06.799Z</t>
  </si>
  <si>
    <t>2026-06-24T12:54:54.940Z</t>
  </si>
  <si>
    <t>ReceiverReachable=True; HTTPStatus=200; UploadSucceeded=True; Zip=C:\Users\seguridad\Desktop\TFM\01_ACTIVE_TESTS\Pruebas\TEC-009_Exfiltracion\staging_controlled\tec009_controlled_archive.zip; ZipCopy=C:\Users\seguridad\Desktop\TFM\01_ACTIVE_TESTS\Pruebas\TEC-009_Exfiltracion\staging_controlled\tec009_controlled_archive_copy.zip; SHA256=31e202c49811f354b51162baecb4ed174e4b0f0805c50c9f91c9f7ec5f642a59; Summary=C:\Users\seguridad\Desktop\TFM\01_ACTIVE_TESTS\Pruebas\TEC-009_Exfiltracion\staging_controlled\tec009_transfer_summary.json; ZipCount=6; PS4104=1; EvidenceCheckFailures=0; EvidenceCheckWarnings=0</t>
  </si>
  <si>
    <t>HTTP 200/UploadSucceeded/ZIP/SHA256/bytes en ReceiverResponse. Controlled HTTP ZIP upload completed.</t>
  </si>
  <si>
    <t>receiver_log.jsonl y ZIP recibido no localizados; no se afirma exfiltracion contextual completa sin matiz.</t>
  </si>
  <si>
    <t>Visibilidad del sistema por fuente</t>
  </si>
  <si>
    <t>Cruce fuente vs tecnica; Sysmon ID 26 se mantiene como evidencia forense.</t>
  </si>
  <si>
    <t>fuente</t>
  </si>
  <si>
    <t>Sysmon ID 1</t>
  </si>
  <si>
    <t>Sysmon ID 3</t>
  </si>
  <si>
    <t>Sysmon ID 11</t>
  </si>
  <si>
    <t>Sysmon ID 12/13/14</t>
  </si>
  <si>
    <t>Sysmon ID 26</t>
  </si>
  <si>
    <t>Evidencia forense; no alerta individual.</t>
  </si>
  <si>
    <t>PowerShell 4104</t>
  </si>
  <si>
    <t>System 7045</t>
  </si>
  <si>
    <t>receiver HTTP</t>
  </si>
  <si>
    <t>Alertas / detecciones VR normalizadas</t>
  </si>
  <si>
    <t>Filas CLIENT_EVENT reales dentro de ventana canonica. JSONL/Discord no equivalen a deteccion.</t>
  </si>
  <si>
    <t>timestamp</t>
  </si>
  <si>
    <t>profile</t>
  </si>
  <si>
    <t>IOA_DetectionName</t>
  </si>
  <si>
    <t>host</t>
  </si>
  <si>
    <t>source</t>
  </si>
  <si>
    <t>raw_evidence</t>
  </si>
  <si>
    <t>campana</t>
  </si>
  <si>
    <t>tipo_campana</t>
  </si>
  <si>
    <t>validacion</t>
  </si>
  <si>
    <t>EventID</t>
  </si>
  <si>
    <t>SignalType</t>
  </si>
  <si>
    <t>source_file</t>
  </si>
  <si>
    <t>2026-06-24T12:50:22.977Z</t>
  </si>
  <si>
    <t>PowerShell suspicious execution - basic profile v2</t>
  </si>
  <si>
    <t>CU001_Source_TEC001_PowerShell_Basic</t>
  </si>
  <si>
    <t>LT29.ait.us.es</t>
  </si>
  <si>
    <t>Microsoft-Windows-Sysmon/Operational</t>
  </si>
  <si>
    <t>powershell.exe -NoProfile -ExecutionPolicy Bypass -File "C:\Users\seguridad\Desktop\TFM\01_ACTIVE_TESTS\Pruebas\TEC-007_Ransomware\crear_directorio_dummy.ps1"</t>
  </si>
  <si>
    <t>TEC_20260624</t>
  </si>
  <si>
    <t>REAL</t>
  </si>
  <si>
    <t>INCLUIDO_REAL_CANONICO_POR_TIMESTAMP_Y_CARPETA</t>
  </si>
  <si>
    <t>05_LOGS\Validas\Prueba_24_06_2026\CU001_Source_TEC001_PowerShell_Basic-2026-06-23T12_00_00Z-2026-06-24T12_00_00Z-C.364907172793f8c7.csv</t>
  </si>
  <si>
    <t>2026-06-24T12:50:32.022Z</t>
  </si>
  <si>
    <t>powershell.exe -NoProfile -ExecutionPolicy Bypass -File "C:\Users\seguridad\Desktop\TFM\01_ACTIVE_TESTS\Pruebas\TEC-008_Sabotaje\crear_directorio_dummy.ps1"</t>
  </si>
  <si>
    <t>2026-06-24T12:50:39.376Z</t>
  </si>
  <si>
    <t>powershell.exe -NoProfile -ExecutionPolicy Bypass -File "C:\Users\seguridad\Desktop\TFM\01_ACTIVE_TESTS\Pruebas\TEC-009_Exfiltracion\crear_directorio_dummy.ps1"</t>
  </si>
  <si>
    <t>2026-06-24T12:50:50.593Z</t>
  </si>
  <si>
    <t>powershell.exe -NoProfile -ExecutionPolicy Bypass -Command "Write-Host TEC001_OK; Start-Sleep 3"</t>
  </si>
  <si>
    <t>2026-06-24T12:51:04.325Z</t>
  </si>
  <si>
    <t>powershell.exe -NoProfile -Command Get-Process</t>
  </si>
  <si>
    <t>2026-06-24T12:52:15.300Z</t>
  </si>
  <si>
    <t>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</si>
  <si>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2026-06-24T12:52:35.979Z</t>
  </si>
  <si>
    <t>2026-06-24T12:52:50.915Z</t>
  </si>
  <si>
    <t>powershell.exe -NoProfile -ExecutionPolicy Bypass -File "C:\Users\seguridad\Desktop\TFM\01_ACTIVE_TESTS\Pruebas\TEC-007_Ransomware\enumeracion.ps1"</t>
  </si>
  <si>
    <t>2026-06-24T12:52:54.916Z</t>
  </si>
  <si>
    <t>powershell.exe -NoProfile -ExecutionPolicy Bypass -File "C:\Users\seguridad\Desktop\TFM\01_ACTIVE_TESTS\Pruebas\TEC-007_Ransomware\Scriptransom.ps1"</t>
  </si>
  <si>
    <t>2026-06-24T12:53:00.686Z</t>
  </si>
  <si>
    <t>2026-06-24T12:53:28.594Z</t>
  </si>
  <si>
    <t>2026-06-24T12:53:41.325Z</t>
  </si>
  <si>
    <t>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</si>
  <si>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2026-06-24T12:53:48.446Z</t>
  </si>
  <si>
    <t>2026-06-24T12:54:06.918Z</t>
  </si>
  <si>
    <t>2026-06-24T12:54:20.862Z</t>
  </si>
  <si>
    <t>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</si>
  <si>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2026-06-24T12:54:41.128Z</t>
  </si>
  <si>
    <t>2026-06-24T12:55:12.679Z</t>
  </si>
  <si>
    <t>2026-06-24T12:55:27.564Z</t>
  </si>
  <si>
    <t>2026-06-24T12:55:42.311Z</t>
  </si>
  <si>
    <t>2026-06-24T12:50:22.551Z</t>
  </si>
  <si>
    <t>Windows Command Shell suspicious execution - basic profile v2</t>
  </si>
  <si>
    <t>CU002_Source_TEC002_CMD_Basic</t>
  </si>
  <si>
    <t>"cmd.exe" /d /c schtasks.exe /delete /tn "TFM-TEC-003" /f</t>
  </si>
  <si>
    <t>05_LOGS\Validas\Prueba_24_06_2026\CU002_Source_TEC002_CMD_Basic-2026-06-23T12_00_00Z-2026-06-24T12_00_00Z-C.364907172793f8c7.csv</t>
  </si>
  <si>
    <t>2026-06-24T12:50:22.696Z</t>
  </si>
  <si>
    <t>"cmd.exe" /d /c sc.exe delete "TFM TEC005 Test Service"</t>
  </si>
  <si>
    <t>2026-06-24T12:50:22.788Z</t>
  </si>
  <si>
    <t>"cmd.exe" /d /c reg.exe delete "HKCU\Software\Microsoft\Windows\CurrentVersion\Run" /v "TFM_T1547_001_test" /f</t>
  </si>
  <si>
    <t>2026-06-24T12:50:22.945Z</t>
  </si>
  <si>
    <t>"cmd.exe" /d /c powershell.exe -NoProfile -ExecutionPolicy Bypass -File "C:\Users\seguridad\Desktop\TFM\01_ACTIVE_TESTS\Pruebas\TEC-007_Ransomware\crear_directorio_dummy.ps1"</t>
  </si>
  <si>
    <t>2026-06-24T12:50:31.999Z</t>
  </si>
  <si>
    <t>"cmd.exe" /d /c powershell.exe -NoProfile -ExecutionPolicy Bypass -File "C:\Users\seguridad\Desktop\TFM\01_ACTIVE_TESTS\Pruebas\TEC-008_Sabotaje\crear_directorio_dummy.ps1"</t>
  </si>
  <si>
    <t>2026-06-24T12:50:39.261Z</t>
  </si>
  <si>
    <t>"cmd.exe" /d /c powershell.exe -NoProfile -ExecutionPolicy Bypass -File "C:\Users\seguridad\Desktop\TFM\01_ACTIVE_TESTS\Pruebas\TEC-009_Exfiltracion\crear_directorio_dummy.ps1"</t>
  </si>
  <si>
    <t>2026-06-24T12:50:50.544Z</t>
  </si>
  <si>
    <t>"cmd.exe" /d /c powershell.exe -NoProfile -ExecutionPolicy Bypass -Command "Write-Host TEC001_OK; Start-Sleep 3"</t>
  </si>
  <si>
    <t>2026-06-24T12:50:53.240Z</t>
  </si>
  <si>
    <t>"cmd.exe" /d /c powershell.exe -NoProfile -ExecutionPolicy Bypass -Command "$b=[Convert]::ToBase64String([Text.Encoding]::UTF8.GetBytes('TEC001_BASE64_OK')); [Text.Encoding]::UTF8.GetString([Convert]::FromBase64String($b)) | Write-Host; IEX 'Write-Host TEC001_IEX_OK'; Start-Sleep 2"</t>
  </si>
  <si>
    <t>2026-06-24T12:51:04.196Z</t>
  </si>
  <si>
    <t>"cmd.exe" /d /c cmd.exe /c "echo TEC002_OK &amp; whoami &amp; powershell.exe -NoProfile -Command Get-Process"</t>
  </si>
  <si>
    <t>2026-06-24T12:51:04.226Z</t>
  </si>
  <si>
    <t>cmd.exe /c "echo TEC002_OK &amp; whoami &amp; powershell.exe -NoProfile -Command Get-Process"</t>
  </si>
  <si>
    <t>2026-06-24T12:51:16.029Z</t>
  </si>
  <si>
    <t>"cmd.exe" /d /c schtasks.exe /create /tn "TFM-TEC-003" /tr "cmd.exe /c echo TEC003_OK ^&gt; C:\Users\Public\tec003_ok.txt" /sc once /st 14:56 /f</t>
  </si>
  <si>
    <t>2026-06-24T12:51:18.149Z</t>
  </si>
  <si>
    <t>"cmd.exe" /d /c schtasks.exe /query /tn "TFM-TEC-003" /v /fo list</t>
  </si>
  <si>
    <t>2026-06-24T12:51:20.462Z</t>
  </si>
  <si>
    <t>"cmd.exe" /d /c schtasks.exe /run /tn "TFM-TEC-003"</t>
  </si>
  <si>
    <t>2026-06-24T12:51:20.558Z</t>
  </si>
  <si>
    <t>"cmd.exe" /c echo TEC003_OK ^&gt; C:\Users\Public\tec003_ok.txt</t>
  </si>
  <si>
    <t>2026-06-24T12:51:22.653Z</t>
  </si>
  <si>
    <t>2026-06-24T12:51:33.906Z</t>
  </si>
  <si>
    <t>"cmd.exe" /d /c reg.exe add "HKCU\Software\Microsoft\Windows\CurrentVersion\Run" /v "TFM_T1547_001_test" /t REG_SZ /d "C:\Windows\System32\calc.exe" /f</t>
  </si>
  <si>
    <t>2026-06-24T12:51:36.343Z</t>
  </si>
  <si>
    <t>"cmd.exe" /d /c reg.exe query "HKCU\Software\Microsoft\Windows\CurrentVersion\Run" /v "TFM_T1547_001_test"</t>
  </si>
  <si>
    <t>2026-06-24T12:51:38.772Z</t>
  </si>
  <si>
    <t>2026-06-24T12:51:51.549Z</t>
  </si>
  <si>
    <t>"cmd.exe" /d /c sc.exe create "TFM TEC005 Test Service" binPath= "C:\Windows\System32\cmd.exe /c echo TEC005_OK ^&gt; C:\Users\Public\tec005_ok.txt" start= demand</t>
  </si>
  <si>
    <t>2026-06-24T12:51:54.291Z</t>
  </si>
  <si>
    <t>"cmd.exe" /d /c sc.exe qc "TFM TEC005 Test Service"</t>
  </si>
  <si>
    <t>2026-06-24T12:51:57.186Z</t>
  </si>
  <si>
    <t>"cmd.exe" /d /c sc.exe start "TFM TEC005 Test Service"</t>
  </si>
  <si>
    <t>2026-06-24T12:51:57.249Z</t>
  </si>
  <si>
    <t>C:\Windows\System32\cmd.exe /c echo TEC005_OK ^&gt; C:\Users\Public\tec005_ok.txt</t>
  </si>
  <si>
    <t>2026-06-24T12:52:00.085Z</t>
  </si>
  <si>
    <t>2026-06-24T12:52:15.255Z</t>
  </si>
  <si>
    <t>"cmd.exe" /d /c 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</si>
  <si>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2026-06-24T12:52:19.725Z</t>
  </si>
  <si>
    <t>"cmd.exe" /d /c cmd.exe /c "wmic /namespace:\\root\SecurityCenter2 path AntivirusProduct get displayName,productState"</t>
  </si>
  <si>
    <t>2026-06-24T12:52:19.764Z</t>
  </si>
  <si>
    <t>cmd.exe /c "wmic /namespace:\\root\SecurityCenter2 path AntivirusProduct get displayName,productState"</t>
  </si>
  <si>
    <t>2026-06-24T12:52:35.934Z</t>
  </si>
  <si>
    <t>2026-06-24T12:52:50.805Z</t>
  </si>
  <si>
    <t>"cmd.exe" /d /c powershell.exe -NoProfile -ExecutionPolicy Bypass -File "C:\Users\seguridad\Desktop\TFM\01_ACTIVE_TESTS\Pruebas\TEC-007_Ransomware\enumeracion.ps1"</t>
  </si>
  <si>
    <t>2026-06-24T12:52:54.853Z</t>
  </si>
  <si>
    <t>"cmd.exe" /d /c powershell.exe -NoProfile -ExecutionPolicy Bypass -File "C:\Users\seguridad\Desktop\TFM\01_ACTIVE_TESTS\Pruebas\TEC-007_Ransomware\Scriptransom.ps1"</t>
  </si>
  <si>
    <t>2026-06-24T12:53:00.640Z</t>
  </si>
  <si>
    <t>2026-06-24T12:53:28.557Z</t>
  </si>
  <si>
    <t>2026-06-24T12:53:41.240Z</t>
  </si>
  <si>
    <t>"cmd.exe" /d /c 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</si>
  <si>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2026-06-24T12:53:48.413Z</t>
  </si>
  <si>
    <t>2026-06-24T12:54:06.887Z</t>
  </si>
  <si>
    <t>2026-06-24T12:54:20.828Z</t>
  </si>
  <si>
    <t>"cmd.exe" /d /c 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</si>
  <si>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2026-06-24T12:54:41.089Z</t>
  </si>
  <si>
    <t>2026-06-24T12:55:12.618Z</t>
  </si>
  <si>
    <t>2026-06-24T12:55:27.110Z</t>
  </si>
  <si>
    <t>2026-06-24T12:55:41.845Z</t>
  </si>
  <si>
    <t>2026-06-24T12:50:22.576Z</t>
  </si>
  <si>
    <t>Scheduled Task operation detected - basic profile v2</t>
  </si>
  <si>
    <t>CU003_Source_TEC003_ScheduledTask_Basic</t>
  </si>
  <si>
    <t>schtasks.exe /delete /tn "TFM-TEC-003" /f</t>
  </si>
  <si>
    <t>05_LOGS\Validas\Prueba_24_06_2026\CU003_Source_TEC003_ScheduledTask_Basic-2026-06-23T12_00_00Z-2026-06-24T12_00_00Z-C.364907172793f8c7.csv</t>
  </si>
  <si>
    <t>2026-06-24T12:51:16.075Z</t>
  </si>
  <si>
    <t>schtasks.exe /create /tn "TFM-TEC-003" /tr "cmd.exe /c echo TEC003_OK ^&gt; C:\Users\Public\tec003_ok.txt" /sc once /st 14:56 /f</t>
  </si>
  <si>
    <t>2026-06-24T12:51:20.499Z</t>
  </si>
  <si>
    <t>schtasks.exe /run /tn "TFM-TEC-003"</t>
  </si>
  <si>
    <t>2026-06-24T12:51:22.687Z</t>
  </si>
  <si>
    <t>2026-06-24T12:50:22.806Z</t>
  </si>
  <si>
    <t>Registry Run Key modification by reg.exe - basic profile v2</t>
  </si>
  <si>
    <t>CU004_Source_TEC004_RunKeys_Basic</t>
  </si>
  <si>
    <t>reg.exe delete "HKCU\Software\Microsoft\Windows\CurrentVersion\Run" /v "TFM_T1547_001_test" /f</t>
  </si>
  <si>
    <t>05_LOGS\Validas\Prueba_24_06_2026\CU004_Source_TEC004_RunKeys_Basic-2026-06-23T12_00_00Z-2026-06-24T12_00_00Z-C.364907172793f8c7.csv</t>
  </si>
  <si>
    <t>2026-06-24T12:51:33.952Z</t>
  </si>
  <si>
    <t>reg.exe add "HKCU\Software\Microsoft\Windows\CurrentVersion\Run" /v "TFM_T1547_001_test" /t REG_SZ /d "C:\Windows\System32\calc.exe" /f</t>
  </si>
  <si>
    <t>2026-06-24T12:51:36.377Z</t>
  </si>
  <si>
    <t>reg.exe query "HKCU\Software\Microsoft\Windows\CurrentVersion\Run" /v "TFM_T1547_001_test"</t>
  </si>
  <si>
    <t>2026-06-24T12:51:38.812Z</t>
  </si>
  <si>
    <t>2026-06-24T12:51:51.589Z</t>
  </si>
  <si>
    <t>Windows service creation detected - basic profile v2</t>
  </si>
  <si>
    <t>CU005_Source_TEC005_ServiceCreation_7045</t>
  </si>
  <si>
    <t>System</t>
  </si>
  <si>
    <t>Windows System Event 7045</t>
  </si>
  <si>
    <t>05_LOGS\Validas\Prueba_24_06_2026\CU005_Source_TEC005_ServiceCreation_7045-2026-06-23T12_00_00Z-2026-06-24T12_00_00Z-C.364907172793f8c7.csv</t>
  </si>
  <si>
    <t>2026-06-24T12:50:53.989Z</t>
  </si>
  <si>
    <t>Forensic_EVENT_PowerShell4104_Strong_By_Technique</t>
  </si>
  <si>
    <t>Microsoft-Windows-PowerShell/Operational</t>
  </si>
  <si>
    <t>$b=[Convert]::ToBase64String([Text.Encoding]::UTF8.GetBytes('TEC001_BASE64_OK')); [Text.Encoding]::UTF8.GetString([Convert]::FromBase64String($b)) | Write-Host; IEX 'Write-Host TEC001_IEX_OK'; Start-Sleep 2</t>
  </si>
  <si>
    <t>05_LOGS\Validas\Prueba_24_06_2026\Forensic_EVENT_PowerShell4104_Strong_By_Technique-2026-06-23T12_00_00Z-2026-06-24T12_00_00Z-C.364907172793f8c7.csv</t>
  </si>
  <si>
    <t>2026-06-24T12:52:15.900Z</t>
  </si>
  <si>
    <t>Get-CimInstance -Namespace root/SecurityCenter2 -ClassName AntivirusProduct | Select-Object displayName,productState; Get-Service WinDefend,SecurityHealthService -ErrorAction SilentlyContinue | Select-Object Name,Status</t>
  </si>
  <si>
    <t>2026-06-24T12:52:16.265Z</t>
  </si>
  <si>
    <t>Set-Alias -Name gcim -Value Get-CimInstance -Option ReadOnly, AllScope -ErrorAction SilentlyContinue</t>
  </si>
  <si>
    <t>2026-06-24T12:54:37.594Z</t>
  </si>
  <si>
    <t>function Test-Tec009Evidence { param( [AllowEmptyString()][string]$Command = "", [AllowEmptyString()][string]$ScriptPath = "", [AllowEmptyString()][string]$ReceiverUrl = "", [AllowEmptyString()][string]$HttpStatus = "", [AllowEmptyString()][string]$UploadSucceeded = "", [AllowEmptyString()][string]$ZipFile = "", [AllowEmptyString()][string]$CopyFile = "", [AllowEmptyString()][string]$LocalSHA256 = "", [AllowEmptyString()][string]$SummaryFile = "", $SummaryObject = $null, $PowerShell4104 = $null ) $checks = @() $checks += New-EvidenceCheckRow -CheckName "powershell.exe -File invocation" -Status $(if ($Command -match '(?i)powershell\.exe\s+-NoProfile\s+-ExecutionPolicy\s+Bypass\s+-File') { "OK" } else { "FAIL" }) -Expected "powershell.exe -NoProfile -ExecutionPolicy Bypass -File" -Found $Command -Evidence $Command -Comment "TEC-009 must run in an explicit PowerShell child process." $checks...</t>
  </si>
  <si>
    <t>Forensic_EVENT_Sysmon_ID1_Process_By_Technique</t>
  </si>
  <si>
    <t>05_LOGS\Validas\Prueba_24_06_2026\Forensic_EVENT_Sysmon_ID1_Process_By_Technique-2026-06-23T12_00_00Z-2026-06-24T12_00_00Z-C.364907172793f8c7.csv</t>
  </si>
  <si>
    <t>2026-06-24T12:50:22.715Z</t>
  </si>
  <si>
    <t>sc.exe delete "TFM TEC005 Test Service"</t>
  </si>
  <si>
    <t>2026-06-24T12:51:51.584Z</t>
  </si>
  <si>
    <t>sc.exe create "TFM TEC005 Test Service" binPath= "C:\Windows\System32\cmd.exe /c echo TEC005_OK ^&gt; C:\Users\Public\tec005_ok.txt" start= demand</t>
  </si>
  <si>
    <t>2026-06-24T12:51:57.216Z</t>
  </si>
  <si>
    <t>sc.exe start "TFM TEC005 Test Service"</t>
  </si>
  <si>
    <t>2026-06-24T12:52:00.122Z</t>
  </si>
  <si>
    <t>2026-06-24T12:52:19.812Z</t>
  </si>
  <si>
    <t>wmic /namespace:\\root\SecurityCenter2 path AntivirusProduct get displayName,productState</t>
  </si>
  <si>
    <t>T1485 context</t>
  </si>
  <si>
    <t>2026-06-24T12:54:08.286Z</t>
  </si>
  <si>
    <t>T1547.001 context</t>
  </si>
  <si>
    <t>Forensic_EVENT_Sysmon_Registry_File_Network_Context</t>
  </si>
  <si>
    <t>{ "RuleName": "T1060,RunKey", "EventType": "SetValue", "UtcTime": "2026-06-24 12:51:33.974", "ProcessGuid": "6BC49A7D-D2D5-6A3B-D768-000000009801", "ProcessId": 10524, "Image": "C:\\Windows\\system32\\reg.exe", "TargetObject": "HKU\\S-1-5-21-2237245112-686140129-944090608-1004\\SOFTWARE\\Microsoft\\Windows\\CurrentVersion\\Run\\TFM_T1547_001_test", "Details": "C:\\Windows\\System32\\calc.exe", "User": "LT29\\seguridad" }</t>
  </si>
  <si>
    <t>Sysmon Registry</t>
  </si>
  <si>
    <t>05_LOGS\Validas\Prueba_24_06_2026\Forensic_EVENT_Sysmon_Registry_File_Network_Context-2026-06-23T12_00_00Z-2026-06-24T12_00_00Z-C.364907172793f8c7.csv</t>
  </si>
  <si>
    <t>{ "RuleName": "T1060,RunKey", "EventType": "DeleteValue", "UtcTime": "2026-06-24 12:51:38.827", "ProcessGuid": "6BC49A7D-D2DA-6A3B-DB68-000000009801", "ProcessId": 13440, "Image": "C:\\Windows\\system32\\reg.exe", "TargetObject": "HKU\\S-1-5-21-2237245112-686140129-944090608-1004\\SOFTWARE\\Microsoft\\Windows\\CurrentVersion\\Run\\TFM_T1547_001_test", "User": "LT29\\seguridad" }</t>
  </si>
  <si>
    <t>Forensic_EVENT_System_7045_ServiceCreation</t>
  </si>
  <si>
    <t>{ "ServiceName": "TFM TEC005 Test Service", "ImagePath": "C:\\Windows\\System32\\cmd.exe /c echo TEC005_OK ^\u003e C:\\Users\\Public\\tec005_ok.txt", "ServiceType": "servicio de modo usuario", "StartType": "inicio por solicitud", "AccountName": "LocalSystem" }</t>
  </si>
  <si>
    <t>05_LOGS\Validas\Prueba_24_06_2026\Forensic_EVENT_System_7045_ServiceCreation-2026-06-23T12_00_00Z-2026-06-24T12_00_00Z-C.364907172793f8c7.csv</t>
  </si>
  <si>
    <t>2026-06-24T12:52:55.524Z</t>
  </si>
  <si>
    <t>TEC-007 critical encryption behavior</t>
  </si>
  <si>
    <t>P1_EVENT_PowerShell4104_Basic</t>
  </si>
  <si>
    <t>param( [string]$WorkDir = "", [string]$ListFile = "", [string]$PasswordFile = "", [int]$MaxFiles = 25 ) Set-StrictMode -Version Latest $ErrorActionPreference = "Stop" $BasePath = $env:TFM_BASEPATH if ([string]::IsNullOrWhiteSpace($BasePath)) { $BasePath = "C:\Users\seguridad\Desktop\TFM\01_ACTIVE_TESTS\Pruebas" } $env:TFM_BASEPATH = $BasePath if ([string]::IsNullOrWhiteSpace($WorkDir)) { $WorkDir = Join-Path $BasePath "DUMB_LAB" } if ([string]::IsNullOrWhiteSpace($ListFile)) { $ListFile = Join-Path $PSScriptRoot "lista_archivos.csv" } if ([string]::IsNullOrWhiteSpace($PasswordFile)) { $PasswordFile = Join-Path $PSScriptRoot "password.txt" } if (-not (Test-Path -LiteralPath $WorkDir)) { throw "WorkDir does not exist: $WorkDir" } if (-not (Test-Path -LiteralPath $ListFile)) { throw "ListFile does not exist: $ListFile" } if (-not (Test-Path -LiteralPath $PasswordFile)) { Set-Content -Litera...</t>
  </si>
  <si>
    <t>05_LOGS\Validas\Prueba_24_06_2026\P1_EVENT_PowerShell4104_Basic-2026-06-23T12_00_00Z-2026-06-24T12_00_00Z-C.364907172793f8c7.csv</t>
  </si>
  <si>
    <t>2026-06-24T12:53:42.608Z</t>
  </si>
  <si>
    <t>TEC-008 critical destructive deletion behavior</t>
  </si>
  <si>
    <t>$target = 'C:\Users\seguridad\Desktop\TFM\01_ACTIVE_TESTS\Pruebas\DUMB_LAB'; Write-Host 'TEC008_OK'; Get-ChildItem $target -Recurse -File | ForEach-Object { Remove-Item $_.FullName -Force }; Start-Sleep 3</t>
  </si>
  <si>
    <t>TEC-004 high-confidence Run Key persistence</t>
  </si>
  <si>
    <t>P1_EVENT_Sysmon_ID1_Process_Basic</t>
  </si>
  <si>
    <t>05_LOGS\Validas\Prueba_24_06_2026\P1_EVENT_Sysmon_ID1_Process_Basic-2026-06-23T12_00_00Z-2026-06-24T12_00_00Z-C.364907172793f8c7.csv</t>
  </si>
  <si>
    <t>TEC-005 suspicious service command</t>
  </si>
  <si>
    <t>T1074.001 / T1560.001 / T1048.003</t>
  </si>
  <si>
    <t>TEC-009 controlled upload process invocation</t>
  </si>
  <si>
    <t>TEC-005 high-confidence service execution</t>
  </si>
  <si>
    <t>P1_EVENT_System7045_ServiceCreation</t>
  </si>
  <si>
    <t>Se instaló un servicio en el sistema. Nombre del servicio: TFM TEC005 Test Service Nombre del archivo del servicio: C:\Windows\System32\cmd.exe /c echo TEC005_OK ^&gt; C:\Users\Public\tec005_ok.txt Tipo de servicio: servicio de modo usuario Tipo de inicio de servicio: inicio por solicitud Cuenta de servicio: LocalSystem</t>
  </si>
  <si>
    <t>05_LOGS\Validas\Prueba_24_06_2026\P1_EVENT_System7045_ServiceCreation-2026-06-23T12_00_00Z-2026-06-24T12_00_00Z-C.364907172793f8c7.csv</t>
  </si>
  <si>
    <t>2026-06-24T12:54:21.811Z</t>
  </si>
  <si>
    <t>T1048.003 / T1560.001</t>
  </si>
  <si>
    <t>TEC-009 receiver network connection by PowerShell</t>
  </si>
  <si>
    <t>P1_EVENT_TEC009_Sysmon_Context</t>
  </si>
  <si>
    <t>{ "RuleName": "-", "UtcTime": "2026-06-13 23:16:48.749", "ProcessGuid": "6BC49A7D-CAF5-6A3B-A366-000000009801", "ProcessId": 6232, "Image": "C:\\Windows\\System32\\WindowsPowerShell\\v1.0\\powershell.exe", "User": "LT29\\seguridad", "Protocol": "tcp", "Initiated": true, "SourceIsIpv6": false, "SourceIp": "192.168.1.143", "SourceHostname": "LT29.ait.us.es", "SourcePort": 64583, "SourcePortName": "-", "DestinationIsIpv6": false, "DestinationIp": "192.168.1.129", "DestinationHostname": "-", "DestinationPort": 8088, "DestinationPortName": "-" }</t>
  </si>
  <si>
    <t>05_LOGS\Validas\Prueba_24_06_2026\P1_EVENT_TEC009_Sysmon_Context-2026-06-23T12_00_00Z-2026-06-24T12_00_00Z-C.364907172793f8c7.csv</t>
  </si>
  <si>
    <t>TEC-001 PowerShell suspicious execution</t>
  </si>
  <si>
    <t>TEC001_PowerShell_4104</t>
  </si>
  <si>
    <t>05_LOGS\Validas\Prueba_24_06_2026\TEC001_PowerShell_4104-2026-06-23T12_00_00Z-2026-06-24T12_00_00Z-C.364907172793f8c7.csv</t>
  </si>
  <si>
    <t>TEC-002 Windows Command Shell execution</t>
  </si>
  <si>
    <t>TEC002_CMD_Sysmon</t>
  </si>
  <si>
    <t>05_LOGS\Validas\Prueba_24_06_2026\TEC002_CMD_Sysmon-2026-06-23T12_00_00Z-2026-06-24T12_00_00Z-C.364907172793f8c7.csv</t>
  </si>
  <si>
    <t>TEC-003 Scheduled Task operation</t>
  </si>
  <si>
    <t>TEC003_ScheduledTask_Sysmon</t>
  </si>
  <si>
    <t>05_LOGS\Validas\Prueba_24_06_2026\TEC003_ScheduledTask_Sysmon-2026-06-23T12_00_00Z-2026-06-24T12_00_00Z-C.364907172793f8c7.csv</t>
  </si>
  <si>
    <t>TEC-004 Registry Run Key modification</t>
  </si>
  <si>
    <t>TEC004_RunKey_Sysmon</t>
  </si>
  <si>
    <t>05_LOGS\Validas\Prueba_24_06_2026\TEC004_RunKey_Sysmon-2026-06-23T12_00_00Z-2026-06-24T12_00_00Z-C.364907172793f8c7.csv</t>
  </si>
  <si>
    <t>TEC-005 Windows service creation</t>
  </si>
  <si>
    <t>TEC005_Service_System7045</t>
  </si>
  <si>
    <t>05_LOGS\Validas\Prueba_24_06_2026\TEC005_Service_System7045-2026-06-23T12_00_00Z-2026-06-24T12_00_00Z-C.364907172793f8c7.csv</t>
  </si>
  <si>
    <t>TEC-006 Security Software Discovery</t>
  </si>
  <si>
    <t>TEC006_SecuritySoftwareDiscovery_4104</t>
  </si>
  <si>
    <t>05_LOGS\Validas\Prueba_24_06_2026\TEC006_SecuritySoftwareDiscovery_4104-2026-06-23T12_00_00Z-2026-06-24T12_00_00Z-C.364907172793f8c7.csv</t>
  </si>
  <si>
    <t>T1518.001 context</t>
  </si>
  <si>
    <t>TEC-006 Security Software Discovery process context</t>
  </si>
  <si>
    <t>TEC006_SecuritySoftwareDiscovery_Sysmon</t>
  </si>
  <si>
    <t>05_LOGS\Validas\Prueba_24_06_2026\TEC006_SecuritySoftwareDiscovery_Sysmon-2026-06-23T12_00_00Z-2026-06-24T12_00_00Z-C.364907172793f8c7.csv</t>
  </si>
  <si>
    <t>2026-06-24T12:52:53.103Z</t>
  </si>
  <si>
    <t>TEC-007 Data Encrypted for Impact</t>
  </si>
  <si>
    <t>TEC007_DataEncryptedForImpact_4104</t>
  </si>
  <si>
    <t>param( [string]$TargetPath = "", [string]$OutputDir = "" ) Set-StrictMode -Version Latest $ErrorActionPreference = "Stop" $BasePath = $env:TFM_BASEPATH if ([string]::IsNullOrWhiteSpace($BasePath)) { $BasePath = "C:\Users\seguridad\Desktop\TFM\01_ACTIVE_TESTS\Pruebas" } $env:TFM_BASEPATH = $BasePath if ([string]::IsNullOrWhiteSpace($TargetPath)) { $TargetPath = Join-Path $BasePath "DUMB_LAB" } if ([string]::IsNullOrWhiteSpace($OutputDir)) { $OutputDir = $PSScriptRoot } if (-not (Test-Path -LiteralPath $TargetPath)) { throw "TargetPath does not exist: $TargetPath" } New-Item -ItemType Directory -Force -Path $OutputDir | Out-Null $TxtFile = Join-Path $OutputDir "lista_archivos.txt" $CsvFile = Join-Path $OutputDir "lista_archivos.csv" $files = @( Get-ChildItem -LiteralPath $TargetPath -Recurse -File -ErrorAction Stop | Where-Object { $_.Extension -ne ".aes" } | Sort-Object FullName ) $files ...</t>
  </si>
  <si>
    <t>05_LOGS\Validas\Prueba_24_06_2026\TEC007_DataEncryptedForImpact_4104-2026-06-23T12_00_00Z-2026-06-24T12_00_00Z-C.364907172793f8c7.csv</t>
  </si>
  <si>
    <t>2026-06-24T12:52:53.660Z</t>
  </si>
  <si>
    <t>{ $_.Extension -ne ".aes" }</t>
  </si>
  <si>
    <t>2026-06-24T12:52:55.848Z</t>
  </si>
  <si>
    <t>{ $_.FullName -and ($_.FullName -like "$WorkDir*") -and (Test-Path -LiteralPath $_.FullName) -and ($_.FullName -notlike "*.aes") }</t>
  </si>
  <si>
    <t>TEC008_DataDestruction_4104</t>
  </si>
  <si>
    <t>05_LOGS\Validas\Prueba_24_06_2026\TEC008_DataDestruction_4104-2026-06-23T12_00_00Z-2026-06-24T12_00_00Z-C.364907172793f8c7.csv</t>
  </si>
  <si>
    <t>T1048.003 context</t>
  </si>
  <si>
    <t>TEC-009 receiver network context</t>
  </si>
  <si>
    <t>TEC009_HTTP_Network_Sysmon_Context</t>
  </si>
  <si>
    <t>05_LOGS\Validas\Prueba_24_06_2026\TEC009_HTTP_Network_Sysmon_Context-2026-06-23T12_00_00Z-2026-06-24T12_00_00Z-C.364907172793f8c7.csv</t>
  </si>
  <si>
    <t>T1074.001 / T1560.001 / T1048.003 context</t>
  </si>
  <si>
    <t>TEC-009 HTTP upload process context</t>
  </si>
  <si>
    <t>TEC009_HTTP_Upload_Sysmon_Process_Context</t>
  </si>
  <si>
    <t>05_LOGS\Validas\Prueba_24_06_2026\TEC009_HTTP_Upload_Sysmon_Process_Context-2026-06-23T12_00_00Z-2026-06-24T12_00_00Z-C.364907172793f8c7.csv</t>
  </si>
  <si>
    <t>2026-06-24T12:54:37.369Z</t>
  </si>
  <si>
    <t>TEC-009 Controlled HTTP ZIP Upload</t>
  </si>
  <si>
    <t>TEC009_HTTP_ZIP_Upload_4104</t>
  </si>
  <si>
    <t>{ $message = "" if ($null -ne $_ -and $_.PSObject.Properties.Name -contains "Message" -and $null -ne $_.Message) { $message = [string]$_.Message } $message -match "Invoke-WebRequest|application/zip|\-InFile|\-Method\s+POST|exfiltracion_v3" }</t>
  </si>
  <si>
    <t>05_LOGS\Validas\Prueba_24_06_2026\TEC009_HTTP_ZIP_Upload_4104-2026-06-23T12_00_00Z-2026-06-24T12_00_00Z-C.364907172793f8c7.csv</t>
  </si>
  <si>
    <t>Runner de falsos positivos</t>
  </si>
  <si>
    <t>FP-001 a FP-010; RunId TFM_FP_20260626_101948.</t>
  </si>
  <si>
    <t>FP_ID</t>
  </si>
  <si>
    <t>descripcion</t>
  </si>
  <si>
    <t>estado</t>
  </si>
  <si>
    <t>artefactos_generados</t>
  </si>
  <si>
    <t>genero_alerta_vr</t>
  </si>
  <si>
    <t>perfil_generado</t>
  </si>
  <si>
    <t>TEC_asociada</t>
  </si>
  <si>
    <t>interpretacion</t>
  </si>
  <si>
    <t>FP-001</t>
  </si>
  <si>
    <t>PowerShell administrativo legitimo</t>
  </si>
  <si>
    <t>2026-06-26T08:19:48.781Z</t>
  </si>
  <si>
    <t>2026-06-26T08:19:49.481Z</t>
  </si>
  <si>
    <t>C:\Users\seguridad\Desktop\TFM\01_ACTIVE_TESTS\Pruebas\FP_WORKSPACE\TFM_FP_20260626_101948\FP-001_benign.txt</t>
  </si>
  <si>
    <t>NO</t>
  </si>
  <si>
    <t>Sin hits en vr_hits.csv/summary.</t>
  </si>
  <si>
    <t>PowerShell administrative commands completed</t>
  </si>
  <si>
    <t>FP-002</t>
  </si>
  <si>
    <t>CMD legitimo</t>
  </si>
  <si>
    <t>2026-06-26T08:19:49.511Z</t>
  </si>
  <si>
    <t>2026-06-26T08:19:49.819Z</t>
  </si>
  <si>
    <t>cmd /c dir "C:\Users\seguridad\Desktop\TFM\01_ACTIVE_TESTS\Pruebas\FP_WORKSPACE\TFM_FP_20260626_101948" =&gt; 0 | cmd /c whoami =&gt; 0 | cmd /c hostname =&gt; 0 | cmd /c echo TFM_FP_20260626_101948 FP-002 =&gt; 0</t>
  </si>
  <si>
    <t>FP-003</t>
  </si>
  <si>
    <t>Scheduled Task benigno temporal</t>
  </si>
  <si>
    <t>2026-06-26T08:19:49.833Z</t>
  </si>
  <si>
    <t>2026-06-26T08:19:52.726Z</t>
  </si>
  <si>
    <t>C:\Users\seguridad\Desktop\TFM\01_ACTIVE_TESTS\Pruebas\FP_WORKSPACE\TFM_FP_20260626_101948\FP-003_scheduled_task_ok.txt</t>
  </si>
  <si>
    <t>create=0; run=0; delete=0</t>
  </si>
  <si>
    <t>FP-004</t>
  </si>
  <si>
    <t>Registro benigno no persistente</t>
  </si>
  <si>
    <t>2026-06-26T08:19:52.739Z</t>
  </si>
  <si>
    <t>2026-06-26T08:19:52.774Z</t>
  </si>
  <si>
    <t>HKCU:\Software\TFM_FP\TFM_FP_20260626_101948 created, read and removed</t>
  </si>
  <si>
    <t>FP-005</t>
  </si>
  <si>
    <t>Consulta de servicios</t>
  </si>
  <si>
    <t>2026-06-26T08:19:52.781Z</t>
  </si>
  <si>
    <t>2026-06-26T08:19:53.422Z</t>
  </si>
  <si>
    <t>Service query commands completed</t>
  </si>
  <si>
    <t>FP-006</t>
  </si>
  <si>
    <t>Discovery legitimo de seguridad</t>
  </si>
  <si>
    <t>2026-06-26T08:19:53.438Z</t>
  </si>
  <si>
    <t>2026-06-26T08:19:54.841Z</t>
  </si>
  <si>
    <t>Security status queries completed</t>
  </si>
  <si>
    <t>FP-007</t>
  </si>
  <si>
    <t>ZIP benigno local</t>
  </si>
  <si>
    <t>2026-06-26T08:19:54.864Z</t>
  </si>
  <si>
    <t>2026-06-26T08:19:57.188Z</t>
  </si>
  <si>
    <t>C:\Users\seguridad\Desktop\TFM\01_ACTIVE_TESTS\Pruebas\FP_WORKSPACE\TFM_FP_20260626_101948\FP-007; C:\Users\seguridad\Desktop\TFM\01_ACTIVE_TESTS\Pruebas\FP_WORKSPACE\TFM_FP_20260626_101948\FP-007_benign_archive.zip</t>
  </si>
  <si>
    <t>Local ZIP created without web transfer</t>
  </si>
  <si>
    <t>FP-008</t>
  </si>
  <si>
    <t>Borrado benigno controlado</t>
  </si>
  <si>
    <t>2026-06-26T08:19:57.211Z</t>
  </si>
  <si>
    <t>2026-06-26T08:19:57.869Z</t>
  </si>
  <si>
    <t>C:\Users\seguridad\Desktop\TFM\01_ACTIVE_TESTS\Pruebas\FP_WORKSPACE\TFM_FP_20260626_101948\FP-008</t>
  </si>
  <si>
    <t>Only the controlled workspace subfolder was deleted</t>
  </si>
  <si>
    <t>FP-009</t>
  </si>
  <si>
    <t>HTTP benigno local</t>
  </si>
  <si>
    <t>2026-06-26T08:19:57.879Z</t>
  </si>
  <si>
    <t>2026-06-26T08:20:01.434Z</t>
  </si>
  <si>
    <t>Local HTTP GET completed</t>
  </si>
  <si>
    <t>FP-010</t>
  </si>
  <si>
    <t>Operaciones normales masivas</t>
  </si>
  <si>
    <t>2026-06-26T08:20:01.459Z</t>
  </si>
  <si>
    <t>2026-06-26T08:20:01.704Z</t>
  </si>
  <si>
    <t>C:\Users\seguridad\Desktop\TFM\01_ACTIVE_TESTS\Pruebas\FP_WORKSPACE\TFM_FP_20260626_101948\FP-010; C:\Users\seguridad\Desktop\TFM\01_ACTIVE_TESTS\Pruebas\FP_WORKSPACE\TFM_FP_20260626_101948\FP-010\copy</t>
  </si>
  <si>
    <t>20 files created, copied and partially renamed</t>
  </si>
  <si>
    <t>Hits FP normalizados</t>
  </si>
  <si>
    <t>TotalHits=0; no se inventan filas de deteccion.</t>
  </si>
  <si>
    <t>RunId</t>
  </si>
  <si>
    <t>EventTime</t>
  </si>
  <si>
    <t>MatchedByTime</t>
  </si>
  <si>
    <t>MatchedByRunId</t>
  </si>
  <si>
    <t>Profile</t>
  </si>
  <si>
    <t>DetectionName</t>
  </si>
  <si>
    <t>Confidence</t>
  </si>
  <si>
    <t>Source</t>
  </si>
  <si>
    <t>PotentialFP</t>
  </si>
  <si>
    <t>EvidenceExcerpt</t>
  </si>
  <si>
    <t>TFM_FP_20260626_101948</t>
  </si>
  <si>
    <t>RESUMEN</t>
  </si>
  <si>
    <t>SIN_HITS</t>
  </si>
  <si>
    <t>TotalHits=0 en summary.json y vr_hits.csv sin filas de datos.</t>
  </si>
  <si>
    <t>Comparacion VR / Wazuh</t>
  </si>
  <si>
    <t>Comparacion metodologica base/custom y VR custom.</t>
  </si>
  <si>
    <t>herramienta_campana</t>
  </si>
  <si>
    <t>eventos_crudos</t>
  </si>
  <si>
    <t>alertas</t>
  </si>
  <si>
    <t>Sysmon_ID_1</t>
  </si>
  <si>
    <t>Sysmon_ID_11</t>
  </si>
  <si>
    <t>P1_P2_P3_P4</t>
  </si>
  <si>
    <t>reglas_110xxx</t>
  </si>
  <si>
    <t>TEC_009</t>
  </si>
  <si>
    <t>ruido</t>
  </si>
  <si>
    <t>lectura_metodologica</t>
  </si>
  <si>
    <t>Velociraptor custom REAL 24/06</t>
  </si>
  <si>
    <t>No aplica: se consolidan filas CLIENT_EVENT exportadas, no archivo bruto tipo archives.</t>
  </si>
  <si>
    <t>P1=19; P2=118; P3=109; P4=133</t>
  </si>
  <si>
    <t>Upload controlado documentado por summary; receiver_log ausente.</t>
  </si>
  <si>
    <t>Filas fuera de ventana excluidas; JSONL/Discord no usados como deteccion.</t>
  </si>
  <si>
    <t>CLIENT_EVENT detecta; SERVER_EVENT/JSONL no localizado para REAL.</t>
  </si>
  <si>
    <t>Wazuh base</t>
  </si>
  <si>
    <t>No equivalente; sin reglas custom TFM.</t>
  </si>
  <si>
    <t>Sin regla custom 110201.</t>
  </si>
  <si>
    <t>58 alertas base sobre 902 archives.</t>
  </si>
  <si>
    <t>Visibilidad base sin IOA TFM custom.</t>
  </si>
  <si>
    <t>Base aporta telemetria/alertas genericas, no deteccion TFM especifica.</t>
  </si>
  <si>
    <t>Wazuh custom</t>
  </si>
  <si>
    <t>Equivalencia por niveles/reglas 110xxx.</t>
  </si>
  <si>
    <t>110201=0; gap TEC-009.</t>
  </si>
  <si>
    <t>110 alertas sobre 18.285 archives; 56 alertas TFM 110xxx.</t>
  </si>
  <si>
    <t>110201 no dispara; revisar forma real de upload.</t>
  </si>
  <si>
    <t>Custom mejora cobertura, pero deja gap TEC-009.</t>
  </si>
  <si>
    <t>Wazuh detalle reglas 110xxx</t>
  </si>
  <si>
    <t>110201=0 se conserva como gap TEC-009.</t>
  </si>
  <si>
    <t>rule_id</t>
  </si>
  <si>
    <t>severidad</t>
  </si>
  <si>
    <t>eventos_alertas</t>
  </si>
  <si>
    <t>TFM P1 TEC-009 posible exfiltracion HTTP ZIP mediante PowerShell</t>
  </si>
  <si>
    <t>0 alertas; gap TEC-009.</t>
  </si>
  <si>
    <t>TFM P1 TEC-008 borrado destructivo mediante PowerShell</t>
  </si>
  <si>
    <t>TFM P1 TEC-007 comportamiento de cifrado mediante PowerShell</t>
  </si>
  <si>
    <t>TFM P2 PowerShell sospechoso detectado en ScriptBlock 4104</t>
  </si>
  <si>
    <t>TFM P3 posible persistencia Run Key mediante Sysmon</t>
  </si>
  <si>
    <t>0 alertas en resumen 110xxx.</t>
  </si>
  <si>
    <t>TFM P3 instalacion de servicio Windows</t>
  </si>
  <si>
    <t>TFM P4 ejecucion de PowerShell observada por Sysmon</t>
  </si>
  <si>
    <t>TEC-001/007</t>
  </si>
  <si>
    <t>Regla de baja prioridad; puede generar ruido.</t>
  </si>
  <si>
    <t>Discrepancias y decisiones automaticas</t>
  </si>
  <si>
    <t>Eventos ambiguos, mezclas de fechas y exclusiones.</t>
  </si>
  <si>
    <t>tipo</t>
  </si>
  <si>
    <t>ruta</t>
  </si>
  <si>
    <t>decision</t>
  </si>
  <si>
    <t>FECHAS_MEZCLADAS_O_FUERA_DE_VENTANA</t>
  </si>
  <si>
    <t>INFO</t>
  </si>
  <si>
    <t>filas=518; real=38; fp=0; fuera=480; sin_tiempo=0; min=2026-06-17T18:48:28.697Z; max=2026-06-24T12:55:42.311Z</t>
  </si>
  <si>
    <t>Filas fuera de ventana excluidas del resultado definitivo.</t>
  </si>
  <si>
    <t>filas=979; real=78; fp=0; fuera=901; sin_tiempo=0; min=2026-06-17T18:48:28.451Z; max=2026-06-24T12:55:41.845Z</t>
  </si>
  <si>
    <t>filas=145; real=8; fp=0; fuera=137; sin_tiempo=0; min=2026-06-17T18:48:28.473Z; max=2026-06-24T12:51:22.687Z</t>
  </si>
  <si>
    <t>filas=95; real=8; fp=0; fuera=87; sin_tiempo=0; min=2026-06-17T18:48:28.624Z; max=2026-06-24T12:51:38.812Z</t>
  </si>
  <si>
    <t>filas=12; real=1; fp=0; fuera=11; sin_tiempo=0; min=2026-06-17T18:50:13.204Z; max=2026-06-24T12:51:51.589Z</t>
  </si>
  <si>
    <t>filas=123; real=4; fp=0; fuera=119; sin_tiempo=0; min=2026-06-17T18:49:10.697Z; max=2026-06-24T12:54:37.594Z</t>
  </si>
  <si>
    <t>filas=1546; real=108; fp=0; fuera=1438; sin_tiempo=0; min=2026-06-17T13:19:13.170Z; max=2026-06-24T13:10:12.035Z</t>
  </si>
  <si>
    <t>filas=78; real=5; fp=0; fuera=73; sin_tiempo=0; min=2026-06-17T18:51:50.642Z; max=2026-06-24T12:56:28.333Z</t>
  </si>
  <si>
    <t>filas=11924; real=2; fp=0; fuera=11922; sin_tiempo=0; min=2026-06-17T18:46:52.825Z; max=2026-06-24T12:53:42.608Z</t>
  </si>
  <si>
    <t>filas=186; real=12; fp=0; fuera=174; sin_tiempo=0; min=2026-06-17T13:19:13.240Z; max=2026-06-24T12:54:20.862Z</t>
  </si>
  <si>
    <t>filas=10; real=1; fp=0; fuera=9; sin_tiempo=0; min=2026-06-17T18:50:13.204Z; max=2026-06-24T12:51:51.589Z</t>
  </si>
  <si>
    <t>filas=24; real=4; fp=0; fuera=20; sin_tiempo=0; min=2026-06-17T18:54:14.582Z; max=2026-06-24T12:54:21.811Z</t>
  </si>
  <si>
    <t>filas=20; real=2; fp=0; fuera=18; sin_tiempo=0; min=2026-06-17T18:49:10.697Z; max=2026-06-24T12:54:37.594Z</t>
  </si>
  <si>
    <t>filas=682; real=54; fp=0; fuera=628; sin_tiempo=0; min=2026-06-17T18:48:28.680Z; max=2026-06-24T12:55:41.845Z</t>
  </si>
  <si>
    <t>filas=237; real=16; fp=0; fuera=221; sin_tiempo=0; min=2026-06-17T18:48:28.451Z; max=2026-06-24T12:51:22.687Z</t>
  </si>
  <si>
    <t>filas=140; real=12; fp=0; fuera=128; sin_tiempo=0; min=2026-06-17T18:48:28.592Z; max=2026-06-24T12:51:38.812Z</t>
  </si>
  <si>
    <t>filas=113; real=2; fp=0; fuera=111; sin_tiempo=0; min=2026-06-17T18:50:29.916Z; max=2026-06-24T12:52:16.265Z</t>
  </si>
  <si>
    <t>filas=200; real=10; fp=0; fuera=190; sin_tiempo=0; min=2026-06-17T13:19:13.170Z; max=2026-06-24T12:52:19.812Z</t>
  </si>
  <si>
    <t>filas=40; real=4; fp=0; fuera=36; sin_tiempo=0; min=2026-06-17T18:50:52.840Z; max=2026-06-24T12:52:55.848Z</t>
  </si>
  <si>
    <t>filas=10; real=1; fp=0; fuera=9; sin_tiempo=0; min=2026-06-17T18:51:42.532Z; max=2026-06-24T12:53:42.608Z</t>
  </si>
  <si>
    <t>filas=24; real=4; fp=0; fuera=20; sin_tiempo=0; min=2026-06-17T18:52:49.068Z; max=2026-06-24T12:54:21.811Z</t>
  </si>
  <si>
    <t>filas=31; real=2; fp=0; fuera=29; sin_tiempo=0; min=2026-06-17T18:52:48.631Z; max=2026-06-24T12:54:20.862Z</t>
  </si>
  <si>
    <t>filas=9; real=1; fp=0; fuera=8; sin_tiempo=0; min=2026-06-17T18:53:58.937Z; max=2026-06-24T12:54:37.369Z</t>
  </si>
  <si>
    <t>05_LOGS\Validas\Prueba_24_06_2026_FP\CU001_Source_TEC001_PowerShell_Basic-2026-06-25T12_00_00Z-2026-06-26T12_00_00Z-C.364907172793f8c7.csv</t>
  </si>
  <si>
    <t>filas=476; real=38; fp=10; fuera=428; sin_tiempo=0; min=2026-06-18T11:38:05.539Z; max=2026-06-26T08:20:00.476Z</t>
  </si>
  <si>
    <t>Filas de ventana REAL en carpeta FP excluidas para evitar doble conteo.</t>
  </si>
  <si>
    <t>05_LOGS\Validas\Prueba_24_06_2026_FP\CU002_Source_TEC002_CMD_Basic-2026-06-25T12_00_00Z-2026-06-26T12_00_00Z-C.364907172793f8c7.csv</t>
  </si>
  <si>
    <t>filas=863; real=78; fp=10; fuera=775; sin_tiempo=0; min=2026-06-18T11:38:05.370Z; max=2026-06-26T08:19:50.025Z</t>
  </si>
  <si>
    <t>05_LOGS\Validas\Prueba_24_06_2026_FP\CU003_Source_TEC003_ScheduledTask_Basic-2026-06-25T12_00_00Z-2026-06-26T12_00_00Z-C.364907172793f8c7.csv</t>
  </si>
  <si>
    <t>filas=169; real=8; fp=6; fuera=155; sin_tiempo=0; min=2026-06-18T11:38:05.396Z; max=2026-06-26T08:19:52.691Z</t>
  </si>
  <si>
    <t>05_LOGS\Validas\Prueba_24_06_2026_FP\CU004_Source_TEC004_RunKeys_Basic-2026-06-25T12_00_00Z-2026-06-26T12_00_00Z-C.364907172793f8c7.csv</t>
  </si>
  <si>
    <t>filas=99; real=8; fp=0; fuera=91; sin_tiempo=0; min=2026-06-18T11:38:05.490Z; max=2026-06-26T08:17:54.119Z</t>
  </si>
  <si>
    <t>05_LOGS\Validas\Prueba_24_06_2026_FP\CU005_Source_TEC005_ServiceCreation_7045-2026-06-23T12_00_00Z-2026-06-24T12_00_00Z-C.364907172793f8c7 (1).csv</t>
  </si>
  <si>
    <t>filas=8; real=1; fp=0; fuera=7; sin_tiempo=0; min=2026-06-19T10:05:11.289Z; max=2026-06-24T12:51:51.589Z</t>
  </si>
  <si>
    <t>05_LOGS\Validas\Prueba_24_06_2026_FP\Forensic_EVENT_PowerShell4104_Strong_By_Technique-2026-06-25T12_00_00Z-2026-06-26T12_00_00Z-C.364907172793f8c7.csv</t>
  </si>
  <si>
    <t>filas=125; real=4; fp=11; fuera=110; sin_tiempo=0; min=2026-06-19T10:02:51.422Z; max=2026-06-26T08:19:54.407Z</t>
  </si>
  <si>
    <t>05_LOGS\Validas\Prueba_24_06_2026_FP\Forensic_EVENT_Sysmon_ID1_Process_By_Technique-2026-06-25T12_00_00Z-2026-06-26T12_00_00Z-C.364907172793f8c7.csv</t>
  </si>
  <si>
    <t>filas=1445; real=108; fp=18; fuera=1319; sin_tiempo=0; min=2026-06-18T11:37:07.219Z; max=2026-06-26T08:26:30.640Z</t>
  </si>
  <si>
    <t>05_LOGS\Validas\Prueba_24_06_2026_FP\Forensic_EVENT_System_7045_ServiceCreation-2026-06-23T12_00_00Z-2026-06-24T12_00_00Z-C.364907172793f8c7.csv</t>
  </si>
  <si>
    <t>05_LOGS\Validas\Prueba_24_06_2026_FP\P1_EVENT_TEC009_Sysmon_Context-2026-06-23T12_00_00Z-2026-06-24T12_00_00Z-C.364907172793f8c7.csv</t>
  </si>
  <si>
    <t>filas=20; real=4; fp=0; fuera=16; sin_tiempo=0; min=2026-06-18T11:42:02.689Z; max=2026-06-24T12:54:21.811Z</t>
  </si>
  <si>
    <t>05_LOGS\Validas\Prueba_24_06_2026_FP\TEC001_PowerShell_4104-2026-06-23T12_00_00Z-2026-06-24T12_00_00Z-C.364907172793f8c7.csv</t>
  </si>
  <si>
    <t>filas=14; real=2; fp=0; fuera=12; sin_tiempo=0; min=2026-06-19T10:04:15.478Z; max=2026-06-24T12:54:37.594Z</t>
  </si>
  <si>
    <t>05_LOGS\Validas\Prueba_24_06_2026_FP\TEC002_CMD_Sysmon-2026-06-25T12_00_00Z-2026-06-26T12_00_00Z-C.364907172793f8c7.csv</t>
  </si>
  <si>
    <t>filas=607; real=54; fp=8; fuera=545; sin_tiempo=0; min=2026-06-18T11:38:05.521Z; max=2026-06-26T08:19:50.025Z</t>
  </si>
  <si>
    <t>05_LOGS\Validas\Prueba_24_06_2026_FP\TEC003_ScheduledTask_Sysmon-2026-06-25T12_00_00Z-2026-06-26T12_00_00Z-C.364907172793f8c7.csv</t>
  </si>
  <si>
    <t>filas=245; real=16; fp=6; fuera=223; sin_tiempo=0; min=2026-06-18T11:38:05.370Z; max=2026-06-26T08:19:52.691Z</t>
  </si>
  <si>
    <t>05_LOGS\Validas\Prueba_24_06_2026_FP\TEC004_RunKey_Sysmon-2026-06-25T12_00_00Z-2026-06-26T12_00_00Z-C.364907172793f8c7.csv</t>
  </si>
  <si>
    <t>filas=136; real=12; fp=0; fuera=124; sin_tiempo=0; min=2026-06-18T11:38:05.474Z; max=2026-06-26T08:17:54.119Z</t>
  </si>
  <si>
    <t>05_LOGS\Validas\Prueba_24_06_2026_FP\TEC005_Service_System7045-2026-06-23T12_00_00Z-2026-06-24T12_00_00Z-C.364907172793f8c7.csv</t>
  </si>
  <si>
    <t>05_LOGS\Validas\Prueba_24_06_2026_FP\TEC006_SecuritySoftwareDiscovery_4104-2026-06-25T12_00_00Z-2026-06-26T12_00_00Z-C.364907172793f8c7.csv</t>
  </si>
  <si>
    <t>filas=112; real=2; fp=11; fuera=99; sin_tiempo=0; min=2026-06-19T10:02:51.422Z; max=2026-06-26T08:19:54.407Z</t>
  </si>
  <si>
    <t>05_LOGS\Validas\Prueba_24_06_2026_FP\TEC006_SecuritySoftwareDiscovery_Sysmon-2026-06-25T12_00_00Z-2026-06-26T12_00_00Z-C.364907172793f8c7.csv</t>
  </si>
  <si>
    <t>filas=176; real=10; fp=0; fuera=166; sin_tiempo=0; min=2026-06-18T11:39:51.079Z; max=2026-06-26T08:26:00.085Z</t>
  </si>
  <si>
    <t>05_LOGS\Validas\Prueba_24_06_2026_FP\TEC007_DataEncryptedForImpact_4104-2026-06-23T12_00_00Z-2026-06-24T12_00_00Z-C.364907172793f8c7.csv</t>
  </si>
  <si>
    <t>filas=24; real=4; fp=0; fuera=20; sin_tiempo=0; min=2026-06-19T10:06:01.908Z; max=2026-06-24T12:52:55.848Z</t>
  </si>
  <si>
    <t>05_LOGS\Validas\Prueba_24_06_2026_FP\TEC008_DataDestruction_4104-2026-06-23T12_00_00Z-2026-06-24T12_00_00Z-C.364907172793f8c7.csv</t>
  </si>
  <si>
    <t>filas=8; real=1; fp=0; fuera=7; sin_tiempo=0; min=2026-06-19T10:07:32.675Z; max=2026-06-24T13:17:36.899Z</t>
  </si>
  <si>
    <t>05_LOGS\Validas\Prueba_24_06_2026_FP\TEC009_HTTP_Network_Sysmon_Context-2026-06-23T12_00_00Z-2026-06-24T12_00_00Z-C.364907172793f8c7.csv</t>
  </si>
  <si>
    <t>05_LOGS\Validas\Prueba_24_06_2026_FP\TEC009_HTTP_Upload_Sysmon_Process_Context-2026-06-25T12_00_00Z-2026-06-26T12_00_00Z-C.364907172793f8c7.csv</t>
  </si>
  <si>
    <t>filas=29; real=2; fp=2; fuera=25; sin_tiempo=0; min=2026-06-18T11:42:02.628Z; max=2026-06-26T08:20:00.476Z</t>
  </si>
  <si>
    <t>05_LOGS\Validas\Prueba_24_06_2026_FP\TEC009_HTTP_ZIP_Upload_4104-2026-06-23T12_00_00Z-2026-06-24T12_00_00Z-C.364907172793f8c7.csv</t>
  </si>
  <si>
    <t>filas=7; real=1; fp=0; fuera=6; sin_tiempo=0; min=2026-06-19T10:08:57.394Z; max=2026-06-24T12:54:37.369Z</t>
  </si>
  <si>
    <t>TEC009_EVIDENCIA_UPLOAD_PARCIAL</t>
  </si>
  <si>
    <t>WARN</t>
  </si>
  <si>
    <t>05_LOGS\Validas\Prueba_24_06_2026\TFM_TEC_Run_CANDIDATE_v5_20260624_145022_summary.json</t>
  </si>
  <si>
    <t>HTTP 200, UploadSucceeded=True, ZIP/SHA256 y ReceiverResponse con bytes/sha256 presentes; receiver_log.jsonl y ZIP recibido no localizados en rutas revisadas.</t>
  </si>
  <si>
    <t>No marcar como exfiltracion contextual completa; documentar como upload HTTP controlado con limitacion de receptor.</t>
  </si>
  <si>
    <t>FP_CLIENT_EVENT_EXPORTS_NO_RECONCILIADOS_CON_VR_HITS</t>
  </si>
  <si>
    <t>05_LOGS\Validas\Prueba_24_06_2026_FP</t>
  </si>
  <si>
    <t>82 filas CLIENT_EVENT en ventana FP, pero vr_hits.csv y summary declaran TotalHits=0.</t>
  </si>
  <si>
    <t>No incluir como FP_HITS definitivos; conservar en discrepancias para revision metodologica.</t>
  </si>
  <si>
    <t>Fuentes analizadas y hashes</t>
  </si>
  <si>
    <t>Lista de fuentes usadas con SHA-256.</t>
  </si>
  <si>
    <t>tamano_bytes</t>
  </si>
  <si>
    <t>fecha_modificacion</t>
  </si>
  <si>
    <t>sha256</t>
  </si>
  <si>
    <t>rol</t>
  </si>
  <si>
    <t>campana_asignada</t>
  </si>
  <si>
    <t>xlsx</t>
  </si>
  <si>
    <t>2026-05-15T11:16:36.703Z</t>
  </si>
  <si>
    <t>653133d7761363e435fb37caf2bf70e914231d8704f45b64a945282732830c03</t>
  </si>
  <si>
    <t>EXCEL_BASE_V4</t>
  </si>
  <si>
    <t>BASE</t>
  </si>
  <si>
    <t>csv</t>
  </si>
  <si>
    <t>2026-06-24T13:11:20.405Z</t>
  </si>
  <si>
    <t>d2a26924103c0030715e2f015c8593be3a653488163298e429c19b653acd442e</t>
  </si>
  <si>
    <t>VR_EXPORT_REAL</t>
  </si>
  <si>
    <t>REAL_24_06</t>
  </si>
  <si>
    <t>2026-06-24T13:11:09.341Z</t>
  </si>
  <si>
    <t>2f5b27bacc06039542b14ebc7824a738436e46da316b2c68b2ce09dfe7fdae50</t>
  </si>
  <si>
    <t>2026-06-24T13:10:59.527Z</t>
  </si>
  <si>
    <t>e0354070664b4c9a78c80e07bb1fbcc99def15ca08e5e397fb045e714c7b83f4</t>
  </si>
  <si>
    <t>2026-06-24T13:10:48.183Z</t>
  </si>
  <si>
    <t>14aa340401999cc436c68f0da5350f537978bb023043d65f3e13f411078d1e31</t>
  </si>
  <si>
    <t>2026-06-24T13:10:28.283Z</t>
  </si>
  <si>
    <t>ed19e1b9f5e52baefcf1ee794028bfddb3e51ae800d65b5ab48af6d306936a08</t>
  </si>
  <si>
    <t>2026-06-24T13:13:36.536Z</t>
  </si>
  <si>
    <t>303ed512cb726e5119d76e4125b1d475aa3a15d9cefe19fb893655580cc32b16</t>
  </si>
  <si>
    <t>2026-06-24T13:13:28.407Z</t>
  </si>
  <si>
    <t>ebb80d48f7a75023a417800db1a08793e22f4dd3d0f6fedfc0dfd9be56711036</t>
  </si>
  <si>
    <t>2026-06-24T13:13:22.486Z</t>
  </si>
  <si>
    <t>164f0b3b148f92ab7bc153e5098e532e9cca97a039626a9ba7f53da64e501bbf</t>
  </si>
  <si>
    <t>2026-06-24T13:13:15.481Z</t>
  </si>
  <si>
    <t>bad484b8d075da77d0cf784e03f4af822b433b52eb03e26be6b187af912cc120</t>
  </si>
  <si>
    <t>2026-06-24T13:13:55.939Z</t>
  </si>
  <si>
    <t>e32d4b9624258fcaa4fe14e567cb193052d2027c0f81d49ffb1d1f7961259a28</t>
  </si>
  <si>
    <t>2026-06-24T13:13:49.314Z</t>
  </si>
  <si>
    <t>48dbe99378e8fe5c62e369ef6a9ca457f64ec51af8bd044d6414ff0255cc2faa</t>
  </si>
  <si>
    <t>2026-06-24T13:13:44.520Z</t>
  </si>
  <si>
    <t>374bacbcd940d0fd560210661294d818227fdbf1b042f9ed9c4b2ee3d7b8a538</t>
  </si>
  <si>
    <t>2026-06-24T13:13:40.421Z</t>
  </si>
  <si>
    <t>3b93d7bc63540612e14188dbe5fa3719b6b9f362740a0c113de51dea872dd85b</t>
  </si>
  <si>
    <t>2026-06-24T13:13:09.738Z</t>
  </si>
  <si>
    <t>0f1cdeb9dc915aebcbe39e2ad4e604d16d86fe1cab25290615c1f58e80cf71ca</t>
  </si>
  <si>
    <t>2026-06-24T13:13:03.513Z</t>
  </si>
  <si>
    <t>fdfe7eaa3abc3525fba19424cdaec9b9afd5293f46c06d1157a4a482c54b0791</t>
  </si>
  <si>
    <t>2026-06-24T13:12:55.669Z</t>
  </si>
  <si>
    <t>43bc59ee0e2214dfa29d4173376cf7a281e75140984fd445d27cd69c3ab76bb5</t>
  </si>
  <si>
    <t>2026-06-24T13:12:47.219Z</t>
  </si>
  <si>
    <t>1a031c18892f5dcd1e47fa84356c59335205ce6b885ee3b8080cf1de49533fae</t>
  </si>
  <si>
    <t>2026-06-24T13:12:39.065Z</t>
  </si>
  <si>
    <t>96611b8558e564ab81e618605401d88cd35fef5762499dfc07802fffb0d4848e</t>
  </si>
  <si>
    <t>2026-06-24T13:12:30.433Z</t>
  </si>
  <si>
    <t>8f8b37689e97b34d4df08666e7ad5f105c04e926d26be5eccc28cb4aadf10e10</t>
  </si>
  <si>
    <t>2026-06-24T13:12:20.565Z</t>
  </si>
  <si>
    <t>e1aa97ac8149ba6326b767f36cf18a1f8d178292f9d821c294b12d2264118aed</t>
  </si>
  <si>
    <t>2026-06-24T13:12:12.409Z</t>
  </si>
  <si>
    <t>4e35ad573580e4a3bf9beda0ab7a1789674dcbf914a4f2deefebc66e6a782fc1</t>
  </si>
  <si>
    <t>2026-06-24T13:12:02.704Z</t>
  </si>
  <si>
    <t>ffb06a2c3b7a2f38f0efbd78413abc7f843f9560f9b571b563f7b80a3a7b9408</t>
  </si>
  <si>
    <t>2026-06-24T13:11:49.259Z</t>
  </si>
  <si>
    <t>71fe4c9b526ea119351fb77b12798d7959b7ca5a1a9c896b6d61d057aa9a417a</t>
  </si>
  <si>
    <t>2026-06-24T13:11:40.559Z</t>
  </si>
  <si>
    <t>b04b04dc6284948084b0f082a98ae4d75c5dd7d3fa87b8b6b328231965015094</t>
  </si>
  <si>
    <t>2026-06-24T13:11:31.436Z</t>
  </si>
  <si>
    <t>f3d5ee4723154259f28ded244c6bd5ce2c9f8bc1f218a467b66194fc4397c497</t>
  </si>
  <si>
    <t>05_LOGS\Validas\Prueba_24_06_2026\TFM_TEC_Run_CANDIDATE_v5_20260624_145022.log</t>
  </si>
  <si>
    <t>log</t>
  </si>
  <si>
    <t>2026-06-24T12:55:56.676Z</t>
  </si>
  <si>
    <t>f49933e7959f8d4789a15e2692a88b0dbdfa932d1697a7ac9f5fc5755f94b487</t>
  </si>
  <si>
    <t>05_LOGS\Validas\Prueba_24_06_2026\TFM_TEC_Run_CANDIDATE_v5_20260624_145022_summary.csv</t>
  </si>
  <si>
    <t>2026-06-24T12:55:56.558Z</t>
  </si>
  <si>
    <t>c5a62847044991f0d6d89bb102a2dd8a1dead6f36f3cfccd42331577e5e507db</t>
  </si>
  <si>
    <t>REAL_SUMMARY</t>
  </si>
  <si>
    <t>json</t>
  </si>
  <si>
    <t>2026-06-24T12:55:56.429Z</t>
  </si>
  <si>
    <t>6f3101cd2588fd0cd21ec35c7b9dd0613fb71eb3194a26b0f1428000c992aa23</t>
  </si>
  <si>
    <t>05_LOGS\Validas\Prueba_24_06_2026\TFM_TEC_Run_CANDIDATE_v5_20260624_145022_summary.txt</t>
  </si>
  <si>
    <t>txt</t>
  </si>
  <si>
    <t>a845d46c8d8d9b55577ea4acd7f86faa3cc78c5d0d7ac728fc7350a84f394f97</t>
  </si>
  <si>
    <t>2026-06-26T08:27:23.362Z</t>
  </si>
  <si>
    <t>6209f8982dccc5e55d9e35692ca15b7753539ba55717137ef0a07cc77faf2161</t>
  </si>
  <si>
    <t>VR_EXPORT_FP_OR_MIXED</t>
  </si>
  <si>
    <t>FP_26_06</t>
  </si>
  <si>
    <t>2026-06-26T08:27:16.928Z</t>
  </si>
  <si>
    <t>a476fb1224ba30cff5c4995a2fdff739e538d0498a56b7ccff9c07bf3ccfc6fc</t>
  </si>
  <si>
    <t>2026-06-26T08:27:09.445Z</t>
  </si>
  <si>
    <t>63f50d0783b8bb5b0d39c27ddd7155468a0a362fac7b248b727eb3d4e70bb1a3</t>
  </si>
  <si>
    <t>2026-06-26T08:26:59.884Z</t>
  </si>
  <si>
    <t>82c0ced7c28bce1a79193d50c8d0233d24570d81ba369a208bc0acbcdc612f6c</t>
  </si>
  <si>
    <t>2026-06-26T08:26:43.352Z</t>
  </si>
  <si>
    <t>f1db189f4d39fd8fe04d60d41c8b1ddc6033d086f91843410f27e635535cd08d</t>
  </si>
  <si>
    <t>2026-06-26T08:29:15.539Z</t>
  </si>
  <si>
    <t>f41d915a54e28185fa34d12876f6263b29f10eb4af04cbb24b0001187f0a07eb</t>
  </si>
  <si>
    <t>2026-06-26T08:29:06.588Z</t>
  </si>
  <si>
    <t>7c67ab9be20a1b6bbcf3f331299368aa89f8f539199bdc058846495d37e6220f</t>
  </si>
  <si>
    <t>2026-06-26T08:28:49.494Z</t>
  </si>
  <si>
    <t>3178d1ca03d5dbc7fb5c93a888bbabce7770ef03a49a6b3a25950e068133ed8a</t>
  </si>
  <si>
    <t>2026-06-26T08:29:21.754Z</t>
  </si>
  <si>
    <t>8cc402c503a5e5ff30e48b8a2b6c4517a12864856f5bc2f3d78e235a4b2fbea2</t>
  </si>
  <si>
    <t>2026-06-26T08:28:42.258Z</t>
  </si>
  <si>
    <t>16b2e47c233015a10b38ca718c199dffdd21bd23b3f8c34a7cd7608412871b60</t>
  </si>
  <si>
    <t>2026-06-26T08:28:35.370Z</t>
  </si>
  <si>
    <t>4b61702181fe74b1e1fe4bb6fd4ea4392bf722477f8bdec2ba605e6e24283e40</t>
  </si>
  <si>
    <t>2026-06-26T08:28:28.535Z</t>
  </si>
  <si>
    <t>0887e09789d8443b915ef3caf92c71bfbfaa18bf623e5337ea01a11ed13ecb30</t>
  </si>
  <si>
    <t>2026-06-26T08:28:22.002Z</t>
  </si>
  <si>
    <t>0347e694e8b96da8090022cde721465493c326dac3ad3db323174ebe1223308b</t>
  </si>
  <si>
    <t>2026-06-26T08:28:06.549Z</t>
  </si>
  <si>
    <t>d5f76f69ffb420c3080a4073ee630acebd51634e1c4b51d7f117e218a7d47014</t>
  </si>
  <si>
    <t>2026-06-26T08:28:01.291Z</t>
  </si>
  <si>
    <t>78074bd7a67641a078744b495039dadef194876990e02455d47c78c370397b4d</t>
  </si>
  <si>
    <t>2026-06-26T08:27:56.574Z</t>
  </si>
  <si>
    <t>0e24c0235f851353ec2f10e20b4be09abcd2b25462f52f2c2ed9963536233c3e</t>
  </si>
  <si>
    <t>2026-06-26T08:27:50.638Z</t>
  </si>
  <si>
    <t>fca339ee5adf9c38057098e2592ba17efa100a2e1bd867b94e03600b0e24e26d</t>
  </si>
  <si>
    <t>2026-06-26T08:27:46.280Z</t>
  </si>
  <si>
    <t>c06962f14617229acf814008d11ba854de690bcdf90d6c39a6c5699fbbab7b0d</t>
  </si>
  <si>
    <t>2026-06-26T08:27:41.081Z</t>
  </si>
  <si>
    <t>f5721b515315bb19ab70b4a3d479dd55cc50ecb79e5533dd1bda2b357ada5505</t>
  </si>
  <si>
    <t>2026-06-26T08:27:36.643Z</t>
  </si>
  <si>
    <t>037619d8fd98e3bdd84fd0b8798b6a5d9d707aa9330837a8f7e407e4383a2ca8</t>
  </si>
  <si>
    <t>2026-06-26T08:27:31.375Z</t>
  </si>
  <si>
    <t>6252188da721463697e23909f76fefac40b23e8b8599360b516a9654f5ca9331</t>
  </si>
  <si>
    <t>05_LOGS\Validas\Prueba_24_06_2026_FP\TFM_FP_20260626_101948.log</t>
  </si>
  <si>
    <t>2026-06-26T08:20:18.426Z</t>
  </si>
  <si>
    <t>96c8560ecb781423742f7b2d1509ce4ee110f97f8e5aa628e4d97bd3fc0a4f0c</t>
  </si>
  <si>
    <t>05_LOGS\Validas\Prueba_24_06_2026_FP\TFM_FP_20260626_101948_summary.csv</t>
  </si>
  <si>
    <t>2026-06-26T08:20:18.117Z</t>
  </si>
  <si>
    <t>dc70b5f21ef301c149d8e32631280037be90880081412c17bcb254a4395b3121</t>
  </si>
  <si>
    <t>FP_SUMMARY</t>
  </si>
  <si>
    <t>05_LOGS\Validas\Prueba_24_06_2026_FP\TFM_FP_20260626_101948_summary.json</t>
  </si>
  <si>
    <t>2026-06-26T08:20:18.252Z</t>
  </si>
  <si>
    <t>1e737e49db7b7c801806dc8074f94f1ad55e12b036ae52923828671ce06d775d</t>
  </si>
  <si>
    <t>05_LOGS\Validas\Prueba_24_06_2026_FP\TFM_FP_20260626_101948_summary.txt</t>
  </si>
  <si>
    <t>2026-06-26T08:20:18.354Z</t>
  </si>
  <si>
    <t>4e2e0bb00d944938a8613532e85bc43e3090e92033cff316bf9389a98c838a5c</t>
  </si>
  <si>
    <t>05_LOGS\Validas\Prueba_24_06_2026_FP\TFM_FP_20260626_101948_vr_hits.csv</t>
  </si>
  <si>
    <t>6d712fcc2666acdc903fdb17c78d607f811a629d3b5360e63a49639e6dbf32cc</t>
  </si>
  <si>
    <t>FP_HITS</t>
  </si>
  <si>
    <t>05_LOGS\Validas\Prueba_24_06_2026_FP\TFM_FP_20260626_101948_vr_hits.txt</t>
  </si>
  <si>
    <t>2026-06-26T08:20:18.359Z</t>
  </si>
  <si>
    <t>2c03d8c28d8ef849d68e019713cf59397ecdabd3fdef0a656ac3d7b816a0145d</t>
  </si>
  <si>
    <t>05_LOGS\Validas\Prueba_24_06_2026_FP\VR_FP_HTTP_LOCAL_CLEAN_20260626_101945\fp_end_local.txt</t>
  </si>
  <si>
    <t>2026-06-26T08:20:24.116Z</t>
  </si>
  <si>
    <t>20e9677c184f158755385515bc5dd848e788344e10b60a2467e8f3bd12ed6901</t>
  </si>
  <si>
    <t>05_LOGS\Validas\Prueba_24_06_2026_FP\VR_FP_HTTP_LOCAL_CLEAN_20260626_101945\fp_start_local.txt</t>
  </si>
  <si>
    <t>2026-06-26T08:19:45.455Z</t>
  </si>
  <si>
    <t>d5c71ed0cee9ffcdb4148d90623b98bdd3abb14a5941bca79eaba7b6fbf14c92</t>
  </si>
  <si>
    <t>05_LOGS\Validas\Prueba_24_06_2026_FP\VR_FP_HTTP_LOCAL_CLEAN_20260626_101945\runner_fp_outputs\TFM_FP_20260626_101948.log</t>
  </si>
  <si>
    <t>05_LOGS\Validas\Prueba_24_06_2026_FP\VR_FP_HTTP_LOCAL_CLEAN_20260626_101945\runner_fp_outputs\TFM_FP_20260626_101948_summary.csv</t>
  </si>
  <si>
    <t>05_LOGS\Validas\Prueba_24_06_2026_FP\VR_FP_HTTP_LOCAL_CLEAN_20260626_101945\runner_fp_outputs\TFM_FP_20260626_101948_summary.json</t>
  </si>
  <si>
    <t>05_LOGS\Validas\Prueba_24_06_2026_FP\VR_FP_HTTP_LOCAL_CLEAN_20260626_101945\runner_fp_outputs\TFM_FP_20260626_101948_summary.txt</t>
  </si>
  <si>
    <t>05_LOGS\Validas\Prueba_24_06_2026_FP\VR_FP_HTTP_LOCAL_CLEAN_20260626_101945\runner_fp_outputs\TFM_FP_20260626_101948_vr_hits.csv</t>
  </si>
  <si>
    <t>05_LOGS\Validas\Prueba_24_06_2026_FP\VR_FP_HTTP_LOCAL_CLEAN_20260626_101945\runner_fp_outputs\TFM_FP_20260626_101948_vr_hits.txt</t>
  </si>
  <si>
    <t>05_LOGS\Validas\Prueba_24_06_2026_FP\VR_FP_HTTP_LOCAL_CLEAN_20260626_101945\soc_alerts_fp_http_local_clean.jsonl</t>
  </si>
  <si>
    <t>jsonl</t>
  </si>
  <si>
    <t>2026-06-24T13:24:54.571Z</t>
  </si>
  <si>
    <t>e3b0c44298fc1c149afbf4c8996fb92427ae41e4649b934ca495991b7852b855</t>
  </si>
  <si>
    <t>10_WAZUH\TFM_WAZUH_VISIBILIDAD_EVIDENCE\ENTREGA_WAZUH_VISIBILIDAD_20260622_114027\base\base_custom_rule_check_110xxx.txt</t>
  </si>
  <si>
    <t>2026-06-22T11:40:35.000Z</t>
  </si>
  <si>
    <t>WAZUH_EVIDENCE</t>
  </si>
  <si>
    <t>WAZUH</t>
  </si>
  <si>
    <t>10_WAZUH\TFM_WAZUH_VISIBILIDAD_EVIDENCE\ENTREGA_WAZUH_VISIBILIDAD_20260622_114027\base\end_utc.txt</t>
  </si>
  <si>
    <t>2026-06-22T11:40:31.000Z</t>
  </si>
  <si>
    <t>cad3c3ae35884cebba84bb9f421ce3c704bc872ae2cb81cdde53b6e740dd9f42</t>
  </si>
  <si>
    <t>10_WAZUH\TFM_WAZUH_VISIBILIDAD_EVIDENCE\ENTREGA_WAZUH_VISIBILIDAD_20260622_114027\base\start_utc.txt</t>
  </si>
  <si>
    <t>b526a6d767a63c0a2f0ba277250567529b3cdfdead7b7863684e8da7ecd7653d</t>
  </si>
  <si>
    <t>10_WAZUH\TFM_WAZUH_VISIBILIDAD_EVIDENCE\ENTREGA_WAZUH_VISIBILIDAD_20260622_114027\base\wazuh_base_alerts_delta.jsonl</t>
  </si>
  <si>
    <t>fe8b4125b868bacb2b44490490dd2681fd7b60a9fa80a39a678bf18d4a461517</t>
  </si>
  <si>
    <t>10_WAZUH\TFM_WAZUH_VISIBILIDAD_EVIDENCE\ENTREGA_WAZUH_VISIBILIDAD_20260622_114027\base\wazuh_base_alerts_filtered.jsonl</t>
  </si>
  <si>
    <t>2026-06-22T11:40:34.000Z</t>
  </si>
  <si>
    <t>0d94b49654c09ad054b3ca3b8cf96ad29fddfdc4ab38246802de7b54d537ea72</t>
  </si>
  <si>
    <t>10_WAZUH\TFM_WAZUH_VISIBILIDAD_EVIDENCE\ENTREGA_WAZUH_VISIBILIDAD_20260622_114027\base\wazuh_base_archives_delta.jsonl</t>
  </si>
  <si>
    <t>d678b4cb78cd9c3a0615de98ef525c4d3d3ddff941ea68263366c6215df48d5b</t>
  </si>
  <si>
    <t>10_WAZUH\TFM_WAZUH_VISIBILIDAD_EVIDENCE\ENTREGA_WAZUH_VISIBILIDAD_20260622_114027\base\wazuh_base_summary.txt</t>
  </si>
  <si>
    <t>2096641c367ead69ccdbabe6e03b48783471cfbbbedd11bff19d14c0b1378840</t>
  </si>
  <si>
    <t>10_WAZUH\TFM_WAZUH_VISIBILIDAD_EVIDENCE\ENTREGA_WAZUH_VISIBILIDAD_20260622_114027\base\wazuh_base_visibility_filtered.jsonl</t>
  </si>
  <si>
    <t>951b91b743d29e0ea1d7f10fcff1b2674b8faad8013c9b4af358b807f13bfd0c</t>
  </si>
  <si>
    <t>10_WAZUH\TFM_WAZUH_VISIBILIDAD_EVIDENCE\ENTREGA_WAZUH_VISIBILIDAD_20260622_114027\checks\status_wazuh_dashboard.txt</t>
  </si>
  <si>
    <t>2026-06-22T11:41:13.000Z</t>
  </si>
  <si>
    <t>ca7a12124d2d6275c1588fc4a29ef8bcdb88a9111b576dc2e116b0ec269aad02</t>
  </si>
  <si>
    <t>10_WAZUH\TFM_WAZUH_VISIBILIDAD_EVIDENCE\ENTREGA_WAZUH_VISIBILIDAD_20260622_114027\checks\status_wazuh_indexer.txt</t>
  </si>
  <si>
    <t>2026-06-22T11:41:12.000Z</t>
  </si>
  <si>
    <t>085cefa87e935d7a62fa40936110d0ac16e030008a0337e707e7257413237bfd</t>
  </si>
  <si>
    <t>10_WAZUH\TFM_WAZUH_VISIBILIDAD_EVIDENCE\ENTREGA_WAZUH_VISIBILIDAD_20260622_114027\checks\status_wazuh_manager.txt</t>
  </si>
  <si>
    <t>55b34e0e20e2bf4749a5aaa8526e97e1e4d4b9a026da2babbb8eafe0471b8671</t>
  </si>
  <si>
    <t>10_WAZUH\TFM_WAZUH_VISIBILIDAD_EVIDENCE\ENTREGA_WAZUH_VISIBILIDAD_20260622_114027\checks\wazuh_agents.txt</t>
  </si>
  <si>
    <t>7ed2f887a18cdbb41240d3b53ce421583a0e70f3ebe965921b648ecfc8f70ee6</t>
  </si>
  <si>
    <t>10_WAZUH\TFM_WAZUH_VISIBILIDAD_EVIDENCE\ENTREGA_WAZUH_VISIBILIDAD_20260622_114027\checks\wazuh_analysisd_test.txt</t>
  </si>
  <si>
    <t>2026-06-22T11:41:11.000Z</t>
  </si>
  <si>
    <t>10_WAZUH\TFM_WAZUH_VISIBILIDAD_EVIDENCE\ENTREGA_WAZUH_VISIBILIDAD_20260622_114027\config\ossec_manager.conf</t>
  </si>
  <si>
    <t>conf</t>
  </si>
  <si>
    <t>2026-06-22T11:41:05.000Z</t>
  </si>
  <si>
    <t>547f8312c60f894217a8d7674d526f385e2c40795d1b0f07a8cf5f742fbde8db</t>
  </si>
  <si>
    <t>10_WAZUH\TFM_WAZUH_VISIBILIDAD_EVIDENCE\ENTREGA_WAZUH_VISIBILIDAD_20260622_114027\config\tfm_wazuh_custom_rules_v2.xml</t>
  </si>
  <si>
    <t>xml</t>
  </si>
  <si>
    <t>735e58c362b6e29cefa12d4abbda4bf9a4bdd671e5f5cd82e76c91796735896e</t>
  </si>
  <si>
    <t>10_WAZUH\TFM_WAZUH_VISIBILIDAD_EVIDENCE\ENTREGA_WAZUH_VISIBILIDAD_20260622_114027\custom\custom_rule_count_110xxx.txt</t>
  </si>
  <si>
    <t>2026-06-22T11:40:42.000Z</t>
  </si>
  <si>
    <t>dd652517283322defe461ccff17c04d130e4dd0c137e0f629d4b2f5c3ede848e</t>
  </si>
  <si>
    <t>10_WAZUH\TFM_WAZUH_VISIBILIDAD_EVIDENCE\ENTREGA_WAZUH_VISIBILIDAD_20260622_114027\custom\end_utc.txt</t>
  </si>
  <si>
    <t>2026-06-22T11:40:38.000Z</t>
  </si>
  <si>
    <t>34d79555ff5baa01bdbc8898b8736c72763c68437025b3db79979f59edb5c754</t>
  </si>
  <si>
    <t>10_WAZUH\TFM_WAZUH_VISIBILIDAD_EVIDENCE\ENTREGA_WAZUH_VISIBILIDAD_20260622_114027\custom\rule_110201_count.txt</t>
  </si>
  <si>
    <t>2026-06-22T11:41:00.000Z</t>
  </si>
  <si>
    <t>9a271f2a916b0b6ee6cecb2426f0b3206ef074578be55d9bc94f6f3fe3ab86aa</t>
  </si>
  <si>
    <t>10_WAZUH\TFM_WAZUH_VISIBILIDAD_EVIDENCE\ENTREGA_WAZUH_VISIBILIDAD_20260622_114027\custom\sample_rule_110201.jsonl</t>
  </si>
  <si>
    <t>2026-06-22T11:40:49.000Z</t>
  </si>
  <si>
    <t>10_WAZUH\TFM_WAZUH_VISIBILIDAD_EVIDENCE\ENTREGA_WAZUH_VISIBILIDAD_20260622_114027\custom\sample_rule_110202.jsonl</t>
  </si>
  <si>
    <t>f9b4aa38cc38b12f5a81b6c8261bfc61ece4ff4a1f8ca4cb248784308b39d364</t>
  </si>
  <si>
    <t>10_WAZUH\TFM_WAZUH_VISIBILIDAD_EVIDENCE\ENTREGA_WAZUH_VISIBILIDAD_20260622_114027\custom\sample_rule_110203.jsonl</t>
  </si>
  <si>
    <t>0088817d31a72a453cedd0fa52869166d9f975b1541ab91e5d4af4c167b1c6bf</t>
  </si>
  <si>
    <t>10_WAZUH\TFM_WAZUH_VISIBILIDAD_EVIDENCE\ENTREGA_WAZUH_VISIBILIDAD_20260622_114027\custom\sample_rule_110301.jsonl</t>
  </si>
  <si>
    <t>4af79e43f73dff514759953a16c997f772254d5654b009cf032dd3f942549495</t>
  </si>
  <si>
    <t>10_WAZUH\TFM_WAZUH_VISIBILIDAD_EVIDENCE\ENTREGA_WAZUH_VISIBILIDAD_20260622_114027\custom\sample_rule_110402.jsonl</t>
  </si>
  <si>
    <t>40a21d2a92e1e6eab796c2276cd7aaca84be041c66097f99ffd0dfc2195228e3</t>
  </si>
  <si>
    <t>10_WAZUH\TFM_WAZUH_VISIBILIDAD_EVIDENCE\ENTREGA_WAZUH_VISIBILIDAD_20260622_114027\custom\sample_rule_110501.jsonl</t>
  </si>
  <si>
    <t>88282ef731c2591fd20dd21d76f3486b31d7c8db2978f3ac50f3d7b17c3f9f32</t>
  </si>
  <si>
    <t>10_WAZUH\TFM_WAZUH_VISIBILIDAD_EVIDENCE\ENTREGA_WAZUH_VISIBILIDAD_20260622_114027\custom\start_utc.txt</t>
  </si>
  <si>
    <t>c2203b5b49fc6ed3a601d9c49f1e8c640ddc194dff1814864c8907e53d01747d</t>
  </si>
  <si>
    <t>10_WAZUH\TFM_WAZUH_VISIBILIDAD_EVIDENCE\ENTREGA_WAZUH_VISIBILIDAD_20260622_114027\custom\tec009_alert_search_alerts.jsonl</t>
  </si>
  <si>
    <t>07740df76b691f9efd0d8622803443a1e789ad1ba1ef2f3d580bfd2eda13df1f</t>
  </si>
  <si>
    <t>10_WAZUH\TFM_WAZUH_VISIBILIDAD_EVIDENCE\ENTREGA_WAZUH_VISIBILIDAD_20260622_114027\custom\tec009_visibility_search_archives.jsonl</t>
  </si>
  <si>
    <t>f2e047e0c483387c966f98bbf6ee53f8fed66c13f5db9346e398c05934301263</t>
  </si>
  <si>
    <t>10_WAZUH\TFM_WAZUH_VISIBILIDAD_EVIDENCE\ENTREGA_WAZUH_VISIBILIDAD_20260622_114027\custom\tfm_wazuh_custom_detections_110xxx.jsonl</t>
  </si>
  <si>
    <t>b095f98cc61f79ac282353a4a1053407766aba5d43776effd1f3c60eb2e82428</t>
  </si>
  <si>
    <t>10_WAZUH\TFM_WAZUH_VISIBILIDAD_EVIDENCE\ENTREGA_WAZUH_VISIBILIDAD_20260622_114027\custom\wazuh_custom_alerts_delta.jsonl</t>
  </si>
  <si>
    <t>4c1ca23e52964c7752cdb589e0c2caa230d9442ba0b4abd2251d090e6b38e6eb</t>
  </si>
  <si>
    <t>10_WAZUH\TFM_WAZUH_VISIBILIDAD_EVIDENCE\ENTREGA_WAZUH_VISIBILIDAD_20260622_114027\custom\wazuh_custom_archives_delta.jsonl</t>
  </si>
  <si>
    <t>0408ed851c6cb14c552095fb311fed04aabd7d18620585070f415ad4bfe390cd</t>
  </si>
  <si>
    <t>10_WAZUH\TFM_WAZUH_VISIBILIDAD_EVIDENCE\ENTREGA_WAZUH_VISIBILIDAD_20260622_114027\custom\wazuh_custom_summary.txt</t>
  </si>
  <si>
    <t>5d3ea8f5436dd71c57ebbffc0a2586da26505f8f7033f298a930e55430684159</t>
  </si>
  <si>
    <t>10_WAZUH\TFM_WAZUH_VISIBILIDAD_EVIDENCE\ENTREGA_WAZUH_VISIBILIDAD_20260622_114027\custom\wazuh_custom_visibility_filtered.jsonl</t>
  </si>
  <si>
    <t>672305c94312344bc55b66c0edcbfd63d871d26d8fa5a0e4c51b93cb95ddce7d</t>
  </si>
  <si>
    <t>10_WAZUH\TFM_WAZUH_VISIBILIDAD_EVIDENCE\ENTREGA_WAZUH_VISIBILIDAD_20260622_114027\RESUMEN_FINAL_WAZUH_BASE_VS_CUSTOM.txt</t>
  </si>
  <si>
    <t>2026-06-22T11:41:17.000Z</t>
  </si>
  <si>
    <t>c1484ee2f9a351491d108ccb34281318b81ddc026a987db65fef34a22f51cfd7</t>
  </si>
  <si>
    <t>10_WAZUH\TFM_WAZUH_VISIBILIDAD_EVIDENCE\ENTREGA_WAZUH_VISIBILIDAD_20260622_114027\rutas_campanas.txt</t>
  </si>
  <si>
    <t>2026-06-22T11:40:27.000Z</t>
  </si>
  <si>
    <t>139d998126427f8400c469d5a19158ad35c2dfbec6d86782dd58b801aca388de</t>
  </si>
  <si>
    <t>10_WAZUH\TFM_WAZUH_VISIBILIDAD_EVIDENCE\ENTREGA_WAZUH_VISIBILIDAD_20260622_114027\SHA256SUMS.txt</t>
  </si>
  <si>
    <t>2026-06-22T11:41:23.000Z</t>
  </si>
  <si>
    <t>188110f446021692632cf0a71e686f7fa46cfd29d25ddc2700ad13d9bc9b8988</t>
  </si>
  <si>
    <t>10_WAZUH\TFM_WAZUH_VISIBILIDAD_EVIDENCE\TFM_WAZUH_VISIBILIDAD_EVIDENCE.tar.gz.sha256</t>
  </si>
  <si>
    <t>2026-06-22T11:43:56.700Z</t>
  </si>
  <si>
    <t>5adddce15dfd60258f4f3379efd68192a4cb8d38a7fc81fbcf7e81bdbc808694</t>
  </si>
  <si>
    <t>GRAFICAS - memoria</t>
  </si>
  <si>
    <t>FAIL</t>
  </si>
  <si>
    <t>SKIPPED</t>
  </si>
  <si>
    <t>HITS</t>
  </si>
  <si>
    <t>metrica</t>
  </si>
  <si>
    <t>base</t>
  </si>
  <si>
    <t>custom</t>
  </si>
  <si>
    <t>archives</t>
  </si>
  <si>
    <t>alerts</t>
  </si>
  <si>
    <t>Ruido/FP</t>
  </si>
  <si>
    <t>Heatmap visibilidad por TEC y fuente</t>
  </si>
  <si>
    <t>cobertura y gaps</t>
  </si>
  <si>
    <t>Cobertura global</t>
  </si>
  <si>
    <t>P2, P3, P4</t>
  </si>
  <si>
    <t>P1, P2, P3, P4</t>
  </si>
  <si>
    <t>P2, P3</t>
  </si>
  <si>
    <t>P1, P2, P3</t>
  </si>
  <si>
    <t>Custom</t>
  </si>
  <si>
    <t>Client_Event</t>
  </si>
  <si>
    <t>Correcto</t>
  </si>
  <si>
    <t>Visible por proceso y eventos PowerShell 4104; detección básica, requiere contexto sobre parámetros y script blocks.</t>
  </si>
  <si>
    <t>Visible por ejecución de cmd.exe y línea de comandos; detección básica, con riesgo de confusión con administración legítima.</t>
  </si>
  <si>
    <t>Visible por schtasks.exe y ciclo de creación, ejecución y eliminación; requiere diferenciar tarea temporal benigna de persistencia real.</t>
  </si>
  <si>
    <t>Visible parcialmente por actividad de registro; requiere correlación entre clave Run, valor configurado y proceso asociado.</t>
  </si>
  <si>
    <t>Evidencia fuerte por Windows Event ID 7045; detección sólida al combinar ServiceName, ImagePath y contexto temporal.</t>
  </si>
  <si>
    <t>Visible por PowerShell/WMI/WMIC y eventos 4104; requiere contexto para evitar clasificar consultas administrativas como maliciosas.</t>
  </si>
  <si>
    <t>Visible por PowerShell 4104, creación de ficheros .aes y escritura en disco; emulación controlada, no ransomware real.</t>
  </si>
  <si>
    <t>Visible por PowerShell 4104 y Sysmon Event ID 26; requiere agregación para evitar ruido por borrado masivo de ficheros.</t>
  </si>
  <si>
    <t>Visible por staging, ZIP y actividad HTTP; upload documentado con HTTP 200 y hash, pero con limitación si no existe receiver log o ZIP recibido.</t>
  </si>
  <si>
    <t>Dashboard definitivo · Velociraptor HIDS/DFIR</t>
  </si>
  <si>
    <t>Cierre 12/07/2026: custom P1-P4, artifacts públicos, falsos positivos y Wazuh; capas metodológicas separadas.</t>
  </si>
  <si>
    <t>Campañas públicas ejecutadas</t>
  </si>
  <si>
    <t>Seis artifacts públicos con ventanas TEC/FP trazables.</t>
  </si>
  <si>
    <t>Campañas positivas</t>
  </si>
  <si>
    <t>ProcessCreation, ServiceCreation, SysmonLogForward, Hayabusa.Monitoring CH y TrackNetworkConnections.</t>
  </si>
  <si>
    <t>Negativos válidos</t>
  </si>
  <si>
    <t>Ninguna campaña cumple todos los requisitos para este estado.</t>
  </si>
  <si>
    <t>No concluyentes</t>
  </si>
  <si>
    <t>ETW: faltan runner/log/summary TEC y manifiesto de parámetros.</t>
  </si>
  <si>
    <t>Eventos públicos TEC canónicos</t>
  </si>
  <si>
    <t>Deduplicados y filtrados por ventana; 521 filas raw en ventana. Capas heterogéneas, no sumar como detecciones.</t>
  </si>
  <si>
    <t>Filas públicas FP en ventana</t>
  </si>
  <si>
    <t>Telemetría/coincidencias observadas; no equivalen todas a falsos positivos.</t>
  </si>
  <si>
    <t>FP Hayabusa CH</t>
  </si>
  <si>
    <t>4 matches / 1 caso</t>
  </si>
  <si>
    <t>Cuatro high, cero critical; tres eventos subyacentes, todos ligados a FP-003 benigno.</t>
  </si>
  <si>
    <t>Visibilidad pública por TEC</t>
  </si>
  <si>
    <t>9/9</t>
  </si>
  <si>
    <t>ProcessCreation y fuentes forenses aportan telemetría; no implica detección.</t>
  </si>
  <si>
    <t>Detección pública CH específica</t>
  </si>
  <si>
    <t>3/9</t>
  </si>
  <si>
    <t>TEC-001, TEC-003 y TEC-005 con coincidencias high; no existe campaña CHM separada.</t>
  </si>
  <si>
    <t>Detección custom CLIENT_EVENT</t>
  </si>
  <si>
    <t>P1/P2/P3/P4; 379 filas consolidadas.</t>
  </si>
  <si>
    <t>Detección Wazuh específica</t>
  </si>
  <si>
    <t>4/9</t>
  </si>
  <si>
    <t>TEC-001, TEC-005, TEC-007 y TEC-008 con reglas 110xxx &gt; 0; TEC-009 mantiene gap.</t>
  </si>
  <si>
    <t>HTTP 200 confirmado</t>
  </si>
  <si>
    <t>Runner: UploadSucceeded=True, ZIP 6245 B y SHA-256; TrackNetwork observa destino sin PID/proceso atribuible.</t>
  </si>
  <si>
    <t>Campaña final pública cerrada el 12/07/2026; detalle y fuentes integrados.</t>
  </si>
  <si>
    <t>Resultados FP custom y públicos; separar telemetría de detección injustificada.</t>
  </si>
  <si>
    <t>Libro definitivo consolidado con campañas públicas de 12/07/2026 y preservación íntegra de custom, FP y Wazuh.</t>
  </si>
  <si>
    <t>Fecha de revisión final</t>
  </si>
  <si>
    <t>2026-07-12 (Europe/Madrid)</t>
  </si>
  <si>
    <t>Artifacts públicos</t>
  </si>
  <si>
    <t>04_EVIDENCE\PRUEBAS_CON_ARTIFACTS_PUBLICOS; 6/6 campañas, 112 ficheros, ventanas TEC/FP.</t>
  </si>
  <si>
    <t>Criterio público</t>
  </si>
  <si>
    <t>Configuración / criterio</t>
  </si>
  <si>
    <t>Ventana TEC UTC</t>
  </si>
  <si>
    <t>Ventana FP UTC</t>
  </si>
  <si>
    <t>Filas TEC</t>
  </si>
  <si>
    <t>Filas FP</t>
  </si>
  <si>
    <t>FP CH high/critical</t>
  </si>
  <si>
    <t>Casos FP</t>
  </si>
  <si>
    <t>Fuentes exactas</t>
  </si>
  <si>
    <t>Resultado campaña</t>
  </si>
  <si>
    <t>Limitación / anomalía</t>
  </si>
  <si>
    <t>Sí (Sigma CH)</t>
  </si>
  <si>
    <t>No confirmada</t>
  </si>
  <si>
    <t>TEC-001/003/005 en CH high</t>
  </si>
  <si>
    <t>Positivo con FP; no extrapolar niveles inferiores</t>
  </si>
  <si>
    <t>Control planificado Critical/High/Stable; configuración efectiva no preservada</t>
  </si>
  <si>
    <t>2026-07-12T13:25:03.318Z–13:31:18.641Z</t>
  </si>
  <si>
    <t>2026-07-12T13:41:00.378Z–13:41:29.197Z</t>
  </si>
  <si>
    <t>04_EVIDENCE\PRUEBAS_CON_ARTIFACTS_PUBLICOS\04_HayabusaMonitoring_CH\Windows.Hayabusa.Monitoring_REAL.json | ..._FP.json | ventanas</t>
  </si>
  <si>
    <t>POSITIVO</t>
  </si>
  <si>
    <t>185 matches canónicos/187 filas raw TEC: high=7, critical=0. FP CH: 4 high/3 eventos/FP-003. No existe campaña CHM.</t>
  </si>
  <si>
    <t>Sí: 7045</t>
  </si>
  <si>
    <t>No: 7045 aporta visibilidad, no atribuye malicia</t>
  </si>
  <si>
    <t>Creación de servicio observada</t>
  </si>
  <si>
    <t>Event ID 7045</t>
  </si>
  <si>
    <t>2026-07-12T12:26:12.998Z–12:33:05.540Z</t>
  </si>
  <si>
    <t>2026-07-12T12:37:57.100Z–12:38:39.571Z</t>
  </si>
  <si>
    <t>04_EVIDENCE\PRUEBAS_CON_ARTIFACTS_PUBLICOS\02_ServiceCreation\Windows.Events.ServiceCreation_REAL.json | ..._FP.json | summary TEC</t>
  </si>
  <si>
    <t>StartExit=1053 esperado para wrapper cmd.exe; no invalida la creación observada ni el 7045.</t>
  </si>
  <si>
    <t>Telemetría de procesos</t>
  </si>
  <si>
    <t>Monitoring; CommandLine/parent/PID</t>
  </si>
  <si>
    <t>2026-07-12T11:50:43.356Z–11:58:00.217Z</t>
  </si>
  <si>
    <t>2026-07-12T12:01:47.092Z–12:02:15.729Z</t>
  </si>
  <si>
    <t>04_EVIDENCE\PRUEBAS_CON_ARTIFACTS_PUBLICOS\01_ProcessCreation\Windows.Events.ProcessCreation_REAL.json | ..._FP.json | ventanas</t>
  </si>
  <si>
    <t>Proceso observado no equivale a técnica detectada; no usar rutas/nombres TEC como IOC.</t>
  </si>
  <si>
    <t>Contexto TEC-001 a TEC-009</t>
  </si>
  <si>
    <t>Reenvío/forense</t>
  </si>
  <si>
    <t>Sysmon IDs observados 1,3,11,12,13</t>
  </si>
  <si>
    <t>2026-07-12T12:46:16.670Z–12:52:34.859Z</t>
  </si>
  <si>
    <t>2026-07-12T12:55:41.452Z–12:56:21.064Z</t>
  </si>
  <si>
    <t>04_EVIDENCE\PRUEBAS_CON_ARTIFACTS_PUBLICOS\03_SysmonLogForward\Windows.Sysinternals.SysmonLogForward_REAL.json | ..._FP.json | ventanas</t>
  </si>
  <si>
    <t>Sin ID 14/26. Dos ID3 al destino se atribuyen a powershell.exe en esta campaña; siguen siendo visibilidad/forense. ID 26 nunca sería alerta individual.</t>
  </si>
  <si>
    <t>Sin coincidencias</t>
  </si>
  <si>
    <t>No acreditada</t>
  </si>
  <si>
    <t>No atribuible</t>
  </si>
  <si>
    <t>0 filas, evidencia incompleta</t>
  </si>
  <si>
    <t>Parámetros TEC no preservados</t>
  </si>
  <si>
    <t>2026-07-12T14:22:25.782Z–14:30:04.869Z</t>
  </si>
  <si>
    <t>2026-07-12T14:32:20.307Z–14:32:57.519Z</t>
  </si>
  <si>
    <t>04_EVIDENCE\PRUEBAS_CON_ARTIFACTS_PUBLICOS\05_ETWMonitoring\Windows.ETW.Monitoring_REAL.json | ..._FP.json | ventanas</t>
  </si>
  <si>
    <t>NO CONCLUYENTE</t>
  </si>
  <si>
    <t>Faltan runner/log/summary TEC y manifiesto de configuración; no escribir ‘ETW no funciona’ ni ‘negativo válido’.</t>
  </si>
  <si>
    <t>Sí: destino observado</t>
  </si>
  <si>
    <t>Diff added/removed; filtro por _ts</t>
  </si>
  <si>
    <t>2026-07-12T14:43:12.205Z–14:50:12.514Z</t>
  </si>
  <si>
    <t>2026-07-12T14:52:39.396Z–14:53:04.206Z</t>
  </si>
  <si>
    <t>04_EVIDENCE\PRUEBAS_CON_ARTIFACTS_PUBLICOS\06_TrackNetworkConnections\Generic.Events.TrackNetworkConnections_REAL.json | summary TEC</t>
  </si>
  <si>
    <t>TOTAL 6 CAMPAÑAS</t>
  </si>
  <si>
    <t>Totales de filas por campaña; no equivalen a detecciones entre artifacts heterogéneos.</t>
  </si>
  <si>
    <t>Resultado_Campaña</t>
  </si>
  <si>
    <t>Visible; 89 filas TEC / 18 FP en ventana</t>
  </si>
  <si>
    <t>04_EVIDENCE\PRUEBAS_CON_ARTIFACTS_PUBLICOS\01_ProcessCreation\Windows.Events.ProcessCreation_REAL.json</t>
  </si>
  <si>
    <t>Telemetría; no detección por nombre de proceso.</t>
  </si>
  <si>
    <t>VISIBILIDAD</t>
  </si>
  <si>
    <t>1 evento 7045 TEC; 0 FP</t>
  </si>
  <si>
    <t>ServiceName/ImagePath; StartExit=1053 esperado</t>
  </si>
  <si>
    <t>04_EVIDENCE\PRUEBAS_CON_ARTIFACTS_PUBLICOS\02_ServiceCreation\Windows.Events.ServiceCreation_REAL.json</t>
  </si>
  <si>
    <t>Creación observada; visibilidad, no detección de actividad maliciosa.</t>
  </si>
  <si>
    <t>113 filas TEC / 24 FP; IDs 1,3,11,12,13</t>
  </si>
  <si>
    <t>04_EVIDENCE\PRUEBAS_CON_ARTIFACTS_PUBLICOS\03_SysmonLogForward\Windows.Sysinternals.SysmonLogForward_REAL.json</t>
  </si>
  <si>
    <t>Reenvío/forense; sin lógica adicional de detección.</t>
  </si>
  <si>
    <t>VISIBILIDAD / FORENSE</t>
  </si>
  <si>
    <t>Histórico conservado; no forma parte de la campaña RT 12/07</t>
  </si>
  <si>
    <t>Sí histórico</t>
  </si>
  <si>
    <t>HUNT HISTÓRICO</t>
  </si>
  <si>
    <t>NO EJECUTADA; no se añaden resultados Medium</t>
  </si>
  <si>
    <t>NO EJECUTADA</t>
  </si>
  <si>
    <t>SIN CAMPAÑA CHM</t>
  </si>
  <si>
    <t>2 high; detectado CH</t>
  </si>
  <si>
    <t>high</t>
  </si>
  <si>
    <t>04_EVIDENCE\PRUEBAS_CON_ARTIFACTS_PUBLICOS\04_HayabusaMonitoring_CH\Windows.Hayabusa.Monitoring_REAL.json</t>
  </si>
  <si>
    <t>TEC: 185 matches canónicos/187 filas raw; high=7, critical=0. FP: 4 high, 1 caso.</t>
  </si>
  <si>
    <t>Sí CH</t>
  </si>
  <si>
    <t>DETECCIÓN SIGMA CH</t>
  </si>
  <si>
    <t>0 high/critical específicos; niveles inferiores observados no forman campaña separada</t>
  </si>
  <si>
    <t>N/A CH</t>
  </si>
  <si>
    <t>No CH</t>
  </si>
  <si>
    <t>1 high; detectado CH</t>
  </si>
  <si>
    <t>4 high en ventana; 3 atribuibles semánticamente al servicio</t>
  </si>
  <si>
    <t>NO EJECUTADA; no existe campaña CHM separada</t>
  </si>
  <si>
    <t>No ejecutado en campaña final 12/07; conservado como plan/histórico</t>
  </si>
  <si>
    <t>NO APLICABLE</t>
  </si>
  <si>
    <t>FUERA DE CAMPAÑA</t>
  </si>
  <si>
    <t>PUB-FINAL-01</t>
  </si>
  <si>
    <t>Cierre</t>
  </si>
  <si>
    <t>Final</t>
  </si>
  <si>
    <t>TEC-001..009</t>
  </si>
  <si>
    <t>Validar visibilidad</t>
  </si>
  <si>
    <t>Monitoring</t>
  </si>
  <si>
    <t>Filtrado por ventana</t>
  </si>
  <si>
    <t>89 TEC / 18 FP</t>
  </si>
  <si>
    <t>Evento crudo</t>
  </si>
  <si>
    <t>CommandLine/parent/PID</t>
  </si>
  <si>
    <t>...01_ProcessCreation...</t>
  </si>
  <si>
    <t>Telemetría</t>
  </si>
  <si>
    <t>PUB-FINAL-02</t>
  </si>
  <si>
    <t>Validar creación</t>
  </si>
  <si>
    <t>1 TEC / 0 FP</t>
  </si>
  <si>
    <t>ServiceName/ImagePath</t>
  </si>
  <si>
    <t>...02_ServiceCreation...</t>
  </si>
  <si>
    <t>1053 esperado</t>
  </si>
  <si>
    <t>PUB-FINAL-03</t>
  </si>
  <si>
    <t>Sysmon</t>
  </si>
  <si>
    <t>Validar reenvío</t>
  </si>
  <si>
    <t>IDs 1,3,11,12,13</t>
  </si>
  <si>
    <t>113 TEC / 24 FP</t>
  </si>
  <si>
    <t>IDs Sysmon</t>
  </si>
  <si>
    <t>Forense</t>
  </si>
  <si>
    <t>...03_SysmonLogForward...</t>
  </si>
  <si>
    <t>Sin ID14/26</t>
  </si>
  <si>
    <t>FORENSE</t>
  </si>
  <si>
    <t>PUB-FINAL-04</t>
  </si>
  <si>
    <t>Sigma</t>
  </si>
  <si>
    <t>Validar CH</t>
  </si>
  <si>
    <t>Plan CH; config efectiva no acreditada</t>
  </si>
  <si>
    <t>Filtrado/deduplicado</t>
  </si>
  <si>
    <t>185 TEC / 73 FP</t>
  </si>
  <si>
    <t>RuleTitle</t>
  </si>
  <si>
    <t>7 high TEC; 4 high FP</t>
  </si>
  <si>
    <t>...04_HayabusaMonitoring_CH...</t>
  </si>
  <si>
    <t>187 raw; no CHM</t>
  </si>
  <si>
    <t>Sí CH 3/9</t>
  </si>
  <si>
    <t>DETECCIÓN SIGMA</t>
  </si>
  <si>
    <t>PUB-FINAL-05</t>
  </si>
  <si>
    <t>ETW/Sigma</t>
  </si>
  <si>
    <t>Validar ETW</t>
  </si>
  <si>
    <t>No preservada</t>
  </si>
  <si>
    <t>Ventanas y exports</t>
  </si>
  <si>
    <t>0 TEC / 0 FP</t>
  </si>
  <si>
    <t>Exports vacíos</t>
  </si>
  <si>
    <t>Indeterminado</t>
  </si>
  <si>
    <t>...05_ETWMonitoring...</t>
  </si>
  <si>
    <t>Falta runner/config TEC</t>
  </si>
  <si>
    <t>PUB-FINAL-06</t>
  </si>
  <si>
    <t>Conexiones</t>
  </si>
  <si>
    <t>T1048.003 contextual</t>
  </si>
  <si>
    <t>Exfiltration</t>
  </si>
  <si>
    <t>Validar destino</t>
  </si>
  <si>
    <t>Diff + _ts</t>
  </si>
  <si>
    <t>Filtrado por _ts</t>
  </si>
  <si>
    <t>128 TEC / 12 FP</t>
  </si>
  <si>
    <t>3 filas destino</t>
  </si>
  <si>
    <t>Contextual</t>
  </si>
  <si>
    <t>192.168.1.129:8088</t>
  </si>
  <si>
    <t>...06_TrackNetworkConnections...</t>
  </si>
  <si>
    <t>131 raw; PID0/ProcInfo vacío</t>
  </si>
  <si>
    <t>No por artifact</t>
  </si>
  <si>
    <t>VISIBILIDAD RED</t>
  </si>
  <si>
    <t>Sí: proceso (visibilidad)</t>
  </si>
  <si>
    <t>ID1</t>
  </si>
  <si>
    <t>2 high CH</t>
  </si>
  <si>
    <t>Detección CH específica</t>
  </si>
  <si>
    <t>TEC-001: PowerShell Base64</t>
  </si>
  <si>
    <t>Custom P1-P4 se conserva como cobertura final</t>
  </si>
  <si>
    <t>Cubierto por custom validado</t>
  </si>
  <si>
    <t>0 high/critical</t>
  </si>
  <si>
    <t>Visibilidad, sin detección CH</t>
  </si>
  <si>
    <t>Reglas low; no CH</t>
  </si>
  <si>
    <t>1 high CH</t>
  </si>
  <si>
    <t>ID12/13</t>
  </si>
  <si>
    <t>Run Key en medium; no CH</t>
  </si>
  <si>
    <t>ID1/13 + 7045</t>
  </si>
  <si>
    <t>4 high en ventana; 3 semánticos</t>
  </si>
  <si>
    <t>Servicio/7045</t>
  </si>
  <si>
    <t>WMIC low/medium; no CH</t>
  </si>
  <si>
    <t>ID11/proceso</t>
  </si>
  <si>
    <t>Visibilidad, sin detección CH específica</t>
  </si>
  <si>
    <t>Reglas genéricas; no cifrado específico</t>
  </si>
  <si>
    <t>Sin ID26 en ventana</t>
  </si>
  <si>
    <t>ID26 no observado; sería forense</t>
  </si>
  <si>
    <t>ID1/3/11 + red</t>
  </si>
  <si>
    <t>TrackNetwork: 3 filas destino por _ts; PID=0</t>
  </si>
  <si>
    <t>Visibilidad red; sin detección CH</t>
  </si>
  <si>
    <t>3 filas destino; HTTP 200 runner</t>
  </si>
  <si>
    <t>ProcessCreation visible + Hayabusa CH: 2 high</t>
  </si>
  <si>
    <t>ProcessCreation/Sysmon visibles; 0 high/critical CH</t>
  </si>
  <si>
    <t>ProcessCreation visible + Hayabusa CH: 1 high</t>
  </si>
  <si>
    <t>Sysmon 12/13 visible; reglas medium fuera de CH</t>
  </si>
  <si>
    <t>ServiceCreation 7045 + Hayabusa: 4 high (3 semánticos)</t>
  </si>
  <si>
    <t>WMIC/proceso visible; 0 high/critical CH</t>
  </si>
  <si>
    <t>Proceso/ID11 y reglas genéricas; sin regla CH específica de cifrado</t>
  </si>
  <si>
    <t>Proceso visible; sin ID26 y sin regla CH específica de destrucción</t>
  </si>
  <si>
    <t>TrackNetwork: 3 filas destino sin PID; runner HTTP 200/UploadSucceeded=True</t>
  </si>
  <si>
    <t>Hayabusa.Monitoring CH es el único artifact público con detección por reglas; alcanza 3/9 TEC. ServiceCreation aporta visibilidad 7045.</t>
  </si>
  <si>
    <t>ProcessCreation, SysmonLogForward y TrackNetwork aportan visibilidad/forense; no detección por sí solos.</t>
  </si>
  <si>
    <t>0 coincidencias, pero faltan runner/log/summary TEC y manifiesto de parámetros; no se clasifica como negativo válido.</t>
  </si>
  <si>
    <t>HTTP 200 confirmado por runner</t>
  </si>
  <si>
    <t>UploadSucceeded=True; ZIP 6245 B; SHA-256 y ReceiverResponse coinciden. TrackNetwork observa destino sin PID/proceso.</t>
  </si>
  <si>
    <t>5 positivos / 1 no concluyente</t>
  </si>
  <si>
    <t>Públicos: visibilidad 9/9; detección CH específica 3/9; 4 FP high en 1 caso benigno.</t>
  </si>
  <si>
    <t>Seis carpetas esperadas presentes.</t>
  </si>
  <si>
    <t>Campañas públicas positivas</t>
  </si>
  <si>
    <t>ETW queda no concluyente.</t>
  </si>
  <si>
    <t>Campañas públicas no concluyentes</t>
  </si>
  <si>
    <t>ETW: evidencia TEC incompleta.</t>
  </si>
  <si>
    <t>521 filas raw; no equivalen todas a detecciones.</t>
  </si>
  <si>
    <t>Telemetría/coincidencias; capas separadas.</t>
  </si>
  <si>
    <t>TEC detectadas por Hayabusa CH</t>
  </si>
  <si>
    <t>TEC-001/003/005; high=7, critical=0.</t>
  </si>
  <si>
    <t>4 high, 3 eventos subyacentes, 1 caso FP-003.</t>
  </si>
  <si>
    <t>TrackNetwork TEC-009</t>
  </si>
  <si>
    <t>Salida externa TEC-009</t>
  </si>
  <si>
    <t>HTTP 200</t>
  </si>
  <si>
    <t>PUB-FP-01</t>
  </si>
  <si>
    <t>Ventana FP</t>
  </si>
  <si>
    <t>No detección</t>
  </si>
  <si>
    <t>18 eventos</t>
  </si>
  <si>
    <t>NO FP</t>
  </si>
  <si>
    <t>Proceso observado no es detección.</t>
  </si>
  <si>
    <t>PUB-FP-02</t>
  </si>
  <si>
    <t>0 eventos</t>
  </si>
  <si>
    <t>El export raw repetía 7045 TEC fuera de ventana; excluido.</t>
  </si>
  <si>
    <t>PUB-FP-03</t>
  </si>
  <si>
    <t>24 eventos</t>
  </si>
  <si>
    <t>Telemetría IDs 1/3/11; no regla.</t>
  </si>
  <si>
    <t>PUB-FP-04</t>
  </si>
  <si>
    <t>Hayabusa CH</t>
  </si>
  <si>
    <t>FP-003 benigno</t>
  </si>
  <si>
    <t>0 high/critical deseado</t>
  </si>
  <si>
    <t>4 high / 3 eventos</t>
  </si>
  <si>
    <t>FP CONFIRMADO</t>
  </si>
  <si>
    <t>Un caso benigno afectado; 0 critical. 73 filas totales en ventana.</t>
  </si>
  <si>
    <t>PUB-FP-05</t>
  </si>
  <si>
    <t>ETW</t>
  </si>
  <si>
    <t>No evaluable</t>
  </si>
  <si>
    <t>Falta evidencia TEC/configuración para adjudicar campaña.</t>
  </si>
  <si>
    <t>PUB-FP-06</t>
  </si>
  <si>
    <t>TrackNetwork</t>
  </si>
  <si>
    <t>Telemetría red</t>
  </si>
  <si>
    <t>TrackNetworkConnections</t>
  </si>
  <si>
    <t>12 eventos</t>
  </si>
  <si>
    <t>No confundir conexión con alerta injustificada.</t>
  </si>
  <si>
    <t>Campaña Windows.Hayabusa.Monitoring CH · 12/07/2026</t>
  </si>
  <si>
    <t>13:25:03.318–13:31:18.641</t>
  </si>
  <si>
    <t>Matches TEC canónicos</t>
  </si>
  <si>
    <t>187 filas raw</t>
  </si>
  <si>
    <t>Se filtra por ventana y se deduplica con clave semántica.</t>
  </si>
  <si>
    <t>Niveles únicos TEC</t>
  </si>
  <si>
    <t>informational=92; low=38; medium=48; high=7; critical=0</t>
  </si>
  <si>
    <t>Anomalía: salida contiene niveles inferiores pese a control CH.</t>
  </si>
  <si>
    <t>Detección CH por TEC</t>
  </si>
  <si>
    <t>TEC-001, TEC-003, TEC-005</t>
  </si>
  <si>
    <t>Solo high/critical para el veredicto CH.</t>
  </si>
  <si>
    <t>13:41:00.378–13:41:29.197</t>
  </si>
  <si>
    <t>Filas FP en ventana</t>
  </si>
  <si>
    <t>Incluye niveles inferiores observados.</t>
  </si>
  <si>
    <t>FP CH</t>
  </si>
  <si>
    <t>4 high; 0 critical</t>
  </si>
  <si>
    <t>3 eventos subyacentes</t>
  </si>
  <si>
    <t>Un caso benigno: FP-003 Scheduled Task.</t>
  </si>
  <si>
    <t>Campaña CHM</t>
  </si>
  <si>
    <t>Fuente REAL</t>
  </si>
  <si>
    <t>...04_HayabusaMonitoring_CH\Windows.Hayabusa.Monitoring_REAL.json</t>
  </si>
  <si>
    <t>Fuente FP</t>
  </si>
  <si>
    <t>...04_HayabusaMonitoring_CH\Windows.Hayabusa.Monitoring_FP.json</t>
  </si>
  <si>
    <t>POSITIVO CON FP</t>
  </si>
  <si>
    <t>Regla metodológica</t>
  </si>
  <si>
    <t>Coincidencia Sigma=detec.; CLIENT_EVENT=unidad primaria</t>
  </si>
  <si>
    <t>Configuración efectiva no preservada fuera del control del workbook</t>
  </si>
  <si>
    <t>Se reportan niveles realmente observados.</t>
  </si>
  <si>
    <t>CERRADO</t>
  </si>
  <si>
    <t>Auditoría final 12/07/2026.</t>
  </si>
  <si>
    <t>La ejecución final del 12/07 confirma HTTP 200, UploadSucceeded=True, ZIP 6245 B, SHA-256 y bytes del ReceiverResponse.</t>
  </si>
  <si>
    <t>Afirmar transferencia HTTP controlada del runner; separar de la visibilidad TrackNetwork.</t>
  </si>
  <si>
    <t>INC-011</t>
  </si>
  <si>
    <t>La salida contiene niveles informational/low/medium pese al control CH; el veredicto CH usa solo high/critical.</t>
  </si>
  <si>
    <t>No inventar campaña CHM.</t>
  </si>
  <si>
    <t>INC-012</t>
  </si>
  <si>
    <t>ETW vacío</t>
  </si>
  <si>
    <t>0 filas no es negativo válido porque faltan runner/log/summary TEC y parámetros aplicados.</t>
  </si>
  <si>
    <t>Clasificar NO CONCLUYENTE.</t>
  </si>
  <si>
    <t>INC-013</t>
  </si>
  <si>
    <t>Tres filas destino se sitúan en ventana por _ts, pero Timestamp=1601, PID=0 y ProcInfo vacío.</t>
  </si>
  <si>
    <t>No atribuir la conexión a PowerShell.</t>
  </si>
  <si>
    <t>INC-014</t>
  </si>
  <si>
    <t>Filtrado temporal</t>
  </si>
  <si>
    <t>Exports contienen filas fuera de ventana y duplicados; se usan conteos filtrados/deduplicados documentados.</t>
  </si>
  <si>
    <t>No agregar conteos raw.</t>
  </si>
  <si>
    <t>INC-015</t>
  </si>
  <si>
    <t>Capas</t>
  </si>
  <si>
    <t>PUBLICOS_FUERA_DE_VENTANA</t>
  </si>
  <si>
    <t>04_EVIDENCE\PRUEBAS_CON_ARTIFACTS_PUBLICOS</t>
  </si>
  <si>
    <t>Conteos raw superan los conteos canónicos en las seis campañas.</t>
  </si>
  <si>
    <t>Filtrar por ventanas TEC/FP; no sumar raw.</t>
  </si>
  <si>
    <t>HAYABUSA_DUPLICADOS</t>
  </si>
  <si>
    <t>04_HayabusaMonitoring_CH</t>
  </si>
  <si>
    <t>187 filas TEC; 185 matches únicos.</t>
  </si>
  <si>
    <t>Conservar ambos conteos y usar únicos para distribución por nivel.</t>
  </si>
  <si>
    <t>HAYABUSA_CONFIG_SALIDA</t>
  </si>
  <si>
    <t>Control CH, pero salida contiene informational/low/medium.</t>
  </si>
  <si>
    <t>Veredicto CH solo high/critical; no campaña CHM.</t>
  </si>
  <si>
    <t>ETW_EVIDENCIA_TEC_INCOMPLETA</t>
  </si>
  <si>
    <t>05_ETWMonitoring</t>
  </si>
  <si>
    <t>Faltan runner/log/summary TEC y manifiesto de parámetros.</t>
  </si>
  <si>
    <t>NO CONCLUYENTE.</t>
  </si>
  <si>
    <t>TRACKNETWORK_TIMESTAMP_PROCESO</t>
  </si>
  <si>
    <t>06_TrackNetworkConnections</t>
  </si>
  <si>
    <t>Filas objetivo con Timestamp=1601, PID=0 y ProcInfo vacío; _ts sí cae en ventana.</t>
  </si>
  <si>
    <t>Conexión visible sin atribución a proceso.</t>
  </si>
  <si>
    <t>TEC009_CAPAS</t>
  </si>
  <si>
    <t>06_TrackNetworkConnections + summary TEC</t>
  </si>
  <si>
    <t>TrackNetwork ve destino; runner confirma POST HTTP 200/6245 B/hash.</t>
  </si>
  <si>
    <t>No atribuir el éxito HTTP al artifact de red.</t>
  </si>
  <si>
    <t>Artifacts públicos 12/07</t>
  </si>
  <si>
    <t>521 filas heterogéneas en ventana; no comparables con archives/CLIENT_EVENT custom</t>
  </si>
  <si>
    <t>CH high=7; 3/9 TEC específicas; Service 7045=1</t>
  </si>
  <si>
    <t>Incluido en Process/Hayabusa</t>
  </si>
  <si>
    <t>Sysmon ID1 incluido en reenvío</t>
  </si>
  <si>
    <t>Sysmon ID11 incluido en reenvío</t>
  </si>
  <si>
    <t>Service 7045=1</t>
  </si>
  <si>
    <t>No aplica: artifacts públicos</t>
  </si>
  <si>
    <t>Hayabusa FP CH=4 matches/1 caso</t>
  </si>
  <si>
    <t>ETW no concluyente; TrackNetwork sin PID/proceso</t>
  </si>
  <si>
    <t>04_EVIDENCE\PRUEBAS_CON_ARTIFACTS_PUBLICOS\01_ProcessCreation\CLOSED_UTC.txt</t>
  </si>
  <si>
    <t>2026-07-12T12:25:29.110Z</t>
  </si>
  <si>
    <t>9B0FBDD61D32CE749BBDFF1B258B18B8D7C8478BC0893D0234E13D7F4F6F0002</t>
  </si>
  <si>
    <t>PUBLIC_SUPPORT</t>
  </si>
  <si>
    <t>01_ProcessCreation</t>
  </si>
  <si>
    <t>04_EVIDENCE\PRUEBAS_CON_ARTIFACTS_PUBLICOS\01_ProcessCreation\FP_end_utc.txt</t>
  </si>
  <si>
    <t>2026-07-12T12:02:15.729Z</t>
  </si>
  <si>
    <t>494AA6439BE9E8E0DBA076EE605CFF8D9E3EE8CA669CDC724822016D78213923</t>
  </si>
  <si>
    <t>WINDOW_FP</t>
  </si>
  <si>
    <t>04_EVIDENCE\PRUEBAS_CON_ARTIFACTS_PUBLICOS\01_ProcessCreation\FP_start_utc.txt</t>
  </si>
  <si>
    <t>2026-07-12T12:01:47.092Z</t>
  </si>
  <si>
    <t>1835A622EE200465D85D8AF890B5BA9E10B6C751763126DB0C138A42BE612A27</t>
  </si>
  <si>
    <t>04_EVIDENCE\PRUEBAS_CON_ARTIFACTS_PUBLICOS\01_ProcessCreation\SHA256.csv</t>
  </si>
  <si>
    <t>2026-07-12T12:25:29.380Z</t>
  </si>
  <si>
    <t>D0F9085B8720D333D7C4656232F06622CD7ECF91277BD1B48BC4D869120A43B8</t>
  </si>
  <si>
    <t>SOURCE_HASH_MANIFEST</t>
  </si>
  <si>
    <t>04_EVIDENCE\PRUEBAS_CON_ARTIFACTS_PUBLICOS\01_ProcessCreation\TEC_end_utc.txt</t>
  </si>
  <si>
    <t>2026-07-12T11:58:00.230Z</t>
  </si>
  <si>
    <t>067AF1D092C984A6041C44EEA3BD7B2B063E04220CBB60BCD60354D3A75373BE</t>
  </si>
  <si>
    <t>WINDOW_TEC</t>
  </si>
  <si>
    <t>04_EVIDENCE\PRUEBAS_CON_ARTIFACTS_PUBLICOS\01_ProcessCreation\TEC_start_utc.txt</t>
  </si>
  <si>
    <t>2026-07-12T11:50:43.363Z</t>
  </si>
  <si>
    <t>F3F24FE386A713164118528C1635A3A2075D1160B097FAA3FB01AC3D7AC31927</t>
  </si>
  <si>
    <t>04_EVIDENCE\PRUEBAS_CON_ARTIFACTS_PUBLICOS\01_ProcessCreation\TFM_FP_20260712_140147.log</t>
  </si>
  <si>
    <t>2026-07-12T12:02:15.344Z</t>
  </si>
  <si>
    <t>270BC7DE99E3428C6D58A11FF7578043FD56AD92D9CD52480808A5433FAAFDA1</t>
  </si>
  <si>
    <t>04_EVIDENCE\PRUEBAS_CON_ARTIFACTS_PUBLICOS\01_ProcessCreation\TFM_FP_20260712_140147_summary.csv</t>
  </si>
  <si>
    <t>2026-07-12T12:02:15.181Z</t>
  </si>
  <si>
    <t>397A98C1E9D0CDB321F25453A76B4DC97971801CB87F6C8351C451B66707FBD9</t>
  </si>
  <si>
    <t>RUNNER_FP_SUMMARY</t>
  </si>
  <si>
    <t>04_EVIDENCE\PRUEBAS_CON_ARTIFACTS_PUBLICOS\01_ProcessCreation\TFM_FP_20260712_140147_summary.json</t>
  </si>
  <si>
    <t>2026-07-12T12:02:15.225Z</t>
  </si>
  <si>
    <t>2FD97A90C24F5F285324ED0982C70EBFAAA2C6AAEA5E4985C82A77651639CF70</t>
  </si>
  <si>
    <t>04_EVIDENCE\PRUEBAS_CON_ARTIFACTS_PUBLICOS\01_ProcessCreation\TFM_FP_20260712_140147_summary.txt</t>
  </si>
  <si>
    <t>2026-07-12T12:02:15.296Z</t>
  </si>
  <si>
    <t>D12253224AF38FC3680ABA6CB9D6C2CE9925FCA9D7D1BCB45DDFED0111306822</t>
  </si>
  <si>
    <t>04_EVIDENCE\PRUEBAS_CON_ARTIFACTS_PUBLICOS\01_ProcessCreation\TFM_FP_20260712_140147_vr_hits.csv</t>
  </si>
  <si>
    <t>2026-07-12T12:02:15.190Z</t>
  </si>
  <si>
    <t>6D712FCC2666ACDC903FDB17C78D607F811A629D3B5360E63A49639E6DBF32CC</t>
  </si>
  <si>
    <t>FP_HITS_SUPPORT</t>
  </si>
  <si>
    <t>04_EVIDENCE\PRUEBAS_CON_ARTIFACTS_PUBLICOS\01_ProcessCreation\TFM_FP_20260712_140147_vr_hits.txt</t>
  </si>
  <si>
    <t>2026-07-12T12:02:15.313Z</t>
  </si>
  <si>
    <t>F5F226D652D85EF04D3FE6F80A9DB403964AE871E1254B6C2FA94258EE69801C</t>
  </si>
  <si>
    <t>04_EVIDENCE\PRUEBAS_CON_ARTIFACTS_PUBLICOS\01_ProcessCreation\TFM_TEC_Run_CANDIDATE_v5_20260712_135043.log</t>
  </si>
  <si>
    <t>2026-07-12T11:57:59.295Z</t>
  </si>
  <si>
    <t>2645590608FB25C8B5BF5FEE96E36E84B55A872668B8D4FC107AE570223B79F6</t>
  </si>
  <si>
    <t>04_EVIDENCE\PRUEBAS_CON_ARTIFACTS_PUBLICOS\01_ProcessCreation\TFM_TEC_Run_CANDIDATE_v5_20260712_135043_summary.csv</t>
  </si>
  <si>
    <t>2026-07-12T11:57:58.811Z</t>
  </si>
  <si>
    <t>7490CD81704B027A9014EE649DE57FA9C33B9D4D0DF961DFE893757B4E08575F</t>
  </si>
  <si>
    <t>RUNNER_TEC_SUMMARY</t>
  </si>
  <si>
    <t>04_EVIDENCE\PRUEBAS_CON_ARTIFACTS_PUBLICOS\01_ProcessCreation\TFM_TEC_Run_CANDIDATE_v5_20260712_135043_summary.json</t>
  </si>
  <si>
    <t>2026-07-12T11:57:58.643Z</t>
  </si>
  <si>
    <t>E561E1CECAA0077AE99DE008B8CAE3E386EAE5DA90FEDB841E676F92DB530355</t>
  </si>
  <si>
    <t>04_EVIDENCE\PRUEBAS_CON_ARTIFACTS_PUBLICOS\01_ProcessCreation\TFM_TEC_Run_CANDIDATE_v5_20260712_135043_summary.txt</t>
  </si>
  <si>
    <t>9868F253B6FA9C468FF5E8B0FCA31225AD067890638F6A6B9AF864AAC24C1BDA</t>
  </si>
  <si>
    <t>04_EVIDENCE\PRUEBAS_CON_ARTIFACTS_PUBLICOS\01_ProcessCreation\Windows.Events.ProcessCreation_FP.csv</t>
  </si>
  <si>
    <t>2026-07-12T12:14:20.841Z</t>
  </si>
  <si>
    <t>D6617CF8372FCCEBD74239138822F83E3A106C1730661D84C99776714FA017B1</t>
  </si>
  <si>
    <t>PUBLIC_EXPORT_FP</t>
  </si>
  <si>
    <t>04_EVIDENCE\PRUEBAS_CON_ARTIFACTS_PUBLICOS\01_ProcessCreation\Windows.Events.ProcessCreation_FP.json</t>
  </si>
  <si>
    <t>2026-07-12T12:14:29.114Z</t>
  </si>
  <si>
    <t>863A72D901277082157D2E13FF06C417C1FC59EAED02DE60BD0CC72456D1B5DE</t>
  </si>
  <si>
    <t>04_EVIDENCE\PRUEBAS_CON_ARTIFACTS_PUBLICOS\01_ProcessCreation\Windows.Events.ProcessCreation_REAL.csv</t>
  </si>
  <si>
    <t>2026-07-12T12:01:16.972Z</t>
  </si>
  <si>
    <t>0AC92CE526FCE9E2817469A7BBD54819BB2BDAFB447FEADCE06ACA6E73F7976A</t>
  </si>
  <si>
    <t>PUBLIC_EXPORT_TEC</t>
  </si>
  <si>
    <t>2026-07-12T12:01:23.676Z</t>
  </si>
  <si>
    <t>4815AA3BD045E08C4A059AA6C6685C27C2604268A9C6C694CEF8E1415867ACED</t>
  </si>
  <si>
    <t>04_EVIDENCE\PRUEBAS_CON_ARTIFACTS_PUBLICOS\01_ProcessCreation\Windows.Events.ProcessCreation-2026-07-11T18_17_08Z-2026-07-12T18_17_08Z-C.364907172793f8c7.csv</t>
  </si>
  <si>
    <t>04_EVIDENCE\PRUEBAS_CON_ARTIFACTS_PUBLICOS\01_ProcessCreation\Windows.Events.ProcessCreation-2026-07-11T18_17_08Z-2026-07-12T18_17_08Z-C.364907172793f8c7.json</t>
  </si>
  <si>
    <t>04_EVIDENCE\PRUEBAS_CON_ARTIFACTS_PUBLICOS\01_ProcessCreation\Windows.Events.ProcessCreation-2026-07-12T11_59_59Z-2026-07-12T12_10_10Z-C.364907172793f8c7.csv</t>
  </si>
  <si>
    <t>04_EVIDENCE\PRUEBAS_CON_ARTIFACTS_PUBLICOS\01_ProcessCreation\Windows.Events.ProcessCreation-2026-07-12T11_59_59Z-2026-07-12T12_10_10Z-C.364907172793f8c7.json</t>
  </si>
  <si>
    <t>04_EVIDENCE\PRUEBAS_CON_ARTIFACTS_PUBLICOS\02_ServiceCreation\CLOSED_UTC.txt</t>
  </si>
  <si>
    <t>2026-07-12T12:42:39.704Z</t>
  </si>
  <si>
    <t>906B24E79A28B95CB8C8654A92BE058238144461D7D3E75B47CC1A055A96582E</t>
  </si>
  <si>
    <t>02_ServiceCreation</t>
  </si>
  <si>
    <t>04_EVIDENCE\PRUEBAS_CON_ARTIFACTS_PUBLICOS\02_ServiceCreation\FP_end_utc.txt</t>
  </si>
  <si>
    <t>2026-07-12T12:38:39.571Z</t>
  </si>
  <si>
    <t>3489E2D50449AB8BB91CFE0272D58CEABBA3C76B59FC409EB9B6835DDCECA6AA</t>
  </si>
  <si>
    <t>04_EVIDENCE\PRUEBAS_CON_ARTIFACTS_PUBLICOS\02_ServiceCreation\FP_start_utc.txt</t>
  </si>
  <si>
    <t>2026-07-12T12:37:57.099Z</t>
  </si>
  <si>
    <t>3B91E0DD400A90D83AD2E7039D9A143CE139D9F84CF4CB96B6B55AD8C4B45027</t>
  </si>
  <si>
    <t>04_EVIDENCE\PRUEBAS_CON_ARTIFACTS_PUBLICOS\02_ServiceCreation\SHA256.csv</t>
  </si>
  <si>
    <t>2026-07-12T12:42:40.193Z</t>
  </si>
  <si>
    <t>C9D360555997CFC1D99971B67732FFD6CC6C5732F5A113F1C067CD8809C28B11</t>
  </si>
  <si>
    <t>04_EVIDENCE\PRUEBAS_CON_ARTIFACTS_PUBLICOS\02_ServiceCreation\TEC_end_utc.txt</t>
  </si>
  <si>
    <t>2026-07-12T12:33:05.540Z</t>
  </si>
  <si>
    <t>2D12C375827425115EC1BFD9C11B9EF2B8F2D8C16C8DBC1FDE4ED68035BFEA89</t>
  </si>
  <si>
    <t>04_EVIDENCE\PRUEBAS_CON_ARTIFACTS_PUBLICOS\02_ServiceCreation\TEC_start_utc.txt</t>
  </si>
  <si>
    <t>2026-07-12T12:26:12.997Z</t>
  </si>
  <si>
    <t>727289AB0EA3F360B6F6F67FC1EF7C2E2DDDB526C237DFF47DB2A6A47FAD04D3</t>
  </si>
  <si>
    <t>04_EVIDENCE\PRUEBAS_CON_ARTIFACTS_PUBLICOS\02_ServiceCreation\TFM_FP_20260712_143757.log</t>
  </si>
  <si>
    <t>2026-07-12T12:38:39.171Z</t>
  </si>
  <si>
    <t>AAC01AC0B7A871CC85E27D4C7E6AA0A69037844DAC3A03485C87D5A1812A00C7</t>
  </si>
  <si>
    <t>04_EVIDENCE\PRUEBAS_CON_ARTIFACTS_PUBLICOS\02_ServiceCreation\TFM_FP_20260712_143757_summary.csv</t>
  </si>
  <si>
    <t>2026-07-12T12:38:39.062Z</t>
  </si>
  <si>
    <t>1E29308BB7E615F0026A6BF8132F4BC2DF43207504BDF760A21643041B2B41F6</t>
  </si>
  <si>
    <t>04_EVIDENCE\PRUEBAS_CON_ARTIFACTS_PUBLICOS\02_ServiceCreation\TFM_FP_20260712_143757_summary.json</t>
  </si>
  <si>
    <t>0E78AFE89B60B09267D78052580956BAB627CF71C47077EF4CA64B07595AC04C</t>
  </si>
  <si>
    <t>04_EVIDENCE\PRUEBAS_CON_ARTIFACTS_PUBLICOS\02_ServiceCreation\TFM_FP_20260712_143757_summary.txt</t>
  </si>
  <si>
    <t>2026-07-12T12:38:39.097Z</t>
  </si>
  <si>
    <t>D8BEB26B83C2109CB6DA9E5F3122920AA3109E8473A4470B5D645550C89B1D8C</t>
  </si>
  <si>
    <t>04_EVIDENCE\PRUEBAS_CON_ARTIFACTS_PUBLICOS\02_ServiceCreation\TFM_FP_20260712_143757_vr_hits.csv</t>
  </si>
  <si>
    <t>04_EVIDENCE\PRUEBAS_CON_ARTIFACTS_PUBLICOS\02_ServiceCreation\TFM_FP_20260712_143757_vr_hits.txt</t>
  </si>
  <si>
    <t>2026-07-12T12:38:39.117Z</t>
  </si>
  <si>
    <t>5205C8E95EAA41786E609050A2C80239579B143D0A2BB3DA14E4B6FDCE8A30E3</t>
  </si>
  <si>
    <t>04_EVIDENCE\PRUEBAS_CON_ARTIFACTS_PUBLICOS\02_ServiceCreation\TFM_TEC_Run_CANDIDATE_v5_20260712_142613.log</t>
  </si>
  <si>
    <t>2026-07-12T12:33:05.324Z</t>
  </si>
  <si>
    <t>DAA62494A749829A9096A3839BB2C73B6AC2E92C0B2D007E2417CEB925167588</t>
  </si>
  <si>
    <t>04_EVIDENCE\PRUEBAS_CON_ARTIFACTS_PUBLICOS\02_ServiceCreation\TFM_TEC_Run_CANDIDATE_v5_20260712_142613_summary.csv</t>
  </si>
  <si>
    <t>2026-07-12T12:33:05.149Z</t>
  </si>
  <si>
    <t>D0A6BE96D5CCE2E6D5F01E679DF10965865FF831C109B2DC60E11245C35EC7AC</t>
  </si>
  <si>
    <t>04_EVIDENCE\PRUEBAS_CON_ARTIFACTS_PUBLICOS\02_ServiceCreation\TFM_TEC_Run_CANDIDATE_v5_20260712_142613_summary.json</t>
  </si>
  <si>
    <t>2026-07-12T12:33:05.049Z</t>
  </si>
  <si>
    <t>D4635B06F60CF31E9B5994E1C5CE2A4F83DC5E8B06A4A15CD6A6150C4B85C7AC</t>
  </si>
  <si>
    <t>04_EVIDENCE\PRUEBAS_CON_ARTIFACTS_PUBLICOS\02_ServiceCreation\TFM_TEC_Run_CANDIDATE_v5_20260712_142613_summary.txt</t>
  </si>
  <si>
    <t>2026-07-12T12:33:05.140Z</t>
  </si>
  <si>
    <t>57551FD3258BE5C7B3154DB806CE7F154FCA0ADE8322C88EAC59847623165585</t>
  </si>
  <si>
    <t>04_EVIDENCE\PRUEBAS_CON_ARTIFACTS_PUBLICOS\02_ServiceCreation\Windows.Events.ServiceCreation_FP.csv</t>
  </si>
  <si>
    <t>2026-07-12T12:42:10.561Z</t>
  </si>
  <si>
    <t>CEF90BF57B1E9F6DF655046CBD63EA10EBDED736DB09DD1B413EE402714EE0E2</t>
  </si>
  <si>
    <t>04_EVIDENCE\PRUEBAS_CON_ARTIFACTS_PUBLICOS\02_ServiceCreation\Windows.Events.ServiceCreation_FP.json</t>
  </si>
  <si>
    <t>2026-07-12T12:42:19.132Z</t>
  </si>
  <si>
    <t>0E88D5A30F839AB41112DCC691AB2244DB20AF72977BB33F0A3BD1D9BF4B8E88</t>
  </si>
  <si>
    <t>04_EVIDENCE\PRUEBAS_CON_ARTIFACTS_PUBLICOS\02_ServiceCreation\Windows.Events.ServiceCreation_REAL.csv</t>
  </si>
  <si>
    <t>2026-07-12T12:35:42.258Z</t>
  </si>
  <si>
    <t>3CEB993C20A7394F40980C743F34CA81556E71C806C851BF5A513D59C74972F3</t>
  </si>
  <si>
    <t>2026-07-12T12:35:50.180Z</t>
  </si>
  <si>
    <t>04_EVIDENCE\PRUEBAS_CON_ARTIFACTS_PUBLICOS\03_SysmonLogForward\FP_end_utc.txt</t>
  </si>
  <si>
    <t>2026-07-12T12:56:21.063Z</t>
  </si>
  <si>
    <t>169CCCE02D0237DAD8EC7D5A0C75967C36B6C0A33C04AAF54B4C3466B3E24E71</t>
  </si>
  <si>
    <t>03_SysmonLogForward</t>
  </si>
  <si>
    <t>04_EVIDENCE\PRUEBAS_CON_ARTIFACTS_PUBLICOS\03_SysmonLogForward\FP_start_utc.txt</t>
  </si>
  <si>
    <t>2026-07-12T12:55:41.452Z</t>
  </si>
  <si>
    <t>E6D04C49317B41859D2514AFDD4825628A480DB5A1CFE8BB5C59712A2C20E186</t>
  </si>
  <si>
    <t>04_EVIDENCE\PRUEBAS_CON_ARTIFACTS_PUBLICOS\03_SysmonLogForward\TEC_end_utc.txt</t>
  </si>
  <si>
    <t>2026-07-12T12:52:34.859Z</t>
  </si>
  <si>
    <t>EF902DE9A3657F01EE0D68396B712F1F079A9AACD70B8E4787FA1AEE6392AF64</t>
  </si>
  <si>
    <t>04_EVIDENCE\PRUEBAS_CON_ARTIFACTS_PUBLICOS\03_SysmonLogForward\TEC_start_utc.txt</t>
  </si>
  <si>
    <t>2026-07-12T12:46:16.673Z</t>
  </si>
  <si>
    <t>1E2F90DC3A74EBD6DFFA1FB15BB7C8BC8943AB30F3A59068A73148B0CEF97042</t>
  </si>
  <si>
    <t>04_EVIDENCE\PRUEBAS_CON_ARTIFACTS_PUBLICOS\03_SysmonLogForward\TFM_FP_20260712_145541.log</t>
  </si>
  <si>
    <t>2026-07-12T12:56:19.773Z</t>
  </si>
  <si>
    <t>40ABD17DCB33806CB18B63E79DA26E79FF0E87C44EDF36160FA8CE0E2CC293A0</t>
  </si>
  <si>
    <t>04_EVIDENCE\PRUEBAS_CON_ARTIFACTS_PUBLICOS\03_SysmonLogForward\TFM_FP_20260712_145541_summary.csv</t>
  </si>
  <si>
    <t>2026-07-12T12:56:19.534Z</t>
  </si>
  <si>
    <t>03516F7C728895DD8FD3A6F5099626133E5A2A1E3CAEF5123618D8F41FBD2424</t>
  </si>
  <si>
    <t>04_EVIDENCE\PRUEBAS_CON_ARTIFACTS_PUBLICOS\03_SysmonLogForward\TFM_FP_20260712_145541_summary.json</t>
  </si>
  <si>
    <t>2026-07-12T12:56:19.565Z</t>
  </si>
  <si>
    <t>B8F43C80309B8D88BFAB5DE4D74DB6C64F949C13E126F718CE8363C92FBE3C4D</t>
  </si>
  <si>
    <t>04_EVIDENCE\PRUEBAS_CON_ARTIFACTS_PUBLICOS\03_SysmonLogForward\TFM_FP_20260712_145541_summary.txt</t>
  </si>
  <si>
    <t>CEBEA80B2F34114565C5FDFC983875B246A7188F7C3D47DC38DF7A82ADA0D1F1</t>
  </si>
  <si>
    <t>04_EVIDENCE\PRUEBAS_CON_ARTIFACTS_PUBLICOS\03_SysmonLogForward\TFM_FP_20260712_145541_vr_hits.csv</t>
  </si>
  <si>
    <t>2026-07-12T12:56:19.545Z</t>
  </si>
  <si>
    <t>04_EVIDENCE\PRUEBAS_CON_ARTIFACTS_PUBLICOS\03_SysmonLogForward\TFM_FP_20260712_145541_vr_hits.txt</t>
  </si>
  <si>
    <t>EF891410DBCFBF2DF39BA11E014BC63B6D2E79B0448509FB9571E81395C5B332</t>
  </si>
  <si>
    <t>04_EVIDENCE\PRUEBAS_CON_ARTIFACTS_PUBLICOS\03_SysmonLogForward\TFM_TEC_Run_CANDIDATE_v5_20260712_144616.log</t>
  </si>
  <si>
    <t>2026-07-12T12:52:33.616Z</t>
  </si>
  <si>
    <t>739C86C3802C7CA96957A1DAEB5D45B1D063CDA495282490249518EBF692E421</t>
  </si>
  <si>
    <t>04_EVIDENCE\PRUEBAS_CON_ARTIFACTS_PUBLICOS\03_SysmonLogForward\TFM_TEC_Run_CANDIDATE_v5_20260712_144616_summary.csv</t>
  </si>
  <si>
    <t>2026-07-12T12:52:32.774Z</t>
  </si>
  <si>
    <t>CF17A9DC1D9DD69E6CE31C7471C65EB0B4FA78FBA73E85C6B4FDC3D5569EC42A</t>
  </si>
  <si>
    <t>04_EVIDENCE\PRUEBAS_CON_ARTIFACTS_PUBLICOS\03_SysmonLogForward\TFM_TEC_Run_CANDIDATE_v5_20260712_144616_summary.json</t>
  </si>
  <si>
    <t>2026-07-12T12:52:32.394Z</t>
  </si>
  <si>
    <t>A97A921A41CD3AF02B8057FB2B828AEE7DDF4B25EDC506A0E3A56078C312DCA5</t>
  </si>
  <si>
    <t>04_EVIDENCE\PRUEBAS_CON_ARTIFACTS_PUBLICOS\03_SysmonLogForward\TFM_TEC_Run_CANDIDATE_v5_20260712_144616_summary.txt</t>
  </si>
  <si>
    <t>6D70088185FE4A0677F56F76415B820205585563EF9DD4A4CF09F35D95332961</t>
  </si>
  <si>
    <t>04_EVIDENCE\PRUEBAS_CON_ARTIFACTS_PUBLICOS\03_SysmonLogForward\Windows.Sysinternals.SysmonLogForward_FP.csv</t>
  </si>
  <si>
    <t>2026-07-12T13:00:13.575Z</t>
  </si>
  <si>
    <t>A04627D54E7EFCF0DCDB495D78DF1CCB1C07D2070A4009E4C0C8F5746EC72990</t>
  </si>
  <si>
    <t>04_EVIDENCE\PRUEBAS_CON_ARTIFACTS_PUBLICOS\03_SysmonLogForward\Windows.Sysinternals.SysmonLogForward_FP.json</t>
  </si>
  <si>
    <t>2026-07-12T13:00:26.480Z</t>
  </si>
  <si>
    <t>EF9BD911B884EA6667D2CC63D577BF263CB29F60A2E83142ADEF517C5EC8D3F9</t>
  </si>
  <si>
    <t>04_EVIDENCE\PRUEBAS_CON_ARTIFACTS_PUBLICOS\03_SysmonLogForward\Windows.Sysinternals.SysmonLogForward_REAL.csv</t>
  </si>
  <si>
    <t>2026-07-12T12:55:26.936Z</t>
  </si>
  <si>
    <t>4124A68DD252ADBB1E348BD36F669EFFE989BEC190BFF96068E7FBF700A4A1AA</t>
  </si>
  <si>
    <t>2026-07-12T12:55:35.600Z</t>
  </si>
  <si>
    <t>74024007455405D7791A081DD20B32BABAFF3D8B6FDDF72D72FB81821C7218ED</t>
  </si>
  <si>
    <t>04_EVIDENCE\PRUEBAS_CON_ARTIFACTS_PUBLICOS\04_HayabusaMonitoring_CH\FP_end_utc.txt</t>
  </si>
  <si>
    <t>2026-07-12T13:41:29.199Z</t>
  </si>
  <si>
    <t>F45FAAB8DCB505ABEBFA7D73DBFBDA97FA3C62773AF6CE7C9AD334B2847C4CF1</t>
  </si>
  <si>
    <t>04_EVIDENCE\PRUEBAS_CON_ARTIFACTS_PUBLICOS\04_HayabusaMonitoring_CH\FP_start_utc.txt</t>
  </si>
  <si>
    <t>2026-07-12T13:41:00.382Z</t>
  </si>
  <si>
    <t>C0F9055C69EE7C1A5C58505A9FED1DF23575CD1E0E84A5EEE472BD208E9072FE</t>
  </si>
  <si>
    <t>04_EVIDENCE\PRUEBAS_CON_ARTIFACTS_PUBLICOS\04_HayabusaMonitoring_CH\TEC_end_utc.txt</t>
  </si>
  <si>
    <t>2026-07-12T13:31:18.641Z</t>
  </si>
  <si>
    <t>D1BDBB4EBD3BB3F99F25D4B4FFCF5C418AFB84E43763D22A2DDD8E04FD82E1F4</t>
  </si>
  <si>
    <t>04_EVIDENCE\PRUEBAS_CON_ARTIFACTS_PUBLICOS\04_HayabusaMonitoring_CH\TEC_start_utc.txt</t>
  </si>
  <si>
    <t>2026-07-12T13:25:03.319Z</t>
  </si>
  <si>
    <t>94EBD975A70BBB9378139F86EC60C5444840689F960B4E1AC279A908AD2BA8DE</t>
  </si>
  <si>
    <t>04_EVIDENCE\PRUEBAS_CON_ARTIFACTS_PUBLICOS\04_HayabusaMonitoring_CH\TFM_FP_20260712_154100.log</t>
  </si>
  <si>
    <t>2026-07-12T13:41:28.934Z</t>
  </si>
  <si>
    <t>FCF2E716D08ED40CFFA9EF2E6F3C0459388F8FECD3095338E725984C3097F8A7</t>
  </si>
  <si>
    <t>04_EVIDENCE\PRUEBAS_CON_ARTIFACTS_PUBLICOS\04_HayabusaMonitoring_CH\TFM_FP_20260712_154100_summary.csv</t>
  </si>
  <si>
    <t>2026-07-12T13:41:28.850Z</t>
  </si>
  <si>
    <t>2343ECA1CCDEF936AF4CEDE481FB8A9F6C7B7506D660C20E79A4398226095DCE</t>
  </si>
  <si>
    <t>04_EVIDENCE\PRUEBAS_CON_ARTIFACTS_PUBLICOS\04_HayabusaMonitoring_CH\TFM_FP_20260712_154100_summary.json</t>
  </si>
  <si>
    <t>F2D3669760831D4C8B188D99D1D36AC6326D544FB3EE215998657D6B42FA4534</t>
  </si>
  <si>
    <t>04_EVIDENCE\PRUEBAS_CON_ARTIFACTS_PUBLICOS\04_HayabusaMonitoring_CH\TFM_FP_20260712_154100_summary.txt</t>
  </si>
  <si>
    <t>C7346F06B9E53483F2CB283D76ED5A5A43072162428D369D40F1118BC3499FE4</t>
  </si>
  <si>
    <t>04_EVIDENCE\PRUEBAS_CON_ARTIFACTS_PUBLICOS\04_HayabusaMonitoring_CH\TFM_FP_20260712_154100_vr_hits.csv</t>
  </si>
  <si>
    <t>04_EVIDENCE\PRUEBAS_CON_ARTIFACTS_PUBLICOS\04_HayabusaMonitoring_CH\TFM_FP_20260712_154100_vr_hits.txt</t>
  </si>
  <si>
    <t>51BC47C62D8B76123A067E445021C26B7C0177B1C70AFFBBA33E162668C28C98</t>
  </si>
  <si>
    <t>04_EVIDENCE\PRUEBAS_CON_ARTIFACTS_PUBLICOS\04_HayabusaMonitoring_CH\TFM_TEC_Run_CANDIDATE_v5_20260712_152503.log</t>
  </si>
  <si>
    <t>2026-07-12T13:31:17.995Z</t>
  </si>
  <si>
    <t>4469D679994BFBE672DE58B36DE2C79731A64A5DAB5F908C88EB2A0052346130</t>
  </si>
  <si>
    <t>04_EVIDENCE\PRUEBAS_CON_ARTIFACTS_PUBLICOS\04_HayabusaMonitoring_CH\TFM_TEC_Run_CANDIDATE_v5_20260712_152503_summary.csv</t>
  </si>
  <si>
    <t>2026-07-12T13:31:17.687Z</t>
  </si>
  <si>
    <t>58E3371F8F03BA22675D16A069BA26CD1122736CCF2C48B85EAA1792DDDC3F09</t>
  </si>
  <si>
    <t>04_EVIDENCE\PRUEBAS_CON_ARTIFACTS_PUBLICOS\04_HayabusaMonitoring_CH\TFM_TEC_Run_CANDIDATE_v5_20260712_152503_summary.json</t>
  </si>
  <si>
    <t>2026-07-12T13:31:17.585Z</t>
  </si>
  <si>
    <t>6C8E30F528A06ED41D5C91B5A575F2EE6D03123EBA29056E6CC17651AD1AEB27</t>
  </si>
  <si>
    <t>04_EVIDENCE\PRUEBAS_CON_ARTIFACTS_PUBLICOS\04_HayabusaMonitoring_CH\TFM_TEC_Run_CANDIDATE_v5_20260712_152503_summary.txt</t>
  </si>
  <si>
    <t>3C455924758A6174A02EE2EC79D0A0E69BCA326F49F074CA390ECE72E36AECD8</t>
  </si>
  <si>
    <t>04_EVIDENCE\PRUEBAS_CON_ARTIFACTS_PUBLICOS\04_HayabusaMonitoring_CH\Windows.Hayabusa.Monitoring_FP.csv</t>
  </si>
  <si>
    <t>2026-07-12T13:44:10.463Z</t>
  </si>
  <si>
    <t>E13C49463B1897B61E21E3D4DE023FD88E67278BB7A2D33ACF591B9B846155A4</t>
  </si>
  <si>
    <t>04_EVIDENCE\PRUEBAS_CON_ARTIFACTS_PUBLICOS\04_HayabusaMonitoring_CH\Windows.Hayabusa.Monitoring_FP.json</t>
  </si>
  <si>
    <t>2026-07-12T13:44:24.791Z</t>
  </si>
  <si>
    <t>96C1CEEDF144266EF319C1CC9A12E8698E27E837D7CB1C2AB2841281FBF40A51</t>
  </si>
  <si>
    <t>04_EVIDENCE\PRUEBAS_CON_ARTIFACTS_PUBLICOS\04_HayabusaMonitoring_CH\Windows.Hayabusa.Monitoring_REAL.csv</t>
  </si>
  <si>
    <t>2026-07-12T13:36:34.037Z</t>
  </si>
  <si>
    <t>B506E51B1F07B9A5D090A769A6DDC320E735D170577C4754836BB4C066F2934E</t>
  </si>
  <si>
    <t>2026-07-12T13:36:53.468Z</t>
  </si>
  <si>
    <t>4E49BCDACA5DBE540B71B2D1172500C0EBB79D744AA2CC3C3BBD3484FF6CBC06</t>
  </si>
  <si>
    <t>04_EVIDENCE\PRUEBAS_CON_ARTIFACTS_PUBLICOS\05_ETWMonitoring\FP_end_utc.txt</t>
  </si>
  <si>
    <t>2026-07-12T14:32:57.519Z</t>
  </si>
  <si>
    <t>457827605F3C80678F5528DDDF707034BBD9B19933DA38EC6BA95AFB93E602EB</t>
  </si>
  <si>
    <t>04_EVIDENCE\PRUEBAS_CON_ARTIFACTS_PUBLICOS\05_ETWMonitoring\FP_start_utc.txt</t>
  </si>
  <si>
    <t>2026-07-12T14:32:20.332Z</t>
  </si>
  <si>
    <t>8F138B3CE3CACCF8A5CB1E0823A8644851E4E0F51DEDD598C7517D32811BE293</t>
  </si>
  <si>
    <t>04_EVIDENCE\PRUEBAS_CON_ARTIFACTS_PUBLICOS\05_ETWMonitoring\TEC_end_utc.txt</t>
  </si>
  <si>
    <t>2026-07-12T14:30:04.871Z</t>
  </si>
  <si>
    <t>0A485AA6725DF54C218F9DC95DB468AC15BC3886CC9B26406753B943098ABE14</t>
  </si>
  <si>
    <t>04_EVIDENCE\PRUEBAS_CON_ARTIFACTS_PUBLICOS\05_ETWMonitoring\TEC_start_utc.txt</t>
  </si>
  <si>
    <t>2026-07-12T14:22:25.782Z</t>
  </si>
  <si>
    <t>148A17A7EE017F1608D41C73F171CF432FF90E7A4F2C0E0BBA816164631CE7CB</t>
  </si>
  <si>
    <t>04_EVIDENCE\PRUEBAS_CON_ARTIFACTS_PUBLICOS\05_ETWMonitoring\TFM_FP_20260712_163220.log</t>
  </si>
  <si>
    <t>2026-07-12T14:32:56.964Z</t>
  </si>
  <si>
    <t>4899894576BFC70B19FBB489B90369FB2AB4EA8A48A96BCCF8B9597A537A75EF</t>
  </si>
  <si>
    <t>04_EVIDENCE\PRUEBAS_CON_ARTIFACTS_PUBLICOS\05_ETWMonitoring\TFM_FP_20260712_163220_summary.csv</t>
  </si>
  <si>
    <t>2026-07-12T14:32:56.851Z</t>
  </si>
  <si>
    <t>AC7A928B763F4BAF08B197F8BEEE501A0A0CE9B25AAE6916CB0E505CB494D59E</t>
  </si>
  <si>
    <t>04_EVIDENCE\PRUEBAS_CON_ARTIFACTS_PUBLICOS\05_ETWMonitoring\TFM_FP_20260712_163220_summary.json</t>
  </si>
  <si>
    <t>2026-07-12T14:32:56.869Z</t>
  </si>
  <si>
    <t>26A57D36EB264F94E8FA9C16A072E4439D4F8C1E7A649DA0D2F9A740C2AD9819</t>
  </si>
  <si>
    <t>04_EVIDENCE\PRUEBAS_CON_ARTIFACTS_PUBLICOS\05_ETWMonitoring\TFM_FP_20260712_163220_summary.txt</t>
  </si>
  <si>
    <t>80B42430C40C4B99F27F02B342B29184A45EE7A88D59617AC4523593049136E9</t>
  </si>
  <si>
    <t>04_EVIDENCE\PRUEBAS_CON_ARTIFACTS_PUBLICOS\05_ETWMonitoring\TFM_FP_20260712_163220_vr_hits.csv</t>
  </si>
  <si>
    <t>04_EVIDENCE\PRUEBAS_CON_ARTIFACTS_PUBLICOS\05_ETWMonitoring\TFM_FP_20260712_163220_vr_hits.txt</t>
  </si>
  <si>
    <t>FC07FB39E6FC1085291332AAD85D9184439AE72A9128A3E7A4EEB74DAA1DC0D9</t>
  </si>
  <si>
    <t>04_EVIDENCE\PRUEBAS_CON_ARTIFACTS_PUBLICOS\05_ETWMonitoring\Windows.ETW.Monitoring_FP.csv</t>
  </si>
  <si>
    <t>2026-07-12T14:37:30.270Z</t>
  </si>
  <si>
    <t>E3B0C44298FC1C149AFBF4C8996FB92427AE41E4649B934CA495991B7852B855</t>
  </si>
  <si>
    <t>04_EVIDENCE\PRUEBAS_CON_ARTIFACTS_PUBLICOS\05_ETWMonitoring\Windows.ETW.Monitoring_FP.json</t>
  </si>
  <si>
    <t>2026-07-12T14:37:42.755Z</t>
  </si>
  <si>
    <t>04_EVIDENCE\PRUEBAS_CON_ARTIFACTS_PUBLICOS\05_ETWMonitoring\Windows.ETW.Monitoring-_REAL.csv</t>
  </si>
  <si>
    <t>2026-07-12T14:28:57.440Z</t>
  </si>
  <si>
    <t>04_EVIDENCE\PRUEBAS_CON_ARTIFACTS_PUBLICOS\05_ETWMonitoring\Windows.ETW.Monitoring_REAL.json</t>
  </si>
  <si>
    <t>2026-07-12T14:29:46.051Z</t>
  </si>
  <si>
    <t>04_EVIDENCE\PRUEBAS_CON_ARTIFACTS_PUBLICOS\06_TrackNetworkConnections\FP_end_utc.txt</t>
  </si>
  <si>
    <t>2026-07-12T14:53:04.206Z</t>
  </si>
  <si>
    <t>1A881D7E6F89E24E504B4E578C05EA2CB50617166032A0D5958FAA50B7156E00</t>
  </si>
  <si>
    <t>04_EVIDENCE\PRUEBAS_CON_ARTIFACTS_PUBLICOS\06_TrackNetworkConnections\FP_start_utc.txt</t>
  </si>
  <si>
    <t>2026-07-12T14:52:39.396Z</t>
  </si>
  <si>
    <t>B25A677DF10359991CBCC3EE6C9E63334358D1F5DA0C1C3C857C39B09632FEC6</t>
  </si>
  <si>
    <t>04_EVIDENCE\PRUEBAS_CON_ARTIFACTS_PUBLICOS\06_TrackNetworkConnections\Generic.Events.TrackNetworkConnection_FP.json</t>
  </si>
  <si>
    <t>2026-07-12T14:58:38.803Z</t>
  </si>
  <si>
    <t>DD3F6C4D12D00776F6A17A0468791E96E7496A39BA7E18DAFD01B43309A172E8</t>
  </si>
  <si>
    <t>04_EVIDENCE\PRUEBAS_CON_ARTIFACTS_PUBLICOS\06_TrackNetworkConnections\Generic.Events.TrackNetworkConnections_FP.csv</t>
  </si>
  <si>
    <t>2026-07-12T14:58:19.259Z</t>
  </si>
  <si>
    <t>03B9310BF98B0C9BF80E9C9EB9B20F5D01701E0E72FBB1D38D6AA23FA7F026F8</t>
  </si>
  <si>
    <t>04_EVIDENCE\PRUEBAS_CON_ARTIFACTS_PUBLICOS\06_TrackNetworkConnections\Generic.Events.TrackNetworkConnections_REAL.csv</t>
  </si>
  <si>
    <t>2026-07-12T14:52:10.715Z</t>
  </si>
  <si>
    <t>8C4966BBBA4CC0E3A2CCDE9EFE4B477C93E331CB1B6752F7E6F7C98D50A45C76</t>
  </si>
  <si>
    <t>04_EVIDENCE\PRUEBAS_CON_ARTIFACTS_PUBLICOS\06_TrackNetworkConnections\Generic.Events.TrackNetworkConnections_REAL.json</t>
  </si>
  <si>
    <t>2026-07-12T14:52:25.608Z</t>
  </si>
  <si>
    <t>93BD02A45AD38CBEDBF68E3BA753E1871FC4E9647A6CF3DBDACB8E1640252AB1</t>
  </si>
  <si>
    <t>04_EVIDENCE\PRUEBAS_CON_ARTIFACTS_PUBLICOS\06_TrackNetworkConnections\TEC_end_utc.txt</t>
  </si>
  <si>
    <t>2026-07-12T14:50:12.514Z</t>
  </si>
  <si>
    <t>37F4A4E73CE9946C2D62B4EC6D58787166715453C1F1822B9A6CC47D86C66DB7</t>
  </si>
  <si>
    <t>04_EVIDENCE\PRUEBAS_CON_ARTIFACTS_PUBLICOS\06_TrackNetworkConnections\TEC_start_utc.txt</t>
  </si>
  <si>
    <t>2026-07-12T14:43:12.204Z</t>
  </si>
  <si>
    <t>71628EA510069D2C23E8705B4B22163CAB57BD9B172D4E96D432BBEF6E734671</t>
  </si>
  <si>
    <t>04_EVIDENCE\PRUEBAS_CON_ARTIFACTS_PUBLICOS\06_TrackNetworkConnections\TFM_FP_20260712_165239.log</t>
  </si>
  <si>
    <t>2026-07-12T14:53:03.927Z</t>
  </si>
  <si>
    <t>AE093D8D5D87A314DB16C961B60D42C60029BB7C52F0012FD2E408E20B776BCD</t>
  </si>
  <si>
    <t>04_EVIDENCE\PRUEBAS_CON_ARTIFACTS_PUBLICOS\06_TrackNetworkConnections\TFM_FP_20260712_165239_summary.csv</t>
  </si>
  <si>
    <t>2026-07-12T14:53:03.839Z</t>
  </si>
  <si>
    <t>11FA037C0FFCEF844B8B84EBB8A6C9B2A24AB4844204712F95BB81EB42DA4602</t>
  </si>
  <si>
    <t>04_EVIDENCE\PRUEBAS_CON_ARTIFACTS_PUBLICOS\06_TrackNetworkConnections\TFM_FP_20260712_165239_summary.json</t>
  </si>
  <si>
    <t>2026-07-12T14:53:03.871Z</t>
  </si>
  <si>
    <t>A4C4347D6C83E26DDBD23FACAED59603DEB804BFB92165C8FA17F8FC2342EA40</t>
  </si>
  <si>
    <t>04_EVIDENCE\PRUEBAS_CON_ARTIFACTS_PUBLICOS\06_TrackNetworkConnections\TFM_FP_20260712_165239_summary.txt</t>
  </si>
  <si>
    <t>2026-07-12T14:53:03.873Z</t>
  </si>
  <si>
    <t>D6B859E990928742A837AFC3DD3ACAD6DB215CB9BA4CA70845310F80FDBE8838</t>
  </si>
  <si>
    <t>04_EVIDENCE\PRUEBAS_CON_ARTIFACTS_PUBLICOS\06_TrackNetworkConnections\TFM_FP_20260712_165239_vr_hits.csv</t>
  </si>
  <si>
    <t>2026-07-12T14:53:03.851Z</t>
  </si>
  <si>
    <t>04_EVIDENCE\PRUEBAS_CON_ARTIFACTS_PUBLICOS\06_TrackNetworkConnections\TFM_FP_20260712_165239_vr_hits.txt</t>
  </si>
  <si>
    <t>C029194F960CC7EE64A7BE0A5685EF72E726703E738E86E915F2A8524CFFE8B4</t>
  </si>
  <si>
    <t>04_EVIDENCE\PRUEBAS_CON_ARTIFACTS_PUBLICOS\06_TrackNetworkConnections\TFM_TEC_Run_CANDIDATE_v5_20260712_164312.log</t>
  </si>
  <si>
    <t>2026-07-12T14:50:11.991Z</t>
  </si>
  <si>
    <t>FD5ECF104860E7BD489DB373B030F718D704539D50723E0BFDBA1A5D96AD1885</t>
  </si>
  <si>
    <t>04_EVIDENCE\PRUEBAS_CON_ARTIFACTS_PUBLICOS\06_TrackNetworkConnections\TFM_TEC_Run_CANDIDATE_v5_20260712_164312_summary.csv</t>
  </si>
  <si>
    <t>2026-07-12T14:50:11.812Z</t>
  </si>
  <si>
    <t>B8DB41BCF54940805052C581C33A4FA0862059200BD3BE434790B36DE41B3800</t>
  </si>
  <si>
    <t>04_EVIDENCE\PRUEBAS_CON_ARTIFACTS_PUBLICOS\06_TrackNetworkConnections\TFM_TEC_Run_CANDIDATE_v5_20260712_164312_summary.json</t>
  </si>
  <si>
    <t>2026-07-12T14:50:11.710Z</t>
  </si>
  <si>
    <t>B108D08AB174888CAA637E3E890955FB010CBD4EFA80812B92261EB3E5F1FB8B</t>
  </si>
  <si>
    <t>04_EVIDENCE\PRUEBAS_CON_ARTIFACTS_PUBLICOS\06_TrackNetworkConnections\TFM_TEC_Run_CANDIDATE_v5_20260712_164312_summary.txt</t>
  </si>
  <si>
    <t>2026-07-12T14:50:11.748Z</t>
  </si>
  <si>
    <t>12256E1CA5961ACFBD114A23C29D0952EA6255A9F3179B03E5421DD329F3E8DD</t>
  </si>
  <si>
    <t>Detección CH high/critical</t>
  </si>
  <si>
    <t>Sistema</t>
  </si>
  <si>
    <t>TEC con detección específica</t>
  </si>
  <si>
    <t>Custom CLIENT_EVENT</t>
  </si>
  <si>
    <t>Públicos CH</t>
  </si>
  <si>
    <t>Públicos</t>
  </si>
  <si>
    <t>Wazuh específico</t>
  </si>
  <si>
    <t>Filas en ventana FP</t>
  </si>
  <si>
    <t>Hayabusa Monitoring CH</t>
  </si>
  <si>
    <t>ETW Monitoring</t>
  </si>
  <si>
    <t>Campañas</t>
  </si>
  <si>
    <t>NEGATIVO VÁLIDO</t>
  </si>
  <si>
    <t>NO EJECUTADO</t>
  </si>
  <si>
    <t>Cobertura táctica</t>
  </si>
  <si>
    <t>%</t>
  </si>
  <si>
    <t>/14 corresponde a tácticas MITRE ATT&amp;CK Enterprise consideradas en la clasificación; no corresponde a las 9 técnicas TEC ejecutadas en el laboratorio.</t>
  </si>
  <si>
    <t>Salida externa evaluada separadamente mediante SERVER_EVENT, Router, Discord, webhook o runner; no se considera una capacidad directa del CLIENT_EVENT.</t>
  </si>
  <si>
    <t>Capacidades HIDS acreditadas por sistema</t>
  </si>
  <si>
    <t>Capacidad</t>
  </si>
  <si>
    <t>VR custom</t>
  </si>
  <si>
    <t>La salida externa se evalúa separadamente porque depende de componentes server-side, Router, webhook o runners auxiliares.</t>
  </si>
  <si>
    <t>Este gráfico representa exclusivamente el runner FP custom y no incluye las coincidencias producidas por Hayabusa Monitoring. Datos públicos separados: 4 coincidencias High, 3 eventos subyacentes y 1 caso benigno afectado (FP-003).</t>
  </si>
  <si>
    <t>HISTÓRICO; NO RT.</t>
  </si>
  <si>
    <t>NO EJECUTADA.</t>
  </si>
  <si>
    <t>NO EJECUTADO EN CAMPAÑA FINAL</t>
  </si>
  <si>
    <t>SUSTITUIDO POR CAMPAÑA FP FINAL</t>
  </si>
  <si>
    <t>NO EVALUADO INDIVIDUALMENTE</t>
  </si>
  <si>
    <t>EVALUADO SEPARADAMENTE; NO ES CAPACIDAD CLIENT_EVENT</t>
  </si>
  <si>
    <t>NO EVALUADO</t>
  </si>
  <si>
    <t>Matriz definitiva de seis campañas CLIENT_EVENT públicas</t>
  </si>
  <si>
    <t>Criterio: CLIENT_EVENT aporta visibilidad, detección o alerta RT según el artifact; SERVER_EVENT, Router y runner se evalúan separadamente como transporte o salida externa.</t>
  </si>
  <si>
    <t>Salida externa HTTP</t>
  </si>
  <si>
    <t>Sí, acreditada por runner independiente; no atribuible al CLIENT_EVENT</t>
  </si>
  <si>
    <t>Conexión visible; salida HTTP acreditada aparte</t>
  </si>
  <si>
    <t>TrackNetwork acreditó conexión hacia 192.168.1.129:8088 y eventos added/removed; PID=0 y ProcInfo vacío, sin atribución fiable a powershell.exe. Runner independiente: HTTPStatus=200; UploadSucceeded=True; ZIP=6245 bytes; SHA-256 coincidente; respuesta del receptor confirmada.</t>
  </si>
  <si>
    <t>Salida externa TEC-009 acreditada por runner independiente; no atribuible a TrackNetworkConnections.</t>
  </si>
  <si>
    <t>Componentes históricos, de transporte y salida externa — no incluidos en la cobertura de los seis CLIENT_EVENT evaluados</t>
  </si>
  <si>
    <t>CLIENT / hunt histórico</t>
  </si>
  <si>
    <t>Sí, histórica</t>
  </si>
  <si>
    <t>Histórica; no campaña final</t>
  </si>
  <si>
    <t>No incluida</t>
  </si>
  <si>
    <t>Hunt histórico; no alerta RT</t>
  </si>
  <si>
    <t>No ejecutado como campaña final independiente</t>
  </si>
  <si>
    <t>No incluido en la cobertura de los seis CLIENT_EVENT evaluados.</t>
  </si>
  <si>
    <t>No detector</t>
  </si>
  <si>
    <t>Transporte server-side; no detector</t>
  </si>
  <si>
    <t>No incluido en cobertura</t>
  </si>
  <si>
    <t>SERVER_EVENT: transporta; no detecta y no cuenta en la cobertura.</t>
  </si>
  <si>
    <t>Normalización y salida externa</t>
  </si>
  <si>
    <t>Router Discord; no detector</t>
  </si>
  <si>
    <t>SERVER_EVENT: normaliza y notifica; no sustituye la detección CLIENT_EVENT.</t>
  </si>
  <si>
    <t>Conexión hacia 192.168.1.129:8088; eventos added/removed; PID=0 y ProcInfo vacío; sin atribución fiable a powershell.exe.</t>
  </si>
  <si>
    <t>Runner independiente: HTTPStatus=200, UploadSucceeded=True, ZIP=6245 bytes, SHA-256 coincidente y respuesta del receptor confirmada; no atribuible a TrackNetworkConnections.</t>
  </si>
  <si>
    <t>Separar visibilidad, detección, alerta en tiempo real, evidencia forense y transporte/salida externa; CLIENT_EVENT detecta y SERVER_EVENT/Router transportan o notifican.</t>
  </si>
  <si>
    <t>Transporte / salida externa</t>
  </si>
  <si>
    <t>SERVER_EVENT o Router reenvía una detección ya emitida; un runner independiente puede acreditar HTTP.</t>
  </si>
  <si>
    <t>Server.Alerts.Notification / Router Discord / runner HTTP</t>
  </si>
  <si>
    <t>No: no es capacidad directa del CLIENT_EVENT</t>
  </si>
  <si>
    <t>Se evalúa separadamente de la cobertura detectora.</t>
  </si>
  <si>
    <t>Evaluar aparte como transporte; no incluir en cobertura CLIENT_EVENT</t>
  </si>
  <si>
    <t>Sí. ProcessCreation, ServiceCreation, SysmonLogForward y TrackNetwork aportan visibilidad o contexto; Hayabusa CH aporta detección 3/9. SERVER_EVENT y Router se evalúan aparte como transporte/salida externa.</t>
  </si>
  <si>
    <t>Cuando la fuente pública solo da visibilidad, cuando Hayabusa detecta genérico/ruidoso o cuando falta una alerta resumida por TEC con CU_ID, severidad y confianza. La salida externa no forma parte del detector CLIENT_EVENT.</t>
  </si>
  <si>
    <t>HISTÓRICO; NO RT. Es CLIENT/hunt y no CLIENT_EVENT.</t>
  </si>
  <si>
    <t>No existe campaña CHM independiente; no se incorpora a gráficos, totales ni cobertura final.</t>
  </si>
  <si>
    <t>Detección Sigma CH 3/9 en CLIENT_EVENT; salida externa no evaluada como capacidad del artifact.</t>
  </si>
  <si>
    <t>Discord/JSONL/SERVER_EVENT son transporte o salida; no sustituyen la detección.</t>
  </si>
  <si>
    <t>CLIENT_EVENT aporta visibilidad/detección/alerta según el artifact; SERVER_EVENT y Router transportan o notifican. El runner independiente acredita HTTP 200; TrackNetwork solo acredita conexión visible.</t>
  </si>
  <si>
    <t>Excluir salida externa de cobertura detectora y no atribuir el HTTP 200 a TrackNetworkConnections.</t>
  </si>
  <si>
    <t>TrackNetwork: conexión visible sin atribución fiable; HTTPStatus=200 solo por runner independiente.</t>
  </si>
  <si>
    <t>Comparación por capacidades HIDS; SERVER_EVENT, Router, Discord y runner HTTP quedan fuera de la cobertura de los seis CLIENT_EVENT.</t>
  </si>
  <si>
    <t>Separar visibilidad, detección y alerta CLIENT_EVENT de transporte SERVER_EVENT/Router y salida externa.</t>
  </si>
  <si>
    <t>ETW no concluyente; TrackNetwork acredita conexión sin proceso atribuible; SERVER_EVENT/Router/Discord no son detección; HTTP 200 pertenece al runner independiente.</t>
  </si>
  <si>
    <t>Evento crudo=visibilidad; coincidencia Sigma CH=detección 3/9; custom=9/9; Wazuh específico=4/9. Transporte y salida externa se evalúan aparte.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</si>
</sst>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/14&quot;"/>
  </numFmts>
  <fonts count="33">
    <font>
      <sz val="11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sz val="10"/>
      <name val="Aptos"/>
    </font>
    <font>
      <sz val="10"/>
      <color rgb="FF0F172A"/>
      <name val="Aptos"/>
    </font>
    <font>
      <b/>
      <sz val="16"/>
      <color rgb="FFFFFFFF"/>
      <name val="Aptos Display"/>
    </font>
    <font>
      <b/>
      <sz val="14"/>
      <color rgb="FFFFFFFF"/>
      <name val="Carlito"/>
    </font>
    <font>
      <b/>
      <sz val="14"/>
      <color rgb="FFFFFFFF"/>
      <name val="Aptos Display"/>
    </font>
    <font>
      <b/>
      <sz val="14"/>
      <color rgb="FFFFFFFF"/>
      <name val="Aptos"/>
    </font>
    <font>
      <i/>
      <sz val="10"/>
      <color rgb="FF1F4E78"/>
      <name val="Aptos"/>
    </font>
    <font>
      <sz val="10"/>
      <color rgb="FF375623"/>
      <name val="Aptos"/>
    </font>
    <font>
      <sz val="10"/>
      <color rgb="FF7F6000"/>
      <name val="Aptos"/>
    </font>
    <font>
      <i/>
      <sz val="11"/>
      <color rgb="FF1F4E78"/>
      <name val="Carlito"/>
    </font>
    <font>
      <sz val="10"/>
      <name val="Calibri"/>
      <family val="2"/>
    </font>
    <font>
      <b/>
      <sz val="10"/>
      <name val="Calibri"/>
      <family val="2"/>
    </font>
    <font>
      <b/>
      <sz val="15"/>
      <color rgb="FFFFFFFF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b/>
      <sz val="11"/>
      <name val="Carlito"/>
    </font>
    <font>
      <i/>
      <sz val="10"/>
      <color rgb="FF1F4E79"/>
      <name val="Aptos"/>
      <family val="2"/>
    </font>
    <font>
      <i/>
      <sz val="9"/>
      <color rgb="FF1F4E79"/>
      <name val="Calibri"/>
      <family val="2"/>
    </font>
    <font>
      <i/>
      <sz val="16"/>
      <color rgb="FF1F4E79"/>
      <name val="Aptos"/>
      <family val="2"/>
    </font>
    <font>
      <i/>
      <sz val="20"/>
      <color rgb="FF1F4E79"/>
      <name val="Aptos"/>
      <family val="2"/>
    </font>
    <font>
      <b/>
      <sz val="14"/>
      <color rgb="FFFFFFFF"/>
      <name val="Aptos"/>
      <family val="2"/>
    </font>
    <font>
      <sz val="14"/>
      <name val="Aptos"/>
      <family val="2"/>
    </font>
    <font>
      <b/>
      <sz val="26"/>
      <color rgb="FFFFFFFF"/>
      <name val="Aptos Display"/>
      <family val="2"/>
    </font>
    <font>
      <b/>
      <sz val="26"/>
      <color rgb="FFFFFFFF"/>
      <name val="Aptos"/>
      <family val="2"/>
    </font>
    <font>
      <sz val="26"/>
      <name val="Aptos"/>
      <family val="2"/>
    </font>
    <font>
      <i/>
      <sz val="16"/>
      <color rgb="FF1F4E78"/>
      <name val="Aptos"/>
      <family val="2"/>
    </font>
    <font>
      <sz val="16"/>
      <name val="Aptos"/>
      <family val="2"/>
    </font>
    <font>
      <sz val="12"/>
      <name val="Aptos"/>
      <family val="2"/>
    </font>
    <font>
      <sz val="12"/>
      <color rgb="FF375623"/>
      <name val="Aptos"/>
      <family val="2"/>
    </font>
    <font>
      <sz val="12"/>
      <color rgb="FF7F6000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EA580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003070"/>
        <bgColor indexed="64"/>
      </patternFill>
    </fill>
    <fill>
      <patternFill patternType="solid">
        <fgColor rgb="FF50D092"/>
        <bgColor indexed="64"/>
      </patternFill>
    </fill>
    <fill>
      <patternFill patternType="solid">
        <fgColor rgb="FFE6E6E7"/>
        <bgColor indexed="64"/>
      </patternFill>
    </fill>
    <fill>
      <patternFill patternType="solid">
        <fgColor rgb="FFE8DEB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/>
      <diagonal/>
    </border>
    <border>
      <left/>
      <right/>
      <top style="thin">
        <color rgb="FF9BC2E6"/>
      </top>
      <bottom/>
      <diagonal/>
    </border>
    <border>
      <left/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/>
      <top/>
      <bottom/>
      <diagonal/>
    </border>
    <border>
      <left/>
      <right style="thin">
        <color rgb="FF9BC2E6"/>
      </right>
      <top/>
      <bottom/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10" fontId="3" fillId="0" borderId="0" xfId="0" applyNumberFormat="1" applyFont="1" applyAlignment="1">
      <alignment vertical="top" wrapText="1"/>
    </xf>
    <xf numFmtId="0" fontId="5" fillId="2" borderId="0" xfId="0" applyFont="1" applyFill="1" applyAlignment="1">
      <alignment horizontal="center" vertical="top" wrapText="1"/>
    </xf>
    <xf numFmtId="0" fontId="6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6" borderId="0" xfId="0" applyFont="1" applyFill="1" applyAlignment="1">
      <alignment vertical="top" wrapText="1"/>
    </xf>
    <xf numFmtId="0" fontId="2" fillId="9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vertical="top" wrapText="1"/>
    </xf>
    <xf numFmtId="10" fontId="10" fillId="10" borderId="0" xfId="0" applyNumberFormat="1" applyFont="1" applyFill="1" applyAlignment="1">
      <alignment vertical="top" wrapText="1"/>
    </xf>
    <xf numFmtId="0" fontId="11" fillId="11" borderId="0" xfId="0" applyFont="1" applyFill="1" applyAlignment="1">
      <alignment vertical="top" wrapText="1"/>
    </xf>
    <xf numFmtId="10" fontId="11" fillId="11" borderId="0" xfId="0" applyNumberFormat="1" applyFont="1" applyFill="1" applyAlignment="1">
      <alignment vertical="top" wrapText="1"/>
    </xf>
    <xf numFmtId="0" fontId="6" fillId="7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12" borderId="0" xfId="0" applyFont="1" applyFill="1"/>
    <xf numFmtId="0" fontId="16" fillId="0" borderId="0" xfId="0" applyFont="1" applyAlignment="1">
      <alignment wrapText="1"/>
    </xf>
    <xf numFmtId="0" fontId="17" fillId="12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/>
    </xf>
    <xf numFmtId="11" fontId="13" fillId="0" borderId="1" xfId="0" applyNumberFormat="1" applyFont="1" applyBorder="1" applyAlignment="1">
      <alignment vertical="top"/>
    </xf>
    <xf numFmtId="0" fontId="13" fillId="0" borderId="1" xfId="0" applyFont="1" applyBorder="1"/>
    <xf numFmtId="0" fontId="17" fillId="12" borderId="1" xfId="0" applyFont="1" applyFill="1" applyBorder="1"/>
    <xf numFmtId="0" fontId="13" fillId="13" borderId="1" xfId="0" applyFont="1" applyFill="1" applyBorder="1"/>
    <xf numFmtId="0" fontId="13" fillId="14" borderId="1" xfId="0" applyFont="1" applyFill="1" applyBorder="1"/>
    <xf numFmtId="0" fontId="13" fillId="15" borderId="1" xfId="0" applyFont="1" applyFill="1" applyBorder="1"/>
    <xf numFmtId="0" fontId="13" fillId="0" borderId="0" xfId="0" applyFont="1" applyAlignment="1">
      <alignment wrapText="1"/>
    </xf>
    <xf numFmtId="0" fontId="1" fillId="9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8" fillId="0" borderId="0" xfId="0" applyFont="1" applyAlignment="1">
      <alignment wrapText="1"/>
    </xf>
    <xf numFmtId="49" fontId="0" fillId="0" borderId="0" xfId="0" applyNumberFormat="1" applyAlignment="1">
      <alignment wrapText="1"/>
    </xf>
    <xf numFmtId="1" fontId="13" fillId="0" borderId="1" xfId="0" applyNumberFormat="1" applyFont="1" applyBorder="1" applyAlignment="1">
      <alignment vertical="top"/>
    </xf>
    <xf numFmtId="1" fontId="0" fillId="0" borderId="0" xfId="0" applyNumberFormat="1" applyAlignment="1">
      <alignment wrapText="1"/>
    </xf>
    <xf numFmtId="0" fontId="7" fillId="7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3" fillId="0" borderId="0" xfId="0" applyFont="1" applyAlignment="1">
      <alignment vertical="top"/>
    </xf>
    <xf numFmtId="0" fontId="9" fillId="8" borderId="0" xfId="0" applyFont="1" applyFill="1" applyAlignment="1">
      <alignment vertical="top" wrapText="1"/>
    </xf>
    <xf numFmtId="0" fontId="5" fillId="2" borderId="0" xfId="0" applyFont="1" applyFill="1" applyAlignment="1">
      <alignment horizontal="left" vertical="top"/>
    </xf>
    <xf numFmtId="0" fontId="4" fillId="3" borderId="0" xfId="0" applyFont="1" applyFill="1" applyAlignment="1">
      <alignment vertical="top" wrapText="1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6" fillId="7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wrapText="1"/>
    </xf>
    <xf numFmtId="0" fontId="1" fillId="18" borderId="0" xfId="0" applyFont="1" applyFill="1" applyAlignment="1">
      <alignment horizontal="left" vertical="top" wrapText="1"/>
    </xf>
    <xf numFmtId="0" fontId="20" fillId="17" borderId="3" xfId="0" applyFont="1" applyFill="1" applyBorder="1" applyAlignment="1">
      <alignment horizontal="left" vertical="top" wrapText="1"/>
    </xf>
    <xf numFmtId="0" fontId="19" fillId="17" borderId="5" xfId="0" applyFont="1" applyFill="1" applyBorder="1" applyAlignment="1">
      <alignment horizontal="left" vertical="top" wrapText="1"/>
    </xf>
    <xf numFmtId="0" fontId="19" fillId="17" borderId="6" xfId="0" applyFont="1" applyFill="1" applyBorder="1" applyAlignment="1">
      <alignment horizontal="left" vertical="top" wrapText="1"/>
    </xf>
    <xf numFmtId="0" fontId="19" fillId="17" borderId="7" xfId="0" applyFont="1" applyFill="1" applyBorder="1" applyAlignment="1">
      <alignment horizontal="left" vertical="top" wrapText="1"/>
    </xf>
    <xf numFmtId="0" fontId="19" fillId="17" borderId="0" xfId="0" applyFont="1" applyFill="1" applyBorder="1" applyAlignment="1">
      <alignment horizontal="left" vertical="top" wrapText="1"/>
    </xf>
    <xf numFmtId="0" fontId="19" fillId="17" borderId="8" xfId="0" applyFont="1" applyFill="1" applyBorder="1" applyAlignment="1">
      <alignment horizontal="left" vertical="top" wrapText="1"/>
    </xf>
    <xf numFmtId="0" fontId="19" fillId="17" borderId="9" xfId="0" applyFont="1" applyFill="1" applyBorder="1" applyAlignment="1">
      <alignment horizontal="left" vertical="top" wrapText="1"/>
    </xf>
    <xf numFmtId="0" fontId="19" fillId="17" borderId="10" xfId="0" applyFont="1" applyFill="1" applyBorder="1" applyAlignment="1">
      <alignment horizontal="left" vertical="top" wrapText="1"/>
    </xf>
    <xf numFmtId="0" fontId="19" fillId="17" borderId="11" xfId="0" applyFont="1" applyFill="1" applyBorder="1" applyAlignment="1">
      <alignment horizontal="left" vertical="top" wrapText="1"/>
    </xf>
    <xf numFmtId="0" fontId="22" fillId="17" borderId="4" xfId="0" applyFont="1" applyFill="1" applyBorder="1" applyAlignment="1">
      <alignment horizontal="left" vertical="top" wrapText="1"/>
    </xf>
    <xf numFmtId="0" fontId="23" fillId="9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64" fontId="24" fillId="0" borderId="0" xfId="0" applyNumberFormat="1" applyFont="1" applyAlignment="1">
      <alignment horizontal="center" vertical="center" wrapText="1"/>
    </xf>
    <xf numFmtId="10" fontId="24" fillId="0" borderId="0" xfId="0" applyNumberFormat="1" applyFont="1" applyAlignment="1">
      <alignment horizontal="center" vertical="center" wrapText="1"/>
    </xf>
    <xf numFmtId="0" fontId="25" fillId="7" borderId="0" xfId="0" applyFont="1" applyFill="1" applyAlignment="1">
      <alignment horizontal="left" vertical="center" wrapText="1"/>
    </xf>
    <xf numFmtId="0" fontId="26" fillId="7" borderId="0" xfId="0" applyFont="1" applyFill="1" applyAlignment="1">
      <alignment horizontal="left" vertical="center" wrapText="1"/>
    </xf>
    <xf numFmtId="0" fontId="27" fillId="0" borderId="0" xfId="0" applyFont="1" applyAlignment="1">
      <alignment vertical="top"/>
    </xf>
    <xf numFmtId="0" fontId="28" fillId="8" borderId="0" xfId="0" applyFont="1" applyFill="1" applyAlignment="1">
      <alignment vertical="top" wrapText="1"/>
    </xf>
    <xf numFmtId="0" fontId="29" fillId="0" borderId="0" xfId="0" applyFont="1" applyAlignment="1">
      <alignment vertical="top"/>
    </xf>
    <xf numFmtId="0" fontId="30" fillId="0" borderId="2" xfId="0" applyFont="1" applyBorder="1" applyAlignment="1">
      <alignment horizontal="center" vertical="center" wrapText="1"/>
    </xf>
    <xf numFmtId="1" fontId="30" fillId="0" borderId="2" xfId="0" applyNumberFormat="1" applyFont="1" applyBorder="1" applyAlignment="1">
      <alignment horizontal="center" vertical="center" wrapText="1"/>
    </xf>
    <xf numFmtId="0" fontId="31" fillId="10" borderId="2" xfId="0" applyFont="1" applyFill="1" applyBorder="1" applyAlignment="1">
      <alignment horizontal="center" vertical="center" wrapText="1"/>
    </xf>
    <xf numFmtId="1" fontId="31" fillId="10" borderId="2" xfId="0" applyNumberFormat="1" applyFont="1" applyFill="1" applyBorder="1" applyAlignment="1">
      <alignment horizontal="center" vertical="center" wrapText="1"/>
    </xf>
    <xf numFmtId="49" fontId="31" fillId="10" borderId="2" xfId="0" applyNumberFormat="1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49" fontId="32" fillId="11" borderId="2" xfId="0" applyNumberFormat="1" applyFont="1" applyFill="1" applyBorder="1" applyAlignment="1">
      <alignment horizontal="center" vertical="center" wrapText="1"/>
    </xf>
    <xf numFmtId="0" fontId="30" fillId="16" borderId="2" xfId="0" applyFont="1" applyFill="1" applyBorder="1" applyAlignment="1">
      <alignment horizontal="center" vertical="center" wrapText="1"/>
    </xf>
    <xf numFmtId="49" fontId="30" fillId="16" borderId="2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49" fontId="30" fillId="0" borderId="0" xfId="0" applyNumberFormat="1" applyFont="1" applyAlignment="1">
      <alignment horizontal="center" vertical="center" wrapText="1"/>
    </xf>
    <xf numFmtId="0" fontId="21" fillId="17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94"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2E8F0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FF6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</dxfs>
  <tableStyles count="0" defaultTableStyle="TableStyleMedium2" defaultPivotStyle="PivotStyleLight16"/>
  <colors>
    <mruColors>
      <color rgb="FFEBF3FB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Cobertura táctica MITRE /14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Cobertura /14</c:v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'01_Dashboard'!$E$5:$E$7</c:f>
              <c:strCache>
                <c:ptCount val="3"/>
                <c:pt idx="0">
                  <c:v>Principal</c:v>
                </c:pt>
                <c:pt idx="1">
                  <c:v>Ampliada</c:v>
                </c:pt>
                <c:pt idx="2">
                  <c:v>Contextual red</c:v>
                </c:pt>
              </c:strCache>
            </c:strRef>
          </c:cat>
          <c:val>
            <c:numRef>
              <c:f>'01_Dashboard'!$G$5:$G$7</c:f>
              <c:numCache>
                <c:formatCode>0.00%</c:formatCode>
                <c:ptCount val="3"/>
                <c:pt idx="0">
                  <c:v>0.35714285714285715</c:v>
                </c:pt>
                <c:pt idx="1">
                  <c:v>0.42857142857142855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F-420D-9DE4-D12F47E23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Cobertura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Proporción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Visibilidad y detección CH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GRAFICAS!$B$60</c:f>
              <c:strCache>
                <c:ptCount val="1"/>
                <c:pt idx="0">
                  <c:v>Visibilidad pública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GRAFICAS!$A$61:$A$69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GRAFICAS!$B$61:$B$69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35-47A7-9A82-38759235EF5E}"/>
            </c:ext>
          </c:extLst>
        </c:ser>
        <c:ser>
          <c:idx val="1"/>
          <c:order val="1"/>
          <c:tx>
            <c:strRef>
              <c:f>GRAFICAS!$C$60</c:f>
              <c:strCache>
                <c:ptCount val="1"/>
                <c:pt idx="0">
                  <c:v>Detección CH high/critical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GRAFICAS!$A$61:$A$69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GRAFICAS!$C$61:$C$69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35-47A7-9A82-38759235E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93248"/>
        <c:axId val="1170522128"/>
      </c:barChart>
      <c:catAx>
        <c:axId val="117309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22128"/>
        <c:crosses val="autoZero"/>
        <c:auto val="1"/>
        <c:lblAlgn val="ctr"/>
        <c:lblOffset val="100"/>
        <c:noMultiLvlLbl val="0"/>
      </c:catAx>
      <c:valAx>
        <c:axId val="117052212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TEC (0/1)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7309324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Técnicas con detección específica acreditada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GRAFICAS!$G$60</c:f>
              <c:strCache>
                <c:ptCount val="1"/>
                <c:pt idx="0">
                  <c:v>TEC con detección específica</c:v>
                </c:pt>
              </c:strCache>
            </c:strRef>
          </c:tx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GRAFICAS!$F$61:$F$63</c:f>
              <c:strCache>
                <c:ptCount val="3"/>
                <c:pt idx="0">
                  <c:v>Custom CLIENT_EVENT</c:v>
                </c:pt>
                <c:pt idx="1">
                  <c:v>Públicos CH</c:v>
                </c:pt>
                <c:pt idx="2">
                  <c:v>Wazuh específico</c:v>
                </c:pt>
              </c:strCache>
            </c:strRef>
          </c:cat>
          <c:val>
            <c:numRef>
              <c:f>GRAFICAS!$G$61:$G$63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C7-416B-AADE-82B50F5A8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91856"/>
        <c:axId val="1170532688"/>
      </c:barChart>
      <c:catAx>
        <c:axId val="1173091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Sistema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32688"/>
        <c:crosses val="autoZero"/>
        <c:auto val="1"/>
        <c:lblAlgn val="ctr"/>
        <c:lblOffset val="100"/>
        <c:noMultiLvlLbl val="0"/>
      </c:catAx>
      <c:valAx>
        <c:axId val="117053268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técnicas TEC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7309185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Visibilidad</a:t>
            </a:r>
            <a:r>
              <a:rPr lang="es-ES" baseline="0"/>
              <a:t> </a:t>
            </a:r>
            <a:r>
              <a:rPr lang="es-ES"/>
              <a:t>custom frente a públicos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GRAFICAS!$I$61</c:f>
              <c:strCache>
                <c:ptCount val="1"/>
                <c:pt idx="0">
                  <c:v>Custom</c:v>
                </c:pt>
              </c:strCache>
            </c:strRef>
          </c:tx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GRAFICAS!$J$60:$L$60</c:f>
              <c:strCache>
                <c:ptCount val="3"/>
                <c:pt idx="0">
                  <c:v>Visibilidad</c:v>
                </c:pt>
                <c:pt idx="1">
                  <c:v>Detección</c:v>
                </c:pt>
                <c:pt idx="2">
                  <c:v>Alerta RT</c:v>
                </c:pt>
              </c:strCache>
            </c:strRef>
          </c:cat>
          <c:val>
            <c:numRef>
              <c:f>GRAFICAS!$J$61:$L$61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02-40C1-9477-BB824A46114F}"/>
            </c:ext>
          </c:extLst>
        </c:ser>
        <c:ser>
          <c:idx val="1"/>
          <c:order val="1"/>
          <c:tx>
            <c:strRef>
              <c:f>GRAFICAS!$I$62</c:f>
              <c:strCache>
                <c:ptCount val="1"/>
                <c:pt idx="0">
                  <c:v>Públicos</c:v>
                </c:pt>
              </c:strCache>
            </c:strRef>
          </c:tx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GRAFICAS!$J$60:$L$60</c:f>
              <c:strCache>
                <c:ptCount val="3"/>
                <c:pt idx="0">
                  <c:v>Visibilidad</c:v>
                </c:pt>
                <c:pt idx="1">
                  <c:v>Detección</c:v>
                </c:pt>
                <c:pt idx="2">
                  <c:v>Alerta RT</c:v>
                </c:pt>
              </c:strCache>
            </c:strRef>
          </c:cat>
          <c:val>
            <c:numRef>
              <c:f>GRAFICAS!$J$62:$L$62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02-40C1-9477-BB824A461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3744"/>
        <c:axId val="1170524048"/>
      </c:barChart>
      <c:catAx>
        <c:axId val="127705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Capa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24048"/>
        <c:crosses val="autoZero"/>
        <c:auto val="1"/>
        <c:lblAlgn val="ctr"/>
        <c:lblOffset val="100"/>
        <c:noMultiLvlLbl val="0"/>
      </c:catAx>
      <c:valAx>
        <c:axId val="11705240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técnicas TEC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37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Ventana FP por artifact (capas separadas)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GRAFICAS!$B$73</c:f>
              <c:strCache>
                <c:ptCount val="1"/>
                <c:pt idx="0">
                  <c:v>Filas en ventana FP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GRAFICAS!$A$74:$A$79</c:f>
              <c:strCache>
                <c:ptCount val="6"/>
                <c:pt idx="0">
                  <c:v>Hayabusa Monitoring CH</c:v>
                </c:pt>
                <c:pt idx="1">
                  <c:v>ServiceCreation</c:v>
                </c:pt>
                <c:pt idx="2">
                  <c:v>ProcessCreation</c:v>
                </c:pt>
                <c:pt idx="3">
                  <c:v>SysmonLogForward</c:v>
                </c:pt>
                <c:pt idx="4">
                  <c:v>ETW 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GRAFICAS!$B$74:$B$79</c:f>
              <c:numCache>
                <c:formatCode>0</c:formatCode>
                <c:ptCount val="6"/>
                <c:pt idx="0">
                  <c:v>73</c:v>
                </c:pt>
                <c:pt idx="1">
                  <c:v>0</c:v>
                </c:pt>
                <c:pt idx="2">
                  <c:v>18</c:v>
                </c:pt>
                <c:pt idx="3">
                  <c:v>24</c:v>
                </c:pt>
                <c:pt idx="4">
                  <c:v>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06-4BD9-A5B8-99F3678A46D7}"/>
            </c:ext>
          </c:extLst>
        </c:ser>
        <c:ser>
          <c:idx val="1"/>
          <c:order val="1"/>
          <c:tx>
            <c:strRef>
              <c:f>GRAFICAS!$C$73</c:f>
              <c:strCache>
                <c:ptCount val="1"/>
                <c:pt idx="0">
                  <c:v>FP CH high/critical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GRAFICAS!$A$74:$A$79</c:f>
              <c:strCache>
                <c:ptCount val="6"/>
                <c:pt idx="0">
                  <c:v>Hayabusa Monitoring CH</c:v>
                </c:pt>
                <c:pt idx="1">
                  <c:v>ServiceCreation</c:v>
                </c:pt>
                <c:pt idx="2">
                  <c:v>ProcessCreation</c:v>
                </c:pt>
                <c:pt idx="3">
                  <c:v>SysmonLogForward</c:v>
                </c:pt>
                <c:pt idx="4">
                  <c:v>ETW 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GRAFICAS!$C$74:$C$79</c:f>
              <c:numCache>
                <c:formatCode>0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06-4BD9-A5B8-99F3678A4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3280"/>
        <c:axId val="1170540848"/>
      </c:barChart>
      <c:catAx>
        <c:axId val="127705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Artifact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40848"/>
        <c:crosses val="autoZero"/>
        <c:auto val="1"/>
        <c:lblAlgn val="ctr"/>
        <c:lblOffset val="100"/>
        <c:noMultiLvlLbl val="0"/>
      </c:catAx>
      <c:valAx>
        <c:axId val="11705408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Filas / matches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328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Estado de las seis campañas públicas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GRAFICAS!$J$73</c:f>
              <c:strCache>
                <c:ptCount val="1"/>
                <c:pt idx="0">
                  <c:v>Campañas</c:v>
                </c:pt>
              </c:strCache>
            </c:strRef>
          </c:tx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GRAFICAS!$I$74:$I$78</c:f>
              <c:strCache>
                <c:ptCount val="5"/>
                <c:pt idx="0">
                  <c:v>POSITIVO</c:v>
                </c:pt>
                <c:pt idx="1">
                  <c:v>NEGATIVO VÁLIDO</c:v>
                </c:pt>
                <c:pt idx="2">
                  <c:v>NO CONCLUYENTE</c:v>
                </c:pt>
                <c:pt idx="3">
                  <c:v>NO EJECUTADO</c:v>
                </c:pt>
                <c:pt idx="4">
                  <c:v>NO APLICABLE</c:v>
                </c:pt>
              </c:strCache>
            </c:strRef>
          </c:cat>
          <c:val>
            <c:numRef>
              <c:f>GRAFICAS!$J$74:$J$78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45-4D4C-BD10-BD2F24ECC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5136"/>
        <c:axId val="1170542768"/>
      </c:barChart>
      <c:catAx>
        <c:axId val="1277055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Resultado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42768"/>
        <c:crosses val="autoZero"/>
        <c:auto val="1"/>
        <c:lblAlgn val="ctr"/>
        <c:lblOffset val="100"/>
        <c:noMultiLvlLbl val="0"/>
      </c:catAx>
      <c:valAx>
        <c:axId val="117054276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Campañas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51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Eventos Sysmon/4104 por TEC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GRAFICAS!$B$3</c:f>
              <c:strCache>
                <c:ptCount val="1"/>
                <c:pt idx="0">
                  <c:v>Sysmon_events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GRAFICAS!$B$4:$B$12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2</c:v>
                </c:pt>
                <c:pt idx="6">
                  <c:v>9</c:v>
                </c:pt>
                <c:pt idx="7">
                  <c:v>4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9-480C-8961-BE682BBFD98C}"/>
            </c:ext>
          </c:extLst>
        </c:ser>
        <c:ser>
          <c:idx val="1"/>
          <c:order val="1"/>
          <c:tx>
            <c:strRef>
              <c:f>GRAFICAS!$C$3</c:f>
              <c:strCache>
                <c:ptCount val="1"/>
                <c:pt idx="0">
                  <c:v>PowerShell_4104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GRAFICAS!$C$4:$C$12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D9-480C-8961-BE682BBFD98C}"/>
            </c:ext>
          </c:extLst>
        </c:ser>
        <c:ser>
          <c:idx val="2"/>
          <c:order val="2"/>
          <c:tx>
            <c:strRef>
              <c:f>GRAFICAS!$D$3</c:f>
              <c:strCache>
                <c:ptCount val="1"/>
                <c:pt idx="0">
                  <c:v>System_7045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D9-480C-8961-BE682BBFD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2540848"/>
        <c:axId val="1732542768"/>
      </c:barChart>
      <c:catAx>
        <c:axId val="173254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2542768"/>
        <c:crosses val="autoZero"/>
        <c:auto val="1"/>
        <c:lblAlgn val="ctr"/>
        <c:lblOffset val="100"/>
        <c:noMultiLvlLbl val="0"/>
      </c:catAx>
      <c:valAx>
        <c:axId val="1732542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2540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Alertas VR por perfil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GRAFICAS!$H$3</c:f>
              <c:strCache>
                <c:ptCount val="1"/>
                <c:pt idx="0">
                  <c:v>alertas</c:v>
                </c:pt>
              </c:strCache>
            </c:strRef>
          </c:tx>
          <c:invertIfNegative val="0"/>
          <c:cat>
            <c:strRef>
              <c:f>GRAFICAS!$G$4:$G$7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GRAFICAS!$H$4:$H$7</c:f>
              <c:numCache>
                <c:formatCode>General</c:formatCode>
                <c:ptCount val="4"/>
                <c:pt idx="0">
                  <c:v>19</c:v>
                </c:pt>
                <c:pt idx="1">
                  <c:v>118</c:v>
                </c:pt>
                <c:pt idx="2">
                  <c:v>109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20-47D3-B550-7F6EFAFC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15792"/>
        <c:axId val="1995222032"/>
      </c:barChart>
      <c:catAx>
        <c:axId val="1995215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22032"/>
        <c:crosses val="autoZero"/>
        <c:auto val="1"/>
        <c:lblAlgn val="ctr"/>
        <c:lblOffset val="100"/>
        <c:noMultiLvlLbl val="0"/>
      </c:catAx>
      <c:valAx>
        <c:axId val="1995222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15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Resultado del runner FP custom: 10/10 OK y 0 hits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GRAFICAS!$B$18</c:f>
              <c:strCache>
                <c:ptCount val="1"/>
                <c:pt idx="0">
                  <c:v>valor</c:v>
                </c:pt>
              </c:strCache>
            </c:strRef>
          </c:tx>
          <c:invertIfNegative val="0"/>
          <c:cat>
            <c:strRef>
              <c:f>GRAFICAS!$A$19:$A$23</c:f>
              <c:strCache>
                <c:ptCount val="5"/>
                <c:pt idx="0">
                  <c:v>OK</c:v>
                </c:pt>
                <c:pt idx="1">
                  <c:v>WARN</c:v>
                </c:pt>
                <c:pt idx="2">
                  <c:v>FAIL</c:v>
                </c:pt>
                <c:pt idx="3">
                  <c:v>SKIPPED</c:v>
                </c:pt>
                <c:pt idx="4">
                  <c:v>HITS</c:v>
                </c:pt>
              </c:strCache>
            </c:strRef>
          </c:cat>
          <c:val>
            <c:numRef>
              <c:f>GRAFICAS!$B$19:$B$23</c:f>
              <c:numCache>
                <c:formatCode>General</c:formatCode>
                <c:ptCount val="5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2D-47F1-9AED-F0F17559E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3472"/>
        <c:axId val="1995218192"/>
      </c:barChart>
      <c:catAx>
        <c:axId val="199522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18192"/>
        <c:crosses val="autoZero"/>
        <c:auto val="1"/>
        <c:lblAlgn val="ctr"/>
        <c:lblOffset val="100"/>
        <c:noMultiLvlLbl val="0"/>
      </c:catAx>
      <c:valAx>
        <c:axId val="1995218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23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Wazuh base vs custom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GRAFICAS!$H$18</c:f>
              <c:strCache>
                <c:ptCount val="1"/>
                <c:pt idx="0">
                  <c:v>base</c:v>
                </c:pt>
              </c:strCache>
            </c:strRef>
          </c:tx>
          <c:invertIfNegative val="0"/>
          <c:cat>
            <c:strRef>
              <c:f>GRAFICAS!$G$19:$G$24</c:f>
              <c:strCache>
                <c:ptCount val="6"/>
                <c:pt idx="0">
                  <c:v>archives</c:v>
                </c:pt>
                <c:pt idx="1">
                  <c:v>alerts</c:v>
                </c:pt>
                <c:pt idx="2">
                  <c:v>PowerShell 4104</c:v>
                </c:pt>
                <c:pt idx="3">
                  <c:v>Sysmon ID 1</c:v>
                </c:pt>
                <c:pt idx="4">
                  <c:v>Sysmon ID 11</c:v>
                </c:pt>
                <c:pt idx="5">
                  <c:v>System 7045</c:v>
                </c:pt>
              </c:strCache>
            </c:strRef>
          </c:cat>
          <c:val>
            <c:numRef>
              <c:f>GRAFICAS!$H$19:$H$24</c:f>
              <c:numCache>
                <c:formatCode>General</c:formatCode>
                <c:ptCount val="6"/>
                <c:pt idx="0">
                  <c:v>902</c:v>
                </c:pt>
                <c:pt idx="1">
                  <c:v>58</c:v>
                </c:pt>
                <c:pt idx="2">
                  <c:v>34</c:v>
                </c:pt>
                <c:pt idx="3">
                  <c:v>457</c:v>
                </c:pt>
                <c:pt idx="4">
                  <c:v>413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CF-42F7-A7FF-F6684A982CA3}"/>
            </c:ext>
          </c:extLst>
        </c:ser>
        <c:ser>
          <c:idx val="1"/>
          <c:order val="1"/>
          <c:tx>
            <c:strRef>
              <c:f>GRAFICAS!$I$18</c:f>
              <c:strCache>
                <c:ptCount val="1"/>
                <c:pt idx="0">
                  <c:v>custom</c:v>
                </c:pt>
              </c:strCache>
            </c:strRef>
          </c:tx>
          <c:invertIfNegative val="0"/>
          <c:cat>
            <c:strRef>
              <c:f>GRAFICAS!$G$19:$G$24</c:f>
              <c:strCache>
                <c:ptCount val="6"/>
                <c:pt idx="0">
                  <c:v>archives</c:v>
                </c:pt>
                <c:pt idx="1">
                  <c:v>alerts</c:v>
                </c:pt>
                <c:pt idx="2">
                  <c:v>PowerShell 4104</c:v>
                </c:pt>
                <c:pt idx="3">
                  <c:v>Sysmon ID 1</c:v>
                </c:pt>
                <c:pt idx="4">
                  <c:v>Sysmon ID 11</c:v>
                </c:pt>
                <c:pt idx="5">
                  <c:v>System 7045</c:v>
                </c:pt>
              </c:strCache>
            </c:strRef>
          </c:cat>
          <c:val>
            <c:numRef>
              <c:f>GRAFICAS!$I$19:$I$24</c:f>
              <c:numCache>
                <c:formatCode>General</c:formatCode>
                <c:ptCount val="6"/>
                <c:pt idx="0">
                  <c:v>18285</c:v>
                </c:pt>
                <c:pt idx="1">
                  <c:v>110</c:v>
                </c:pt>
                <c:pt idx="2">
                  <c:v>99</c:v>
                </c:pt>
                <c:pt idx="3">
                  <c:v>127</c:v>
                </c:pt>
                <c:pt idx="4">
                  <c:v>24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CF-42F7-A7FF-F6684A982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8752"/>
        <c:axId val="1995221552"/>
      </c:barChart>
      <c:catAx>
        <c:axId val="199522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21552"/>
        <c:crosses val="autoZero"/>
        <c:auto val="1"/>
        <c:lblAlgn val="ctr"/>
        <c:lblOffset val="100"/>
        <c:noMultiLvlLbl val="0"/>
      </c:catAx>
      <c:valAx>
        <c:axId val="1995221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287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Alertas por regla Wazuh 110xxx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GRAFICAS!$B$34</c:f>
              <c:strCache>
                <c:ptCount val="1"/>
                <c:pt idx="0">
                  <c:v>alertas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GRAFICAS!$A$35:$A$41</c:f>
              <c:numCache>
                <c:formatCode>General</c:formatCode>
                <c:ptCount val="7"/>
                <c:pt idx="0">
                  <c:v>110201</c:v>
                </c:pt>
                <c:pt idx="1">
                  <c:v>110202</c:v>
                </c:pt>
                <c:pt idx="2">
                  <c:v>110203</c:v>
                </c:pt>
                <c:pt idx="3">
                  <c:v>110301</c:v>
                </c:pt>
                <c:pt idx="4">
                  <c:v>110401</c:v>
                </c:pt>
                <c:pt idx="5">
                  <c:v>110402</c:v>
                </c:pt>
                <c:pt idx="6">
                  <c:v>110501</c:v>
                </c:pt>
              </c:numCache>
            </c:numRef>
          </c:cat>
          <c:val>
            <c:numRef>
              <c:f>GRAFICAS!$B$35:$B$41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D-4946-BA76-7FDFDC108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0592"/>
        <c:axId val="1995224432"/>
      </c:barChart>
      <c:catAx>
        <c:axId val="199522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Regla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4432"/>
        <c:crosses val="autoZero"/>
        <c:auto val="1"/>
        <c:lblAlgn val="ctr"/>
        <c:lblOffset val="100"/>
        <c:noMultiLvlLbl val="0"/>
      </c:catAx>
      <c:valAx>
        <c:axId val="199522443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Alertas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99522059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672353</xdr:colOff>
      <xdr:row>7</xdr:row>
      <xdr:rowOff>22411</xdr:rowOff>
    </xdr:from>
    <xdr:to>
      <xdr:col>12</xdr:col>
      <xdr:colOff>44824</xdr:colOff>
      <xdr:row>13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</xdr:rowOff>
    </xdr:from>
    <xdr:to>
      <xdr:col>5</xdr:col>
      <xdr:colOff>0</xdr:colOff>
      <xdr:row>34</xdr:row>
      <xdr:rowOff>1</xdr:rowOff>
    </xdr:to>
    <xdr:graphicFrame macro="">
      <xdr:nvGraphicFramePr>
        <xdr:cNvPr id="3" name="TFM_Final_Public_TEC">
          <a:extLst>
            <a:ext uri="{FF2B5EF4-FFF2-40B4-BE49-F238E27FC236}">
              <a16:creationId xmlns:a16="http://schemas.microsoft.com/office/drawing/2014/main" id="{76CF7B8F-05F9-87C0-1B2D-F8BF0562B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1</xdr:rowOff>
    </xdr:from>
    <xdr:to>
      <xdr:col>15</xdr:col>
      <xdr:colOff>672352</xdr:colOff>
      <xdr:row>34</xdr:row>
      <xdr:rowOff>1</xdr:rowOff>
    </xdr:to>
    <xdr:graphicFrame macro="">
      <xdr:nvGraphicFramePr>
        <xdr:cNvPr id="4" name="TFM_Final_Compare_Detection">
          <a:extLst>
            <a:ext uri="{FF2B5EF4-FFF2-40B4-BE49-F238E27FC236}">
              <a16:creationId xmlns:a16="http://schemas.microsoft.com/office/drawing/2014/main" id="{6113300E-2A69-1328-EDBC-2E03CA97B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5</xdr:col>
      <xdr:colOff>0</xdr:colOff>
      <xdr:row>50</xdr:row>
      <xdr:rowOff>0</xdr:rowOff>
    </xdr:to>
    <xdr:graphicFrame macro="">
      <xdr:nvGraphicFramePr>
        <xdr:cNvPr id="5" name="TFM_Final_Layers">
          <a:extLst>
            <a:ext uri="{FF2B5EF4-FFF2-40B4-BE49-F238E27FC236}">
              <a16:creationId xmlns:a16="http://schemas.microsoft.com/office/drawing/2014/main" id="{B0F5B6BE-E48A-3B1C-5FC0-B27BF36A0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35</xdr:row>
      <xdr:rowOff>1</xdr:rowOff>
    </xdr:from>
    <xdr:to>
      <xdr:col>15</xdr:col>
      <xdr:colOff>672352</xdr:colOff>
      <xdr:row>52</xdr:row>
      <xdr:rowOff>1</xdr:rowOff>
    </xdr:to>
    <xdr:graphicFrame macro="">
      <xdr:nvGraphicFramePr>
        <xdr:cNvPr id="6" name="TFM_Final_FP">
          <a:extLst>
            <a:ext uri="{FF2B5EF4-FFF2-40B4-BE49-F238E27FC236}">
              <a16:creationId xmlns:a16="http://schemas.microsoft.com/office/drawing/2014/main" id="{F152DBBC-1667-AFAD-7B91-E9BB75387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53</xdr:row>
      <xdr:rowOff>1</xdr:rowOff>
    </xdr:from>
    <xdr:to>
      <xdr:col>5</xdr:col>
      <xdr:colOff>0</xdr:colOff>
      <xdr:row>70</xdr:row>
      <xdr:rowOff>1</xdr:rowOff>
    </xdr:to>
    <xdr:graphicFrame macro="">
      <xdr:nvGraphicFramePr>
        <xdr:cNvPr id="7" name="TFM_Final_Outcomes">
          <a:extLst>
            <a:ext uri="{FF2B5EF4-FFF2-40B4-BE49-F238E27FC236}">
              <a16:creationId xmlns:a16="http://schemas.microsoft.com/office/drawing/2014/main" id="{80735980-027B-7748-472F-0A1AFDF3F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297330</xdr:colOff>
      <xdr:row>2</xdr:row>
      <xdr:rowOff>154455</xdr:rowOff>
    </xdr:from>
    <xdr:to>
      <xdr:col>16</xdr:col>
      <xdr:colOff>520701</xdr:colOff>
      <xdr:row>22</xdr:row>
      <xdr:rowOff>90955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E83970-4670-4251-F43C-0A0B62328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274171</xdr:colOff>
      <xdr:row>2</xdr:row>
      <xdr:rowOff>76013</xdr:rowOff>
    </xdr:from>
    <xdr:to>
      <xdr:col>22</xdr:col>
      <xdr:colOff>556559</xdr:colOff>
      <xdr:row>22</xdr:row>
      <xdr:rowOff>12513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0D03B8-0056-9690-F3FD-340D95BC6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454212</xdr:colOff>
      <xdr:row>25</xdr:row>
      <xdr:rowOff>57150</xdr:rowOff>
    </xdr:from>
    <xdr:to>
      <xdr:col>14</xdr:col>
      <xdr:colOff>352612</xdr:colOff>
      <xdr:row>44</xdr:row>
      <xdr:rowOff>155575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9D2BB2-284C-B6D5-D5E1-A8032D35E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711200</xdr:colOff>
      <xdr:row>25</xdr:row>
      <xdr:rowOff>57150</xdr:rowOff>
    </xdr:from>
    <xdr:to>
      <xdr:col>22</xdr:col>
      <xdr:colOff>609600</xdr:colOff>
      <xdr:row>44</xdr:row>
      <xdr:rowOff>155575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C34201-5244-52A3-1756-541855473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510241</xdr:colOff>
      <xdr:row>59</xdr:row>
      <xdr:rowOff>94316</xdr:rowOff>
    </xdr:from>
    <xdr:to>
      <xdr:col>14</xdr:col>
      <xdr:colOff>408641</xdr:colOff>
      <xdr:row>79</xdr:row>
      <xdr:rowOff>35859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24FDF2F-2ED8-6FB3-EF4E-005C7DA2E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aTable" displayName="GuiaTable" ref="A4:C14">
  <tableColumns count="3">
    <tableColumn id="1" xr3:uid="{00000000-0010-0000-0000-000001000000}" name="Bloque"/>
    <tableColumn id="2" xr3:uid="{00000000-0010-0000-0000-000002000000}" name="Qué contiene"/>
    <tableColumn id="3" xr3:uid="{00000000-0010-0000-0000-000003000000}" name="Uso opera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nicasTable" displayName="TecnicasTable" ref="A4:J13">
  <tableColumns count="10">
    <tableColumn id="1" xr3:uid="{00000000-0010-0000-0100-000001000000}" name="TEC"/>
    <tableColumn id="2" xr3:uid="{00000000-0010-0000-0100-000002000000}" name="MITRE_ID"/>
    <tableColumn id="3" xr3:uid="{00000000-0010-0000-0100-000003000000}" name="Técnica MITRE"/>
    <tableColumn id="4" xr3:uid="{00000000-0010-0000-0100-000004000000}" name="Táctica principal"/>
    <tableColumn id="5" xr3:uid="{00000000-0010-0000-0100-000005000000}" name="Tácticas secundarias/contextuales"/>
    <tableColumn id="6" xr3:uid="{00000000-0010-0000-0100-000006000000}" name="Procedimiento controlado"/>
    <tableColumn id="7" xr3:uid="{00000000-0010-0000-0100-000007000000}" name="Evidencia esperada"/>
    <tableColumn id="8" xr3:uid="{00000000-0010-0000-0100-000008000000}" name="Artifacts públicos candidatos"/>
    <tableColumn id="9" xr3:uid="{00000000-0010-0000-0100-000009000000}" name="Custom esperado"/>
    <tableColumn id="10" xr3:uid="{00000000-0010-0000-0100-00000A000000}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EvaluacionVRTable" displayName="EvaluacionVRTable" ref="A4:O13">
  <tableColumns count="15">
    <tableColumn id="1" xr3:uid="{00000000-0010-0000-0200-000001000000}" name="ID_Prueba"/>
    <tableColumn id="2" xr3:uid="{00000000-0010-0000-0200-000002000000}" name="ID_Interna"/>
    <tableColumn id="3" xr3:uid="{00000000-0010-0000-0200-000003000000}" name="MITRE"/>
    <tableColumn id="4" xr3:uid="{00000000-0010-0000-0200-000004000000}" name="Táctica"/>
    <tableColumn id="5" xr3:uid="{00000000-0010-0000-0200-000005000000}" name="Escenario_Prueba"/>
    <tableColumn id="6" xr3:uid="{00000000-0010-0000-0200-000006000000}" name="Artifact_Usado"/>
    <tableColumn id="7" xr3:uid="{00000000-0010-0000-0200-000007000000}" name="Tipo_Artifact"/>
    <tableColumn id="8" xr3:uid="{00000000-0010-0000-0200-000008000000}" name="Modo"/>
    <tableColumn id="9" xr3:uid="{00000000-0010-0000-0200-000009000000}" name="Resultado_Detección"/>
    <tableColumn id="10" xr3:uid="{00000000-0010-0000-0200-00000A000000}" name="Ground_Truth"/>
    <tableColumn id="11" xr3:uid="{00000000-0010-0000-0200-00000B000000}" name="Fuente_Evidencia"/>
    <tableColumn id="12" xr3:uid="{00000000-0010-0000-0200-00000C000000}" name="Evidencia_Host_Observada"/>
    <tableColumn id="13" xr3:uid="{00000000-0010-0000-0200-00000D000000}" name="Discord"/>
    <tableColumn id="16" xr3:uid="{00000000-0010-0000-0200-000010000000}" name="Custom_Necesario"/>
    <tableColumn id="17" xr3:uid="{00000000-0010-0000-0200-000011000000}" name="Conclusión_Técnic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ontrolPublicosTable" displayName="ControlPublicosTable" ref="A4:AE67" headerRowDxfId="93" dataDxfId="92" totalsRowDxfId="91">
  <tableColumns count="31">
    <tableColumn id="1" xr3:uid="{00000000-0010-0000-0300-000001000000}" name="ID_Prueba" dataDxfId="90"/>
    <tableColumn id="2" xr3:uid="{00000000-0010-0000-0300-000002000000}" name="Fase" dataDxfId="89"/>
    <tableColumn id="3" xr3:uid="{00000000-0010-0000-0300-000003000000}" name="Perfil" dataDxfId="88"/>
    <tableColumn id="4" xr3:uid="{00000000-0010-0000-0300-000004000000}" name="Prioridad" dataDxfId="87"/>
    <tableColumn id="5" xr3:uid="{00000000-0010-0000-0300-000005000000}" name="Artifact_Publico" dataDxfId="86"/>
    <tableColumn id="6" xr3:uid="{00000000-0010-0000-0300-000006000000}" name="Modo" dataDxfId="85"/>
    <tableColumn id="7" xr3:uid="{00000000-0010-0000-0300-000007000000}" name="Fuente" dataDxfId="84"/>
    <tableColumn id="8" xr3:uid="{00000000-0010-0000-0300-000008000000}" name="TEC" dataDxfId="83"/>
    <tableColumn id="9" xr3:uid="{00000000-0010-0000-0300-000009000000}" name="MITRE" dataDxfId="82"/>
    <tableColumn id="10" xr3:uid="{00000000-0010-0000-0300-00000A000000}" name="Táctica" dataDxfId="81"/>
    <tableColumn id="11" xr3:uid="{00000000-0010-0000-0300-00000B000000}" name="Objetivo_Prueba" dataDxfId="80"/>
    <tableColumn id="12" xr3:uid="{00000000-0010-0000-0300-00000C000000}" name="Configuración" dataDxfId="79"/>
    <tableColumn id="13" xr3:uid="{00000000-0010-0000-0300-00000D000000}" name="Pasos_Validacion" dataDxfId="78"/>
    <tableColumn id="14" xr3:uid="{00000000-0010-0000-0300-00000E000000}" name="Resultado" dataDxfId="77"/>
    <tableColumn id="15" xr3:uid="{00000000-0010-0000-0300-00000F000000}" name="Regla_Evento" dataDxfId="76"/>
    <tableColumn id="16" xr3:uid="{00000000-0010-0000-0300-000010000000}" name="Severity" dataDxfId="75"/>
    <tableColumn id="17" xr3:uid="{00000000-0010-0000-0300-000011000000}" name="MITRE_Detectado" dataDxfId="74"/>
    <tableColumn id="18" xr3:uid="{00000000-0010-0000-0300-000012000000}" name="Evidencia" dataDxfId="73"/>
    <tableColumn id="19" xr3:uid="{00000000-0010-0000-0300-000013000000}" name="FP_Risk" dataDxfId="72"/>
    <tableColumn id="20" xr3:uid="{00000000-0010-0000-0300-000014000000}" name="Custom_Necesario" dataDxfId="71"/>
    <tableColumn id="21" xr3:uid="{00000000-0010-0000-0300-000015000000}" name="Estado" dataDxfId="70"/>
    <tableColumn id="22" xr3:uid="{00000000-0010-0000-0300-000016000000}" name="Fecha" dataDxfId="69"/>
    <tableColumn id="23" xr3:uid="{00000000-0010-0000-0300-000017000000}" name="Captura_Log" dataDxfId="68"/>
    <tableColumn id="24" xr3:uid="{00000000-0010-0000-0300-000018000000}" name="Observaciones" dataDxfId="67"/>
    <tableColumn id="25" xr3:uid="{318F6CB8-0E6D-45D1-AF6C-8D0504B4190A}" name="Visibilidad" dataDxfId="66"/>
    <tableColumn id="26" xr3:uid="{7561F7F7-11A9-4512-9BA1-43CB0E708863}" name="Detección_Regla" dataDxfId="65"/>
    <tableColumn id="27" xr3:uid="{184489FD-C7B4-40AF-A9F5-E4064380C034}" name="Alerta_RT" dataDxfId="64"/>
    <tableColumn id="28" xr3:uid="{50EF65D0-AAFF-4AB3-8A55-79E1F71E3394}" name="Artifact_Alertante" dataDxfId="63"/>
    <tableColumn id="29" xr3:uid="{2E822539-E109-4AA3-8A82-2A1D580A676D}" name="Salida_Externa" dataDxfId="62"/>
    <tableColumn id="30" xr3:uid="{61AABDEF-3D2C-4516-A067-6CE9388F8678}" name="Veredicto_Alertabilidad" dataDxfId="61"/>
    <tableColumn id="31" xr3:uid="{A1FDDBB9-5DE6-475A-81B4-FB9305514AB7}" name="Resultado_Campaña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MatrizResultadosTable" displayName="MatrizResultadosTable" ref="A4:T13" headerRowDxfId="59" dataDxfId="58" totalsRowDxfId="57">
  <tableColumns count="20">
    <tableColumn id="1" xr3:uid="{00000000-0010-0000-0400-000001000000}" name="TEC" dataDxfId="56"/>
    <tableColumn id="2" xr3:uid="{00000000-0010-0000-0400-000002000000}" name="MITRE" dataDxfId="55"/>
    <tableColumn id="3" xr3:uid="{00000000-0010-0000-0400-000003000000}" name="Técnica" dataDxfId="54"/>
    <tableColumn id="4" xr3:uid="{00000000-0010-0000-0400-000004000000}" name="ProcessCreation" dataDxfId="53"/>
    <tableColumn id="5" xr3:uid="{00000000-0010-0000-0400-000005000000}" name="ServiceCreation" dataDxfId="52"/>
    <tableColumn id="6" xr3:uid="{00000000-0010-0000-0400-000006000000}" name="SysmonLogForward" dataDxfId="51"/>
    <tableColumn id="7" xr3:uid="{00000000-0010-0000-0400-000007000000}" name="Hayabusa.Rules CH" dataDxfId="50"/>
    <tableColumn id="8" xr3:uid="{00000000-0010-0000-0400-000008000000}" name="Hayabusa.Rules CHM" dataDxfId="49"/>
    <tableColumn id="9" xr3:uid="{00000000-0010-0000-0400-000009000000}" name="Hayabusa.Monitoring CH" dataDxfId="48"/>
    <tableColumn id="10" xr3:uid="{00000000-0010-0000-0400-00000A000000}" name="Hayabusa.Monitoring CHM" dataDxfId="47"/>
    <tableColumn id="11" xr3:uid="{00000000-0010-0000-0400-00000B000000}" name="Persistence/Triage" dataDxfId="46"/>
    <tableColumn id="12" xr3:uid="{00000000-0010-0000-0400-00000C000000}" name="Cobertura pública" dataDxfId="45"/>
    <tableColumn id="13" xr3:uid="{00000000-0010-0000-0400-00000D000000}" name="Custom necesario" dataDxfId="44"/>
    <tableColumn id="14" xr3:uid="{00000000-0010-0000-0400-00000E000000}" name="Evidencia principal" dataDxfId="43"/>
    <tableColumn id="15" xr3:uid="{00000000-0010-0000-0400-00000F000000}" name="Decisión" dataDxfId="42"/>
    <tableColumn id="16" xr3:uid="{8F08DB85-573A-40F4-A9FE-8AE70D37FE19}" name="Visibilidad pública" dataDxfId="41"/>
    <tableColumn id="17" xr3:uid="{5E152254-8D7B-47C1-93B9-308DBBCAA945}" name="Detección pública" dataDxfId="40"/>
    <tableColumn id="18" xr3:uid="{8DF52B22-C8F2-46DC-B0CD-CC395A5BC2DA}" name="Alerta RT pública" dataDxfId="39"/>
    <tableColumn id="19" xr3:uid="{3A864019-84B1-4B0A-8F73-CABB51557B1D}" name="Artifact alertante público" dataDxfId="38"/>
    <tableColumn id="20" xr3:uid="{79AB051C-E78B-49E9-A62E-C58150ECBF0E}" name="Necesidad custom alerta" dataDxfId="3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umenTable" displayName="ResumenTable" ref="A4:C18">
  <tableColumns count="3">
    <tableColumn id="1" xr3:uid="{00000000-0010-0000-0500-000001000000}" name="Indicador"/>
    <tableColumn id="2" xr3:uid="{00000000-0010-0000-0500-000002000000}" name="Valor"/>
    <tableColumn id="3" xr3:uid="{00000000-0010-0000-0500-000003000000}" name="Fórmula / interpre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talogoArtifactsTable" displayName="CatalogoArtifactsTable" ref="A4:K18">
  <tableColumns count="11">
    <tableColumn id="1" xr3:uid="{00000000-0010-0000-0600-000001000000}" name="Artifact"/>
    <tableColumn id="2" xr3:uid="{00000000-0010-0000-0600-000002000000}" name="Tipo"/>
    <tableColumn id="3" xr3:uid="{00000000-0010-0000-0600-000003000000}" name="Modo recomendado"/>
    <tableColumn id="4" xr3:uid="{00000000-0010-0000-0600-000004000000}" name="Perfil"/>
    <tableColumn id="5" xr3:uid="{00000000-0010-0000-0600-000005000000}" name="Consumo esperado"/>
    <tableColumn id="6" xr3:uid="{00000000-0010-0000-0600-000006000000}" name="Prioridad"/>
    <tableColumn id="7" xr3:uid="{00000000-0010-0000-0600-000007000000}" name="Técnicas objetivo"/>
    <tableColumn id="8" xr3:uid="{00000000-0010-0000-0600-000008000000}" name="Uso TFM"/>
    <tableColumn id="9" xr3:uid="{00000000-0010-0000-0600-000009000000}" name="Dónde obtener"/>
    <tableColumn id="10" xr3:uid="{00000000-0010-0000-0600-00000A000000}" name="Decisión"/>
    <tableColumn id="11" xr3:uid="{00000000-0010-0000-0600-00000B000000}" name="Nota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enignasFPTable" displayName="BenignasFPTable" ref="A4:J18">
  <tableColumns count="10">
    <tableColumn id="1" xr3:uid="{00000000-0010-0000-0700-000001000000}" name="ID_OB"/>
    <tableColumn id="2" xr3:uid="{00000000-0010-0000-0700-000002000000}" name="Operación benigna"/>
    <tableColumn id="3" xr3:uid="{00000000-0010-0000-0700-000003000000}" name="Comando/acción"/>
    <tableColumn id="4" xr3:uid="{00000000-0010-0000-0700-000004000000}" name="Técnica que podría parecer"/>
    <tableColumn id="5" xr3:uid="{00000000-0010-0000-0700-000005000000}" name="Resultado esperado"/>
    <tableColumn id="6" xr3:uid="{00000000-0010-0000-0700-000006000000}" name="Artifact a comprobar"/>
    <tableColumn id="7" xr3:uid="{00000000-0010-0000-0700-000007000000}" name="Resultado real"/>
    <tableColumn id="8" xr3:uid="{00000000-0010-0000-0700-000008000000}" name="Veredicto"/>
    <tableColumn id="9" xr3:uid="{00000000-0010-0000-0700-000009000000}" name="FP_Risk"/>
    <tableColumn id="10" xr3:uid="{00000000-0010-0000-0700-00000A000000}" name="Nota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enchmarkPlanTable" displayName="BenchmarkPlanTable" ref="A4:J11">
  <tableColumns count="10">
    <tableColumn id="1" xr3:uid="{00000000-0010-0000-0800-000001000000}" name="Escenario"/>
    <tableColumn id="2" xr3:uid="{00000000-0010-0000-0800-000002000000}" name="Objetivo"/>
    <tableColumn id="3" xr3:uid="{00000000-0010-0000-0800-000003000000}" name="VR activo"/>
    <tableColumn id="4" xr3:uid="{00000000-0010-0000-0800-000004000000}" name="Artifacts activos"/>
    <tableColumn id="5" xr3:uid="{00000000-0010-0000-0800-000005000000}" name="Procesos medidos"/>
    <tableColumn id="6" xr3:uid="{00000000-0010-0000-0800-000006000000}" name="Métricas"/>
    <tableColumn id="7" xr3:uid="{00000000-0010-0000-0800-000007000000}" name="Duración"/>
    <tableColumn id="8" xr3:uid="{00000000-0010-0000-0800-000008000000}" name="Repeticiones"/>
    <tableColumn id="9" xr3:uid="{00000000-0010-0000-0800-000009000000}" name="Estado"/>
    <tableColumn id="10" xr3:uid="{00000000-0010-0000-0800-00000A000000}" name="Not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apsCustomTable" displayName="GapsCustomTable" ref="A4:I10">
  <tableColumns count="9">
    <tableColumn id="1" xr3:uid="{00000000-0010-0000-0900-000001000000}" name="Gap_ID"/>
    <tableColumn id="2" xr3:uid="{00000000-0010-0000-0900-000002000000}" name="Técnica/área"/>
    <tableColumn id="3" xr3:uid="{00000000-0010-0000-0900-000003000000}" name="Gap de artifact público"/>
    <tableColumn id="4" xr3:uid="{00000000-0010-0000-0900-000004000000}" name="Riesgo"/>
    <tableColumn id="5" xr3:uid="{00000000-0010-0000-0900-000005000000}" name="Perfil custom propuesto"/>
    <tableColumn id="6" xr3:uid="{00000000-0010-0000-0900-000006000000}" name="Fuente custom"/>
    <tableColumn id="7" xr3:uid="{00000000-0010-0000-0900-000007000000}" name="Discord"/>
    <tableColumn id="8" xr3:uid="{00000000-0010-0000-0900-000008000000}" name="Justificación"/>
    <tableColumn id="9" xr3:uid="{00000000-0010-0000-0900-000009000000}" name="Prior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workbookViewId="0">
      <selection activeCell="B21" sqref="B21"/>
    </sheetView>
  </sheetViews>
  <sheetFormatPr baseColWidth="10" defaultColWidth="9" defaultRowHeight="14.25"/>
  <cols>
    <col min="1" max="1" width="25" customWidth="1"/>
    <col min="2" max="2" width="45" customWidth="1"/>
    <col min="3" max="3" width="55" customWidth="1"/>
  </cols>
  <sheetData>
    <row r="1" spans="1:26" ht="30" customHeight="1">
      <c r="A1" s="46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47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2</v>
      </c>
      <c r="B4" s="4" t="s">
        <v>3</v>
      </c>
      <c r="C4" s="4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5</v>
      </c>
      <c r="B5" s="5" t="s">
        <v>1776</v>
      </c>
      <c r="C5" s="5" t="s">
        <v>1777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6</v>
      </c>
      <c r="B6" s="5" t="s">
        <v>7</v>
      </c>
      <c r="C6" s="5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9</v>
      </c>
      <c r="B7" s="5" t="s">
        <v>10</v>
      </c>
      <c r="C7" s="5" t="s">
        <v>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12</v>
      </c>
      <c r="B8" s="5" t="s">
        <v>13</v>
      </c>
      <c r="C8" s="5" t="s">
        <v>1824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 t="s">
        <v>14</v>
      </c>
      <c r="B9" s="5" t="s">
        <v>15</v>
      </c>
      <c r="C9" s="5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17</v>
      </c>
      <c r="B10" s="5" t="s">
        <v>18</v>
      </c>
      <c r="C10" s="5" t="s">
        <v>19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20</v>
      </c>
      <c r="B11" s="5" t="s">
        <v>21</v>
      </c>
      <c r="C11" s="5" t="s">
        <v>22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23</v>
      </c>
      <c r="B12" s="5" t="s">
        <v>24</v>
      </c>
      <c r="C12" s="5" t="s">
        <v>1825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" t="s">
        <v>25</v>
      </c>
      <c r="B13" s="5" t="s">
        <v>26</v>
      </c>
      <c r="C13" s="5" t="s">
        <v>27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 t="s">
        <v>28</v>
      </c>
      <c r="B14" s="5" t="s">
        <v>29</v>
      </c>
      <c r="C14" s="5" t="s">
        <v>30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0"/>
  <sheetViews>
    <sheetView tabSelected="1" zoomScale="85" zoomScaleNormal="85" workbookViewId="0">
      <selection activeCell="N13" sqref="N13"/>
    </sheetView>
  </sheetViews>
  <sheetFormatPr baseColWidth="10" defaultColWidth="9" defaultRowHeight="14.25"/>
  <cols>
    <col min="1" max="1" width="34.375" customWidth="1"/>
    <col min="2" max="2" width="18" customWidth="1"/>
    <col min="3" max="3" width="72.125" customWidth="1"/>
    <col min="5" max="5" width="22" customWidth="1"/>
    <col min="6" max="6" width="12" customWidth="1"/>
    <col min="7" max="7" width="14" customWidth="1"/>
    <col min="8" max="8" width="8.875" customWidth="1"/>
  </cols>
  <sheetData>
    <row r="1" spans="1:23" ht="33.6" customHeight="1">
      <c r="A1" s="67" t="s">
        <v>1794</v>
      </c>
      <c r="B1" s="68"/>
      <c r="C1" s="68"/>
      <c r="D1" s="69"/>
      <c r="E1" s="69"/>
      <c r="F1" s="69"/>
      <c r="G1" s="69"/>
      <c r="H1" s="69"/>
      <c r="I1" s="69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48" customHeight="1">
      <c r="A2" s="70" t="s">
        <v>1795</v>
      </c>
      <c r="B2" s="70"/>
      <c r="C2" s="70"/>
      <c r="D2" s="71"/>
      <c r="E2" s="71"/>
      <c r="F2" s="71"/>
      <c r="G2" s="71"/>
      <c r="H2" s="71"/>
      <c r="I2" s="7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43.5" customHeight="1">
      <c r="A4" s="72" t="s">
        <v>1796</v>
      </c>
      <c r="B4" s="73">
        <v>6</v>
      </c>
      <c r="C4" s="72" t="s">
        <v>1797</v>
      </c>
      <c r="E4" s="63" t="s">
        <v>34</v>
      </c>
      <c r="F4" s="63" t="s">
        <v>2479</v>
      </c>
      <c r="G4" s="63" t="s">
        <v>2480</v>
      </c>
      <c r="H4" s="62" t="s">
        <v>2481</v>
      </c>
      <c r="I4" s="54"/>
      <c r="J4" s="54"/>
      <c r="K4" s="54"/>
      <c r="L4" s="54"/>
      <c r="M4" s="54"/>
      <c r="N4" s="55"/>
      <c r="O4" s="3"/>
      <c r="P4" s="3"/>
      <c r="Q4" s="3"/>
      <c r="R4" s="3"/>
      <c r="S4" s="3"/>
      <c r="T4" s="3"/>
      <c r="U4" s="3"/>
      <c r="V4" s="3"/>
      <c r="W4" s="3"/>
    </row>
    <row r="5" spans="1:23" ht="43.5" customHeight="1">
      <c r="A5" s="72" t="s">
        <v>1798</v>
      </c>
      <c r="B5" s="73">
        <v>5</v>
      </c>
      <c r="C5" s="72" t="s">
        <v>1799</v>
      </c>
      <c r="E5" s="64" t="s">
        <v>37</v>
      </c>
      <c r="F5" s="65">
        <v>5</v>
      </c>
      <c r="G5" s="66">
        <f>F5/14</f>
        <v>0.35714285714285715</v>
      </c>
      <c r="H5" s="56"/>
      <c r="I5" s="57"/>
      <c r="J5" s="57"/>
      <c r="K5" s="57"/>
      <c r="L5" s="57"/>
      <c r="M5" s="57"/>
      <c r="N5" s="58"/>
      <c r="O5" s="3"/>
      <c r="P5" s="3"/>
      <c r="Q5" s="3"/>
      <c r="R5" s="3"/>
      <c r="S5" s="3"/>
      <c r="T5" s="3"/>
      <c r="U5" s="3"/>
      <c r="V5" s="3"/>
      <c r="W5" s="3"/>
    </row>
    <row r="6" spans="1:23" ht="43.5" customHeight="1">
      <c r="A6" s="72" t="s">
        <v>1800</v>
      </c>
      <c r="B6" s="73">
        <v>0</v>
      </c>
      <c r="C6" s="72" t="s">
        <v>1801</v>
      </c>
      <c r="E6" s="64" t="s">
        <v>39</v>
      </c>
      <c r="F6" s="65">
        <v>6</v>
      </c>
      <c r="G6" s="66">
        <f>F6/14</f>
        <v>0.42857142857142855</v>
      </c>
      <c r="H6" s="56"/>
      <c r="I6" s="57"/>
      <c r="J6" s="57"/>
      <c r="K6" s="57"/>
      <c r="L6" s="57"/>
      <c r="M6" s="57"/>
      <c r="N6" s="58"/>
      <c r="O6" s="3"/>
      <c r="P6" s="3"/>
      <c r="Q6" s="3"/>
      <c r="R6" s="3"/>
      <c r="S6" s="3"/>
      <c r="T6" s="3"/>
      <c r="U6" s="3"/>
      <c r="V6" s="3"/>
      <c r="W6" s="3"/>
    </row>
    <row r="7" spans="1:23" ht="43.5" customHeight="1">
      <c r="A7" s="72" t="s">
        <v>1802</v>
      </c>
      <c r="B7" s="73">
        <v>1</v>
      </c>
      <c r="C7" s="72" t="s">
        <v>1803</v>
      </c>
      <c r="E7" s="64" t="s">
        <v>42</v>
      </c>
      <c r="F7" s="65">
        <v>7</v>
      </c>
      <c r="G7" s="66">
        <f>F7/14</f>
        <v>0.5</v>
      </c>
      <c r="H7" s="59"/>
      <c r="I7" s="60"/>
      <c r="J7" s="60"/>
      <c r="K7" s="60"/>
      <c r="L7" s="60"/>
      <c r="M7" s="60"/>
      <c r="N7" s="61"/>
      <c r="O7" s="3"/>
      <c r="P7" s="3"/>
      <c r="Q7" s="3"/>
      <c r="R7" s="3"/>
      <c r="S7" s="3"/>
      <c r="T7" s="3"/>
      <c r="U7" s="3"/>
      <c r="V7" s="3"/>
      <c r="W7" s="3"/>
    </row>
    <row r="8" spans="1:23" ht="43.5" customHeight="1">
      <c r="A8" s="74" t="s">
        <v>1804</v>
      </c>
      <c r="B8" s="75">
        <v>516</v>
      </c>
      <c r="C8" s="74" t="s">
        <v>1805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43.5" customHeight="1">
      <c r="A9" s="74" t="s">
        <v>1806</v>
      </c>
      <c r="B9" s="75">
        <v>127</v>
      </c>
      <c r="C9" s="74" t="s">
        <v>1807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43.5" customHeight="1">
      <c r="A10" s="74" t="s">
        <v>1808</v>
      </c>
      <c r="B10" s="76" t="s">
        <v>1809</v>
      </c>
      <c r="C10" s="74" t="s">
        <v>1810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43.5" customHeight="1">
      <c r="A11" s="77" t="s">
        <v>1811</v>
      </c>
      <c r="B11" s="78" t="s">
        <v>1812</v>
      </c>
      <c r="C11" s="77" t="s">
        <v>1813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43.5" customHeight="1">
      <c r="A12" s="79" t="s">
        <v>1814</v>
      </c>
      <c r="B12" s="80" t="s">
        <v>1815</v>
      </c>
      <c r="C12" s="79" t="s">
        <v>1816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43.5" customHeight="1">
      <c r="A13" s="81" t="s">
        <v>1817</v>
      </c>
      <c r="B13" s="82" t="s">
        <v>1812</v>
      </c>
      <c r="C13" s="81" t="s">
        <v>1818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43.5" customHeight="1">
      <c r="A14" s="81" t="s">
        <v>1819</v>
      </c>
      <c r="B14" s="82" t="s">
        <v>1820</v>
      </c>
      <c r="C14" s="81" t="s">
        <v>1821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43.5" customHeight="1">
      <c r="A15" s="81" t="s">
        <v>48</v>
      </c>
      <c r="B15" s="81" t="s">
        <v>1822</v>
      </c>
      <c r="C15" s="81" t="s">
        <v>1823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4.25" customHeight="1">
      <c r="A51" s="83" t="s">
        <v>2482</v>
      </c>
      <c r="B51" s="83"/>
      <c r="C51" s="83"/>
      <c r="D51" s="83"/>
      <c r="E51" s="8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>
      <c r="A52" s="83"/>
      <c r="B52" s="83"/>
      <c r="C52" s="83"/>
      <c r="D52" s="83"/>
      <c r="E52" s="8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>
      <c r="A53" s="83"/>
      <c r="B53" s="83"/>
      <c r="C53" s="83"/>
      <c r="D53" s="83"/>
      <c r="E53" s="8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</sheetData>
  <mergeCells count="4">
    <mergeCell ref="A1:I1"/>
    <mergeCell ref="A2:I2"/>
    <mergeCell ref="H4:N7"/>
    <mergeCell ref="A51:E53"/>
  </mergeCells>
  <conditionalFormatting sqref="A4:C11">
    <cfRule type="expression" dxfId="36" priority="1">
      <formula>$B5&gt;0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activeCell="A13" sqref="A5:A13"/>
    </sheetView>
  </sheetViews>
  <sheetFormatPr baseColWidth="10" defaultColWidth="9" defaultRowHeight="14.25"/>
  <cols>
    <col min="1" max="1" width="12" customWidth="1"/>
    <col min="2" max="2" width="22" customWidth="1"/>
    <col min="3" max="3" width="28" customWidth="1"/>
    <col min="4" max="4" width="18" customWidth="1"/>
    <col min="5" max="5" width="34" customWidth="1"/>
    <col min="6" max="6" width="44" customWidth="1"/>
    <col min="7" max="7" width="56" customWidth="1"/>
    <col min="8" max="8" width="42" customWidth="1"/>
    <col min="9" max="9" width="16" customWidth="1"/>
    <col min="10" max="10" width="56" customWidth="1"/>
  </cols>
  <sheetData>
    <row r="1" spans="1:26" ht="30" customHeight="1">
      <c r="A1" s="42" t="s">
        <v>50</v>
      </c>
      <c r="B1" s="43"/>
      <c r="C1" s="43"/>
      <c r="D1" s="43"/>
      <c r="E1" s="43"/>
      <c r="F1" s="43"/>
      <c r="G1" s="43"/>
      <c r="H1" s="43"/>
      <c r="I1" s="43"/>
      <c r="J1" s="4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45" t="s">
        <v>51</v>
      </c>
      <c r="B2" s="45"/>
      <c r="C2" s="45"/>
      <c r="D2" s="45"/>
      <c r="E2" s="45"/>
      <c r="F2" s="45"/>
      <c r="G2" s="45"/>
      <c r="H2" s="45"/>
      <c r="I2" s="45"/>
      <c r="J2" s="4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1" t="s">
        <v>52</v>
      </c>
      <c r="B4" s="11" t="s">
        <v>53</v>
      </c>
      <c r="C4" s="11" t="s">
        <v>54</v>
      </c>
      <c r="D4" s="11" t="s">
        <v>55</v>
      </c>
      <c r="E4" s="11" t="s">
        <v>56</v>
      </c>
      <c r="F4" s="11" t="s">
        <v>57</v>
      </c>
      <c r="G4" s="11" t="s">
        <v>58</v>
      </c>
      <c r="H4" s="11" t="s">
        <v>59</v>
      </c>
      <c r="I4" s="11" t="s">
        <v>60</v>
      </c>
      <c r="J4" s="11" t="s">
        <v>61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62</v>
      </c>
      <c r="B5" s="5" t="s">
        <v>63</v>
      </c>
      <c r="C5" s="5" t="s">
        <v>64</v>
      </c>
      <c r="D5" s="5" t="s">
        <v>65</v>
      </c>
      <c r="E5" s="5"/>
      <c r="F5" s="5" t="s">
        <v>66</v>
      </c>
      <c r="G5" s="5" t="s">
        <v>67</v>
      </c>
      <c r="H5" s="5" t="s">
        <v>68</v>
      </c>
      <c r="I5" s="5" t="s">
        <v>69</v>
      </c>
      <c r="J5" s="5" t="s">
        <v>70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71</v>
      </c>
      <c r="B6" s="5" t="s">
        <v>72</v>
      </c>
      <c r="C6" s="5" t="s">
        <v>73</v>
      </c>
      <c r="D6" s="5" t="s">
        <v>65</v>
      </c>
      <c r="E6" s="5"/>
      <c r="F6" s="5" t="s">
        <v>74</v>
      </c>
      <c r="G6" s="5" t="s">
        <v>75</v>
      </c>
      <c r="H6" s="5" t="s">
        <v>76</v>
      </c>
      <c r="I6" s="5" t="s">
        <v>69</v>
      </c>
      <c r="J6" s="5" t="s">
        <v>77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">
      <c r="A7" s="5" t="s">
        <v>78</v>
      </c>
      <c r="B7" s="5" t="s">
        <v>79</v>
      </c>
      <c r="C7" s="5" t="s">
        <v>80</v>
      </c>
      <c r="D7" s="5" t="s">
        <v>65</v>
      </c>
      <c r="E7" s="5" t="s">
        <v>81</v>
      </c>
      <c r="F7" s="5" t="s">
        <v>82</v>
      </c>
      <c r="G7" s="5" t="s">
        <v>83</v>
      </c>
      <c r="H7" s="5" t="s">
        <v>84</v>
      </c>
      <c r="I7" s="5" t="s">
        <v>69</v>
      </c>
      <c r="J7" s="5" t="s">
        <v>85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86</v>
      </c>
      <c r="B8" s="5" t="s">
        <v>87</v>
      </c>
      <c r="C8" s="5" t="s">
        <v>88</v>
      </c>
      <c r="D8" s="5" t="s">
        <v>89</v>
      </c>
      <c r="E8" s="5" t="s">
        <v>90</v>
      </c>
      <c r="F8" s="5" t="s">
        <v>91</v>
      </c>
      <c r="G8" s="5" t="s">
        <v>92</v>
      </c>
      <c r="H8" s="5" t="s">
        <v>93</v>
      </c>
      <c r="I8" s="5" t="s">
        <v>44</v>
      </c>
      <c r="J8" s="5" t="s">
        <v>94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 t="s">
        <v>95</v>
      </c>
      <c r="B9" s="5" t="s">
        <v>96</v>
      </c>
      <c r="C9" s="5" t="s">
        <v>97</v>
      </c>
      <c r="D9" s="5" t="s">
        <v>65</v>
      </c>
      <c r="E9" s="5"/>
      <c r="F9" s="5" t="s">
        <v>98</v>
      </c>
      <c r="G9" s="5" t="s">
        <v>99</v>
      </c>
      <c r="H9" s="5" t="s">
        <v>100</v>
      </c>
      <c r="I9" s="5" t="s">
        <v>69</v>
      </c>
      <c r="J9" s="5" t="s">
        <v>101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102</v>
      </c>
      <c r="B10" s="5" t="s">
        <v>103</v>
      </c>
      <c r="C10" s="5" t="s">
        <v>104</v>
      </c>
      <c r="D10" s="5" t="s">
        <v>105</v>
      </c>
      <c r="E10" s="5"/>
      <c r="F10" s="5" t="s">
        <v>106</v>
      </c>
      <c r="G10" s="5" t="s">
        <v>107</v>
      </c>
      <c r="H10" s="5" t="s">
        <v>76</v>
      </c>
      <c r="I10" s="5" t="s">
        <v>44</v>
      </c>
      <c r="J10" s="5" t="s">
        <v>108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109</v>
      </c>
      <c r="B11" s="5" t="s">
        <v>110</v>
      </c>
      <c r="C11" s="5" t="s">
        <v>111</v>
      </c>
      <c r="D11" s="5" t="s">
        <v>112</v>
      </c>
      <c r="E11" s="5"/>
      <c r="F11" s="5" t="s">
        <v>113</v>
      </c>
      <c r="G11" s="5" t="s">
        <v>114</v>
      </c>
      <c r="H11" s="5" t="s">
        <v>115</v>
      </c>
      <c r="I11" s="5" t="s">
        <v>44</v>
      </c>
      <c r="J11" s="5" t="s">
        <v>116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117</v>
      </c>
      <c r="B12" s="5" t="s">
        <v>118</v>
      </c>
      <c r="C12" s="5" t="s">
        <v>119</v>
      </c>
      <c r="D12" s="5" t="s">
        <v>112</v>
      </c>
      <c r="E12" s="5"/>
      <c r="F12" s="5" t="s">
        <v>120</v>
      </c>
      <c r="G12" s="5" t="s">
        <v>121</v>
      </c>
      <c r="H12" s="5" t="s">
        <v>122</v>
      </c>
      <c r="I12" s="5" t="s">
        <v>44</v>
      </c>
      <c r="J12" s="5" t="s">
        <v>123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>
      <c r="A13" s="5" t="s">
        <v>48</v>
      </c>
      <c r="B13" s="5" t="s">
        <v>124</v>
      </c>
      <c r="C13" s="5" t="s">
        <v>125</v>
      </c>
      <c r="D13" s="5" t="s">
        <v>126</v>
      </c>
      <c r="E13" s="5" t="s">
        <v>127</v>
      </c>
      <c r="F13" s="5" t="s">
        <v>128</v>
      </c>
      <c r="G13" s="5" t="s">
        <v>129</v>
      </c>
      <c r="H13" s="5" t="s">
        <v>130</v>
      </c>
      <c r="I13" s="5" t="s">
        <v>44</v>
      </c>
      <c r="J13" s="5" t="s">
        <v>131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00"/>
  <sheetViews>
    <sheetView zoomScale="85" zoomScaleNormal="85" workbookViewId="0">
      <selection activeCell="P3" sqref="P3"/>
    </sheetView>
  </sheetViews>
  <sheetFormatPr baseColWidth="10" defaultColWidth="9" defaultRowHeight="14.25"/>
  <cols>
    <col min="1" max="2" width="12" customWidth="1"/>
    <col min="3" max="4" width="18" customWidth="1"/>
    <col min="5" max="5" width="34" customWidth="1"/>
    <col min="6" max="6" width="20.625" customWidth="1"/>
    <col min="7" max="7" width="18" customWidth="1"/>
    <col min="8" max="8" width="24" customWidth="1"/>
    <col min="9" max="9" width="20" customWidth="1"/>
    <col min="10" max="10" width="14" customWidth="1"/>
    <col min="11" max="11" width="34" customWidth="1"/>
    <col min="12" max="12" width="55" customWidth="1"/>
    <col min="13" max="13" width="14" customWidth="1"/>
    <col min="14" max="14" width="18" customWidth="1"/>
    <col min="15" max="15" width="59.5" customWidth="1"/>
  </cols>
  <sheetData>
    <row r="1" spans="1:22" ht="30" customHeight="1">
      <c r="A1" s="46" t="s">
        <v>132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3"/>
      <c r="Q1" s="3"/>
      <c r="R1" s="3"/>
      <c r="S1" s="3"/>
      <c r="T1" s="3"/>
      <c r="U1" s="3"/>
      <c r="V1" s="3"/>
    </row>
    <row r="2" spans="1:22" ht="33.950000000000003" customHeight="1">
      <c r="A2" s="47" t="s">
        <v>133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3"/>
      <c r="Q2" s="3"/>
      <c r="R2" s="3"/>
      <c r="S2" s="3"/>
      <c r="T2" s="3"/>
      <c r="U2" s="3"/>
      <c r="V2" s="3"/>
    </row>
    <row r="3" spans="1:2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>
      <c r="A4" s="4" t="s">
        <v>134</v>
      </c>
      <c r="B4" s="4" t="s">
        <v>135</v>
      </c>
      <c r="C4" s="4" t="s">
        <v>136</v>
      </c>
      <c r="D4" s="4" t="s">
        <v>137</v>
      </c>
      <c r="E4" s="4" t="s">
        <v>138</v>
      </c>
      <c r="F4" s="4" t="s">
        <v>139</v>
      </c>
      <c r="G4" s="4" t="s">
        <v>140</v>
      </c>
      <c r="H4" s="4" t="s">
        <v>141</v>
      </c>
      <c r="I4" s="4" t="s">
        <v>142</v>
      </c>
      <c r="J4" s="4" t="s">
        <v>143</v>
      </c>
      <c r="K4" s="4" t="s">
        <v>144</v>
      </c>
      <c r="L4" s="4" t="s">
        <v>145</v>
      </c>
      <c r="M4" s="4" t="s">
        <v>146</v>
      </c>
      <c r="N4" s="4" t="s">
        <v>148</v>
      </c>
      <c r="O4" s="4" t="s">
        <v>149</v>
      </c>
      <c r="P4" s="3"/>
      <c r="Q4" s="3"/>
      <c r="R4" s="3"/>
      <c r="S4" s="3"/>
      <c r="T4" s="3"/>
      <c r="U4" s="3"/>
      <c r="V4" s="3"/>
    </row>
    <row r="5" spans="1:22" ht="27">
      <c r="A5" s="5" t="s">
        <v>150</v>
      </c>
      <c r="B5" s="5" t="s">
        <v>62</v>
      </c>
      <c r="C5" s="5" t="s">
        <v>63</v>
      </c>
      <c r="D5" s="5" t="s">
        <v>65</v>
      </c>
      <c r="E5" s="5" t="s">
        <v>151</v>
      </c>
      <c r="F5" s="5" t="s">
        <v>1778</v>
      </c>
      <c r="G5" s="5" t="s">
        <v>1782</v>
      </c>
      <c r="H5" s="5" t="s">
        <v>1783</v>
      </c>
      <c r="I5" s="5" t="s">
        <v>152</v>
      </c>
      <c r="J5" s="5" t="s">
        <v>153</v>
      </c>
      <c r="K5" s="5" t="s">
        <v>154</v>
      </c>
      <c r="L5" s="5" t="s">
        <v>2015</v>
      </c>
      <c r="M5" s="5" t="s">
        <v>1784</v>
      </c>
      <c r="N5" s="5" t="s">
        <v>529</v>
      </c>
      <c r="O5" s="5" t="s">
        <v>1785</v>
      </c>
      <c r="P5" s="3"/>
      <c r="Q5" s="3"/>
      <c r="R5" s="3"/>
      <c r="S5" s="3"/>
      <c r="T5" s="3"/>
      <c r="U5" s="3"/>
      <c r="V5" s="3"/>
    </row>
    <row r="6" spans="1:22" ht="27">
      <c r="A6" s="5" t="s">
        <v>155</v>
      </c>
      <c r="B6" s="5" t="s">
        <v>71</v>
      </c>
      <c r="C6" s="5" t="s">
        <v>72</v>
      </c>
      <c r="D6" s="5" t="s">
        <v>65</v>
      </c>
      <c r="E6" s="5" t="s">
        <v>156</v>
      </c>
      <c r="F6" s="5" t="s">
        <v>1778</v>
      </c>
      <c r="G6" s="5" t="s">
        <v>1782</v>
      </c>
      <c r="H6" s="5" t="s">
        <v>1783</v>
      </c>
      <c r="I6" s="5" t="s">
        <v>152</v>
      </c>
      <c r="J6" s="5" t="s">
        <v>153</v>
      </c>
      <c r="K6" s="5" t="s">
        <v>154</v>
      </c>
      <c r="L6" s="5" t="s">
        <v>2016</v>
      </c>
      <c r="M6" s="5" t="s">
        <v>1784</v>
      </c>
      <c r="N6" s="5" t="s">
        <v>529</v>
      </c>
      <c r="O6" s="5" t="s">
        <v>1786</v>
      </c>
      <c r="P6" s="3"/>
      <c r="Q6" s="3"/>
      <c r="R6" s="3"/>
      <c r="S6" s="3"/>
      <c r="T6" s="3"/>
      <c r="U6" s="3"/>
      <c r="V6" s="3"/>
    </row>
    <row r="7" spans="1:22" ht="27">
      <c r="A7" s="5" t="s">
        <v>157</v>
      </c>
      <c r="B7" s="5" t="s">
        <v>78</v>
      </c>
      <c r="C7" s="5" t="s">
        <v>79</v>
      </c>
      <c r="D7" s="5" t="s">
        <v>65</v>
      </c>
      <c r="E7" s="5" t="s">
        <v>158</v>
      </c>
      <c r="F7" s="5" t="s">
        <v>1778</v>
      </c>
      <c r="G7" s="5" t="s">
        <v>1782</v>
      </c>
      <c r="H7" s="5" t="s">
        <v>1783</v>
      </c>
      <c r="I7" s="5" t="s">
        <v>152</v>
      </c>
      <c r="J7" s="5" t="s">
        <v>153</v>
      </c>
      <c r="K7" s="5" t="s">
        <v>154</v>
      </c>
      <c r="L7" s="5" t="s">
        <v>2017</v>
      </c>
      <c r="M7" s="5" t="s">
        <v>1784</v>
      </c>
      <c r="N7" s="5" t="s">
        <v>529</v>
      </c>
      <c r="O7" s="5" t="s">
        <v>1787</v>
      </c>
      <c r="P7" s="3"/>
      <c r="Q7" s="3"/>
      <c r="R7" s="3"/>
      <c r="S7" s="3"/>
      <c r="T7" s="3"/>
      <c r="U7" s="3"/>
      <c r="V7" s="3"/>
    </row>
    <row r="8" spans="1:22" ht="27">
      <c r="A8" s="5" t="s">
        <v>159</v>
      </c>
      <c r="B8" s="5" t="s">
        <v>86</v>
      </c>
      <c r="C8" s="5" t="s">
        <v>87</v>
      </c>
      <c r="D8" s="5" t="s">
        <v>89</v>
      </c>
      <c r="E8" s="5" t="s">
        <v>160</v>
      </c>
      <c r="F8" s="5" t="s">
        <v>1779</v>
      </c>
      <c r="G8" s="5" t="s">
        <v>1782</v>
      </c>
      <c r="H8" s="5" t="s">
        <v>1783</v>
      </c>
      <c r="I8" s="5" t="s">
        <v>168</v>
      </c>
      <c r="J8" s="5" t="s">
        <v>153</v>
      </c>
      <c r="K8" s="5" t="s">
        <v>154</v>
      </c>
      <c r="L8" s="5" t="s">
        <v>2018</v>
      </c>
      <c r="M8" s="5" t="s">
        <v>1784</v>
      </c>
      <c r="N8" s="5" t="s">
        <v>529</v>
      </c>
      <c r="O8" s="5" t="s">
        <v>1788</v>
      </c>
      <c r="P8" s="3"/>
      <c r="Q8" s="3"/>
      <c r="R8" s="3"/>
      <c r="S8" s="3"/>
      <c r="T8" s="3"/>
      <c r="U8" s="3"/>
      <c r="V8" s="3"/>
    </row>
    <row r="9" spans="1:22" ht="27">
      <c r="A9" s="5" t="s">
        <v>161</v>
      </c>
      <c r="B9" s="5" t="s">
        <v>95</v>
      </c>
      <c r="C9" s="5" t="s">
        <v>96</v>
      </c>
      <c r="D9" s="5" t="s">
        <v>65</v>
      </c>
      <c r="E9" s="5" t="s">
        <v>162</v>
      </c>
      <c r="F9" s="5" t="s">
        <v>1779</v>
      </c>
      <c r="G9" s="5" t="s">
        <v>1782</v>
      </c>
      <c r="H9" s="5" t="s">
        <v>1783</v>
      </c>
      <c r="I9" s="5" t="s">
        <v>163</v>
      </c>
      <c r="J9" s="5" t="s">
        <v>153</v>
      </c>
      <c r="K9" s="5" t="s">
        <v>154</v>
      </c>
      <c r="L9" s="5" t="s">
        <v>2019</v>
      </c>
      <c r="M9" s="5" t="s">
        <v>1784</v>
      </c>
      <c r="N9" s="5" t="s">
        <v>529</v>
      </c>
      <c r="O9" s="5" t="s">
        <v>1789</v>
      </c>
      <c r="P9" s="3"/>
      <c r="Q9" s="3"/>
      <c r="R9" s="3"/>
      <c r="S9" s="3"/>
      <c r="T9" s="3"/>
      <c r="U9" s="3"/>
      <c r="V9" s="3"/>
    </row>
    <row r="10" spans="1:22" ht="27">
      <c r="A10" s="5" t="s">
        <v>164</v>
      </c>
      <c r="B10" s="5" t="s">
        <v>102</v>
      </c>
      <c r="C10" s="5" t="s">
        <v>103</v>
      </c>
      <c r="D10" s="5" t="s">
        <v>105</v>
      </c>
      <c r="E10" s="5" t="s">
        <v>165</v>
      </c>
      <c r="F10" s="5" t="s">
        <v>1780</v>
      </c>
      <c r="G10" s="5" t="s">
        <v>1782</v>
      </c>
      <c r="H10" s="5" t="s">
        <v>1783</v>
      </c>
      <c r="I10" s="5" t="s">
        <v>163</v>
      </c>
      <c r="J10" s="5" t="s">
        <v>153</v>
      </c>
      <c r="K10" s="5" t="s">
        <v>154</v>
      </c>
      <c r="L10" s="5" t="s">
        <v>2020</v>
      </c>
      <c r="M10" s="5" t="s">
        <v>1784</v>
      </c>
      <c r="N10" s="5" t="s">
        <v>529</v>
      </c>
      <c r="O10" s="5" t="s">
        <v>1790</v>
      </c>
      <c r="P10" s="3"/>
      <c r="Q10" s="3"/>
      <c r="R10" s="3"/>
      <c r="S10" s="3"/>
      <c r="T10" s="3"/>
      <c r="U10" s="3"/>
      <c r="V10" s="3"/>
    </row>
    <row r="11" spans="1:22" ht="27">
      <c r="A11" s="5" t="s">
        <v>166</v>
      </c>
      <c r="B11" s="5" t="s">
        <v>109</v>
      </c>
      <c r="C11" s="5" t="s">
        <v>110</v>
      </c>
      <c r="D11" s="5" t="s">
        <v>112</v>
      </c>
      <c r="E11" s="5" t="s">
        <v>167</v>
      </c>
      <c r="F11" s="5" t="s">
        <v>1781</v>
      </c>
      <c r="G11" s="5" t="s">
        <v>1782</v>
      </c>
      <c r="H11" s="5" t="s">
        <v>1783</v>
      </c>
      <c r="I11" s="5" t="s">
        <v>168</v>
      </c>
      <c r="J11" s="5" t="s">
        <v>153</v>
      </c>
      <c r="K11" s="5" t="s">
        <v>154</v>
      </c>
      <c r="L11" s="5" t="s">
        <v>2021</v>
      </c>
      <c r="M11" s="5" t="s">
        <v>1784</v>
      </c>
      <c r="N11" s="5" t="s">
        <v>44</v>
      </c>
      <c r="O11" s="5" t="s">
        <v>1791</v>
      </c>
      <c r="P11" s="3"/>
      <c r="Q11" s="3"/>
      <c r="R11" s="3"/>
      <c r="S11" s="3"/>
      <c r="T11" s="3"/>
      <c r="U11" s="3"/>
      <c r="V11" s="3"/>
    </row>
    <row r="12" spans="1:22" ht="27">
      <c r="A12" s="5" t="s">
        <v>169</v>
      </c>
      <c r="B12" s="5" t="s">
        <v>117</v>
      </c>
      <c r="C12" s="5" t="s">
        <v>118</v>
      </c>
      <c r="D12" s="5" t="s">
        <v>112</v>
      </c>
      <c r="E12" s="5" t="s">
        <v>170</v>
      </c>
      <c r="F12" s="5" t="s">
        <v>1781</v>
      </c>
      <c r="G12" s="5" t="s">
        <v>1782</v>
      </c>
      <c r="H12" s="5" t="s">
        <v>1783</v>
      </c>
      <c r="I12" s="5" t="s">
        <v>168</v>
      </c>
      <c r="J12" s="5" t="s">
        <v>153</v>
      </c>
      <c r="K12" s="5" t="s">
        <v>154</v>
      </c>
      <c r="L12" s="5" t="s">
        <v>2022</v>
      </c>
      <c r="M12" s="5" t="s">
        <v>1784</v>
      </c>
      <c r="N12" s="5" t="s">
        <v>44</v>
      </c>
      <c r="O12" s="5" t="s">
        <v>1792</v>
      </c>
      <c r="P12" s="3"/>
      <c r="Q12" s="3"/>
      <c r="R12" s="3"/>
      <c r="S12" s="3"/>
      <c r="T12" s="3"/>
      <c r="U12" s="3"/>
      <c r="V12" s="3"/>
    </row>
    <row r="13" spans="1:22" ht="27">
      <c r="A13" s="5" t="s">
        <v>171</v>
      </c>
      <c r="B13" s="5" t="s">
        <v>48</v>
      </c>
      <c r="C13" s="5" t="s">
        <v>124</v>
      </c>
      <c r="D13" s="5" t="s">
        <v>126</v>
      </c>
      <c r="E13" s="5" t="s">
        <v>172</v>
      </c>
      <c r="F13" s="5" t="s">
        <v>1781</v>
      </c>
      <c r="G13" s="5" t="s">
        <v>1782</v>
      </c>
      <c r="H13" s="5" t="s">
        <v>1783</v>
      </c>
      <c r="I13" s="5" t="s">
        <v>168</v>
      </c>
      <c r="J13" s="5" t="s">
        <v>153</v>
      </c>
      <c r="K13" s="5" t="s">
        <v>154</v>
      </c>
      <c r="L13" s="5" t="s">
        <v>2023</v>
      </c>
      <c r="M13" s="5" t="s">
        <v>1784</v>
      </c>
      <c r="N13" s="5" t="s">
        <v>44</v>
      </c>
      <c r="O13" s="5" t="s">
        <v>1793</v>
      </c>
      <c r="P13" s="3"/>
      <c r="Q13" s="3"/>
      <c r="R13" s="3"/>
      <c r="S13" s="3"/>
      <c r="T13" s="3"/>
      <c r="U13" s="3"/>
      <c r="V13" s="3"/>
    </row>
    <row r="14" spans="1:2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P17" s="3"/>
      <c r="Q17" s="3"/>
      <c r="R17" s="3"/>
      <c r="S17" s="3"/>
      <c r="T17" s="3"/>
      <c r="U17" s="3"/>
      <c r="V17" s="3"/>
    </row>
    <row r="18" spans="1:2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00"/>
  <sheetViews>
    <sheetView topLeftCell="A58" workbookViewId="0">
      <selection activeCell="A62" sqref="A62:AE67"/>
    </sheetView>
  </sheetViews>
  <sheetFormatPr baseColWidth="10" defaultColWidth="9" defaultRowHeight="14.25"/>
  <cols>
    <col min="1" max="1" width="12" customWidth="1"/>
    <col min="2" max="2" width="24" customWidth="1"/>
    <col min="3" max="4" width="14" customWidth="1"/>
    <col min="5" max="5" width="32" customWidth="1"/>
    <col min="6" max="6" width="16" customWidth="1"/>
    <col min="7" max="7" width="22" customWidth="1"/>
    <col min="8" max="8" width="12" customWidth="1"/>
    <col min="9" max="10" width="18" customWidth="1"/>
    <col min="11" max="11" width="36" customWidth="1"/>
    <col min="12" max="12" width="34" customWidth="1"/>
    <col min="13" max="13" width="48" customWidth="1"/>
    <col min="14" max="14" width="12" customWidth="1"/>
    <col min="15" max="15" width="32" customWidth="1"/>
    <col min="16" max="16" width="14" customWidth="1"/>
    <col min="17" max="17" width="20" customWidth="1"/>
    <col min="18" max="18" width="48" customWidth="1"/>
    <col min="19" max="19" width="14" customWidth="1"/>
    <col min="20" max="20" width="18" customWidth="1"/>
    <col min="21" max="22" width="14" customWidth="1"/>
    <col min="23" max="23" width="18" customWidth="1"/>
    <col min="24" max="24" width="42" customWidth="1"/>
    <col min="25" max="25" width="14" customWidth="1"/>
    <col min="26" max="26" width="18" customWidth="1"/>
    <col min="27" max="27" width="14" customWidth="1"/>
    <col min="28" max="28" width="24" customWidth="1"/>
    <col min="29" max="29" width="16" customWidth="1"/>
    <col min="30" max="30" width="36" customWidth="1"/>
    <col min="31" max="31" width="42" customWidth="1"/>
  </cols>
  <sheetData>
    <row r="1" spans="1:31" ht="30" customHeight="1">
      <c r="A1" s="46" t="s">
        <v>173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3"/>
      <c r="Z1" s="3"/>
    </row>
    <row r="2" spans="1:31" ht="33.950000000000003" customHeight="1">
      <c r="A2" s="47" t="s">
        <v>174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3"/>
      <c r="Z2" s="3"/>
    </row>
    <row r="3" spans="1:3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31" ht="15">
      <c r="A4" s="4" t="s">
        <v>134</v>
      </c>
      <c r="B4" s="4" t="s">
        <v>175</v>
      </c>
      <c r="C4" s="4" t="s">
        <v>176</v>
      </c>
      <c r="D4" s="4" t="s">
        <v>177</v>
      </c>
      <c r="E4" s="4" t="s">
        <v>178</v>
      </c>
      <c r="F4" s="4" t="s">
        <v>141</v>
      </c>
      <c r="G4" s="4" t="s">
        <v>179</v>
      </c>
      <c r="H4" s="4" t="s">
        <v>52</v>
      </c>
      <c r="I4" s="4" t="s">
        <v>136</v>
      </c>
      <c r="J4" s="4" t="s">
        <v>137</v>
      </c>
      <c r="K4" s="4" t="s">
        <v>180</v>
      </c>
      <c r="L4" s="4" t="s">
        <v>181</v>
      </c>
      <c r="M4" s="4" t="s">
        <v>182</v>
      </c>
      <c r="N4" s="4" t="s">
        <v>183</v>
      </c>
      <c r="O4" s="4" t="s">
        <v>184</v>
      </c>
      <c r="P4" s="4" t="s">
        <v>185</v>
      </c>
      <c r="Q4" s="4" t="s">
        <v>186</v>
      </c>
      <c r="R4" s="4" t="s">
        <v>187</v>
      </c>
      <c r="S4" s="4" t="s">
        <v>147</v>
      </c>
      <c r="T4" s="4" t="s">
        <v>148</v>
      </c>
      <c r="U4" s="4" t="s">
        <v>188</v>
      </c>
      <c r="V4" s="4" t="s">
        <v>189</v>
      </c>
      <c r="W4" s="4" t="s">
        <v>190</v>
      </c>
      <c r="X4" s="4" t="s">
        <v>191</v>
      </c>
      <c r="Y4" s="10" t="s">
        <v>192</v>
      </c>
      <c r="Z4" s="10" t="s">
        <v>193</v>
      </c>
      <c r="AA4" s="36" t="s">
        <v>194</v>
      </c>
      <c r="AB4" s="36" t="s">
        <v>195</v>
      </c>
      <c r="AC4" s="36" t="s">
        <v>196</v>
      </c>
      <c r="AD4" s="36" t="s">
        <v>197</v>
      </c>
      <c r="AE4" s="36" t="s">
        <v>1890</v>
      </c>
    </row>
    <row r="5" spans="1:31" ht="81">
      <c r="A5" s="5" t="s">
        <v>198</v>
      </c>
      <c r="B5" s="5" t="s">
        <v>199</v>
      </c>
      <c r="C5" s="5" t="s">
        <v>200</v>
      </c>
      <c r="D5" s="5" t="s">
        <v>201</v>
      </c>
      <c r="E5" s="5" t="s">
        <v>202</v>
      </c>
      <c r="F5" s="5" t="s">
        <v>203</v>
      </c>
      <c r="G5" s="5" t="s">
        <v>204</v>
      </c>
      <c r="H5" s="5" t="s">
        <v>62</v>
      </c>
      <c r="I5" s="5" t="s">
        <v>63</v>
      </c>
      <c r="J5" s="5" t="s">
        <v>65</v>
      </c>
      <c r="K5" s="5" t="s">
        <v>205</v>
      </c>
      <c r="L5" s="5" t="s">
        <v>206</v>
      </c>
      <c r="M5" s="5" t="s">
        <v>207</v>
      </c>
      <c r="N5" s="5" t="s">
        <v>1891</v>
      </c>
      <c r="O5" s="5" t="s">
        <v>208</v>
      </c>
      <c r="P5" s="5" t="s">
        <v>209</v>
      </c>
      <c r="Q5" s="5" t="s">
        <v>63</v>
      </c>
      <c r="R5" s="5" t="s">
        <v>210</v>
      </c>
      <c r="S5" s="5" t="s">
        <v>211</v>
      </c>
      <c r="T5" s="5" t="s">
        <v>44</v>
      </c>
      <c r="U5" s="5" t="s">
        <v>2101</v>
      </c>
      <c r="V5" s="35">
        <v>46215</v>
      </c>
      <c r="W5" s="5" t="s">
        <v>1892</v>
      </c>
      <c r="X5" s="5" t="s">
        <v>1893</v>
      </c>
      <c r="Y5" s="5" t="s">
        <v>44</v>
      </c>
      <c r="Z5" s="5" t="s">
        <v>529</v>
      </c>
      <c r="AA5" s="2" t="s">
        <v>529</v>
      </c>
      <c r="AB5" s="2" t="s">
        <v>209</v>
      </c>
      <c r="AC5" s="2" t="s">
        <v>529</v>
      </c>
      <c r="AD5" s="2" t="s">
        <v>1894</v>
      </c>
      <c r="AE5" s="2" t="s">
        <v>1850</v>
      </c>
    </row>
    <row r="6" spans="1:31" ht="81">
      <c r="A6" s="5" t="s">
        <v>213</v>
      </c>
      <c r="B6" s="5" t="s">
        <v>199</v>
      </c>
      <c r="C6" s="5" t="s">
        <v>200</v>
      </c>
      <c r="D6" s="5" t="s">
        <v>201</v>
      </c>
      <c r="E6" s="5" t="s">
        <v>202</v>
      </c>
      <c r="F6" s="5" t="s">
        <v>203</v>
      </c>
      <c r="G6" s="5" t="s">
        <v>204</v>
      </c>
      <c r="H6" s="5" t="s">
        <v>71</v>
      </c>
      <c r="I6" s="5" t="s">
        <v>72</v>
      </c>
      <c r="J6" s="5" t="s">
        <v>65</v>
      </c>
      <c r="K6" s="5" t="s">
        <v>214</v>
      </c>
      <c r="L6" s="5" t="s">
        <v>206</v>
      </c>
      <c r="M6" s="5" t="s">
        <v>207</v>
      </c>
      <c r="N6" s="5" t="s">
        <v>1891</v>
      </c>
      <c r="O6" s="5" t="s">
        <v>208</v>
      </c>
      <c r="P6" s="5" t="s">
        <v>209</v>
      </c>
      <c r="Q6" s="5" t="s">
        <v>72</v>
      </c>
      <c r="R6" s="5" t="s">
        <v>215</v>
      </c>
      <c r="S6" s="5" t="s">
        <v>211</v>
      </c>
      <c r="T6" s="5" t="s">
        <v>44</v>
      </c>
      <c r="U6" s="5" t="s">
        <v>2101</v>
      </c>
      <c r="V6" s="35">
        <v>46215</v>
      </c>
      <c r="W6" s="5" t="s">
        <v>1892</v>
      </c>
      <c r="X6" s="5" t="s">
        <v>1893</v>
      </c>
      <c r="Y6" s="3" t="s">
        <v>44</v>
      </c>
      <c r="Z6" s="3" t="s">
        <v>529</v>
      </c>
      <c r="AA6" s="33" t="s">
        <v>529</v>
      </c>
      <c r="AB6" s="33" t="s">
        <v>209</v>
      </c>
      <c r="AC6" s="33" t="s">
        <v>529</v>
      </c>
      <c r="AD6" s="33" t="s">
        <v>1894</v>
      </c>
      <c r="AE6" s="33" t="s">
        <v>1850</v>
      </c>
    </row>
    <row r="7" spans="1:31" ht="81">
      <c r="A7" s="5" t="s">
        <v>216</v>
      </c>
      <c r="B7" s="5" t="s">
        <v>199</v>
      </c>
      <c r="C7" s="5" t="s">
        <v>200</v>
      </c>
      <c r="D7" s="5" t="s">
        <v>201</v>
      </c>
      <c r="E7" s="5" t="s">
        <v>202</v>
      </c>
      <c r="F7" s="5" t="s">
        <v>203</v>
      </c>
      <c r="G7" s="5" t="s">
        <v>204</v>
      </c>
      <c r="H7" s="5" t="s">
        <v>78</v>
      </c>
      <c r="I7" s="5" t="s">
        <v>79</v>
      </c>
      <c r="J7" s="5" t="s">
        <v>217</v>
      </c>
      <c r="K7" s="5" t="s">
        <v>218</v>
      </c>
      <c r="L7" s="5" t="s">
        <v>206</v>
      </c>
      <c r="M7" s="5" t="s">
        <v>207</v>
      </c>
      <c r="N7" s="5" t="s">
        <v>1891</v>
      </c>
      <c r="O7" s="5" t="s">
        <v>208</v>
      </c>
      <c r="P7" s="5" t="s">
        <v>209</v>
      </c>
      <c r="Q7" s="5" t="s">
        <v>79</v>
      </c>
      <c r="R7" s="5" t="s">
        <v>219</v>
      </c>
      <c r="S7" s="5" t="s">
        <v>211</v>
      </c>
      <c r="T7" s="5" t="s">
        <v>44</v>
      </c>
      <c r="U7" s="5" t="s">
        <v>2101</v>
      </c>
      <c r="V7" s="35">
        <v>46215</v>
      </c>
      <c r="W7" s="5" t="s">
        <v>1892</v>
      </c>
      <c r="X7" s="5" t="s">
        <v>1893</v>
      </c>
      <c r="Y7" s="3" t="s">
        <v>44</v>
      </c>
      <c r="Z7" s="3" t="s">
        <v>529</v>
      </c>
      <c r="AA7" s="33" t="s">
        <v>529</v>
      </c>
      <c r="AB7" s="33" t="s">
        <v>209</v>
      </c>
      <c r="AC7" s="33" t="s">
        <v>529</v>
      </c>
      <c r="AD7" s="33" t="s">
        <v>1894</v>
      </c>
      <c r="AE7" s="33" t="s">
        <v>1850</v>
      </c>
    </row>
    <row r="8" spans="1:31" ht="81">
      <c r="A8" s="5" t="s">
        <v>220</v>
      </c>
      <c r="B8" s="5" t="s">
        <v>199</v>
      </c>
      <c r="C8" s="5" t="s">
        <v>200</v>
      </c>
      <c r="D8" s="5" t="s">
        <v>201</v>
      </c>
      <c r="E8" s="5" t="s">
        <v>202</v>
      </c>
      <c r="F8" s="5" t="s">
        <v>203</v>
      </c>
      <c r="G8" s="5" t="s">
        <v>204</v>
      </c>
      <c r="H8" s="5" t="s">
        <v>86</v>
      </c>
      <c r="I8" s="5" t="s">
        <v>87</v>
      </c>
      <c r="J8" s="5" t="s">
        <v>89</v>
      </c>
      <c r="K8" s="5" t="s">
        <v>221</v>
      </c>
      <c r="L8" s="5" t="s">
        <v>206</v>
      </c>
      <c r="M8" s="5" t="s">
        <v>207</v>
      </c>
      <c r="N8" s="5" t="s">
        <v>1891</v>
      </c>
      <c r="O8" s="5" t="s">
        <v>208</v>
      </c>
      <c r="P8" s="5" t="s">
        <v>209</v>
      </c>
      <c r="Q8" s="5" t="s">
        <v>87</v>
      </c>
      <c r="R8" s="5"/>
      <c r="S8" s="5" t="s">
        <v>211</v>
      </c>
      <c r="T8" s="5" t="s">
        <v>44</v>
      </c>
      <c r="U8" s="5" t="s">
        <v>2101</v>
      </c>
      <c r="V8" s="35">
        <v>46215</v>
      </c>
      <c r="W8" s="5" t="s">
        <v>1892</v>
      </c>
      <c r="X8" s="5" t="s">
        <v>1893</v>
      </c>
      <c r="Y8" s="3" t="s">
        <v>44</v>
      </c>
      <c r="Z8" s="3" t="s">
        <v>529</v>
      </c>
      <c r="AA8" s="33" t="s">
        <v>529</v>
      </c>
      <c r="AB8" s="33" t="s">
        <v>209</v>
      </c>
      <c r="AC8" s="33" t="s">
        <v>529</v>
      </c>
      <c r="AD8" s="33" t="s">
        <v>1894</v>
      </c>
      <c r="AE8" s="33" t="s">
        <v>1850</v>
      </c>
    </row>
    <row r="9" spans="1:31" ht="81">
      <c r="A9" s="5" t="s">
        <v>222</v>
      </c>
      <c r="B9" s="5" t="s">
        <v>199</v>
      </c>
      <c r="C9" s="5" t="s">
        <v>200</v>
      </c>
      <c r="D9" s="5" t="s">
        <v>201</v>
      </c>
      <c r="E9" s="5" t="s">
        <v>202</v>
      </c>
      <c r="F9" s="5" t="s">
        <v>203</v>
      </c>
      <c r="G9" s="5" t="s">
        <v>204</v>
      </c>
      <c r="H9" s="5" t="s">
        <v>95</v>
      </c>
      <c r="I9" s="5" t="s">
        <v>96</v>
      </c>
      <c r="J9" s="5" t="s">
        <v>65</v>
      </c>
      <c r="K9" s="5" t="s">
        <v>223</v>
      </c>
      <c r="L9" s="5" t="s">
        <v>206</v>
      </c>
      <c r="M9" s="5" t="s">
        <v>207</v>
      </c>
      <c r="N9" s="5" t="s">
        <v>1891</v>
      </c>
      <c r="O9" s="5" t="s">
        <v>208</v>
      </c>
      <c r="P9" s="5" t="s">
        <v>209</v>
      </c>
      <c r="Q9" s="5" t="s">
        <v>96</v>
      </c>
      <c r="R9" s="5" t="s">
        <v>224</v>
      </c>
      <c r="S9" s="5" t="s">
        <v>211</v>
      </c>
      <c r="T9" s="5" t="s">
        <v>44</v>
      </c>
      <c r="U9" s="5" t="s">
        <v>2101</v>
      </c>
      <c r="V9" s="35">
        <v>46215</v>
      </c>
      <c r="W9" s="5" t="s">
        <v>1892</v>
      </c>
      <c r="X9" s="5" t="s">
        <v>1893</v>
      </c>
      <c r="Y9" s="3" t="s">
        <v>44</v>
      </c>
      <c r="Z9" s="3" t="s">
        <v>529</v>
      </c>
      <c r="AA9" s="33" t="s">
        <v>529</v>
      </c>
      <c r="AB9" s="33" t="s">
        <v>209</v>
      </c>
      <c r="AC9" s="33" t="s">
        <v>529</v>
      </c>
      <c r="AD9" s="33" t="s">
        <v>1894</v>
      </c>
      <c r="AE9" s="33" t="s">
        <v>1850</v>
      </c>
    </row>
    <row r="10" spans="1:31" ht="81">
      <c r="A10" s="5" t="s">
        <v>225</v>
      </c>
      <c r="B10" s="5" t="s">
        <v>199</v>
      </c>
      <c r="C10" s="5" t="s">
        <v>200</v>
      </c>
      <c r="D10" s="5" t="s">
        <v>201</v>
      </c>
      <c r="E10" s="5" t="s">
        <v>202</v>
      </c>
      <c r="F10" s="5" t="s">
        <v>203</v>
      </c>
      <c r="G10" s="5" t="s">
        <v>204</v>
      </c>
      <c r="H10" s="5" t="s">
        <v>102</v>
      </c>
      <c r="I10" s="5" t="s">
        <v>103</v>
      </c>
      <c r="J10" s="5" t="s">
        <v>105</v>
      </c>
      <c r="K10" s="5" t="s">
        <v>226</v>
      </c>
      <c r="L10" s="5" t="s">
        <v>206</v>
      </c>
      <c r="M10" s="5" t="s">
        <v>207</v>
      </c>
      <c r="N10" s="5" t="s">
        <v>1891</v>
      </c>
      <c r="O10" s="5" t="s">
        <v>208</v>
      </c>
      <c r="P10" s="5" t="s">
        <v>209</v>
      </c>
      <c r="Q10" s="5" t="s">
        <v>103</v>
      </c>
      <c r="R10" s="5"/>
      <c r="S10" s="5" t="s">
        <v>211</v>
      </c>
      <c r="T10" s="5" t="s">
        <v>44</v>
      </c>
      <c r="U10" s="5" t="s">
        <v>2101</v>
      </c>
      <c r="V10" s="35">
        <v>46215</v>
      </c>
      <c r="W10" s="5" t="s">
        <v>1892</v>
      </c>
      <c r="X10" s="5" t="s">
        <v>1893</v>
      </c>
      <c r="Y10" s="3" t="s">
        <v>44</v>
      </c>
      <c r="Z10" s="3" t="s">
        <v>529</v>
      </c>
      <c r="AA10" s="33" t="s">
        <v>529</v>
      </c>
      <c r="AB10" s="33" t="s">
        <v>209</v>
      </c>
      <c r="AC10" s="33" t="s">
        <v>529</v>
      </c>
      <c r="AD10" s="33" t="s">
        <v>1894</v>
      </c>
      <c r="AE10" s="33" t="s">
        <v>1850</v>
      </c>
    </row>
    <row r="11" spans="1:31" ht="81">
      <c r="A11" s="5" t="s">
        <v>227</v>
      </c>
      <c r="B11" s="5" t="s">
        <v>199</v>
      </c>
      <c r="C11" s="5" t="s">
        <v>200</v>
      </c>
      <c r="D11" s="5" t="s">
        <v>201</v>
      </c>
      <c r="E11" s="5" t="s">
        <v>202</v>
      </c>
      <c r="F11" s="5" t="s">
        <v>203</v>
      </c>
      <c r="G11" s="5" t="s">
        <v>204</v>
      </c>
      <c r="H11" s="5" t="s">
        <v>109</v>
      </c>
      <c r="I11" s="5" t="s">
        <v>110</v>
      </c>
      <c r="J11" s="5" t="s">
        <v>112</v>
      </c>
      <c r="K11" s="5" t="s">
        <v>228</v>
      </c>
      <c r="L11" s="5" t="s">
        <v>206</v>
      </c>
      <c r="M11" s="5" t="s">
        <v>207</v>
      </c>
      <c r="N11" s="5" t="s">
        <v>1891</v>
      </c>
      <c r="O11" s="5" t="s">
        <v>208</v>
      </c>
      <c r="P11" s="5" t="s">
        <v>209</v>
      </c>
      <c r="Q11" s="5" t="s">
        <v>110</v>
      </c>
      <c r="R11" s="5" t="s">
        <v>229</v>
      </c>
      <c r="S11" s="5" t="s">
        <v>211</v>
      </c>
      <c r="T11" s="5" t="s">
        <v>44</v>
      </c>
      <c r="U11" s="5" t="s">
        <v>2101</v>
      </c>
      <c r="V11" s="35">
        <v>46215</v>
      </c>
      <c r="W11" s="5" t="s">
        <v>1892</v>
      </c>
      <c r="X11" s="5" t="s">
        <v>1893</v>
      </c>
      <c r="Y11" s="3" t="s">
        <v>44</v>
      </c>
      <c r="Z11" s="3" t="s">
        <v>529</v>
      </c>
      <c r="AA11" s="33" t="s">
        <v>529</v>
      </c>
      <c r="AB11" s="33" t="s">
        <v>209</v>
      </c>
      <c r="AC11" s="33" t="s">
        <v>529</v>
      </c>
      <c r="AD11" s="33" t="s">
        <v>1894</v>
      </c>
      <c r="AE11" s="33" t="s">
        <v>1850</v>
      </c>
    </row>
    <row r="12" spans="1:31" ht="81">
      <c r="A12" s="5" t="s">
        <v>230</v>
      </c>
      <c r="B12" s="5" t="s">
        <v>199</v>
      </c>
      <c r="C12" s="5" t="s">
        <v>200</v>
      </c>
      <c r="D12" s="5" t="s">
        <v>201</v>
      </c>
      <c r="E12" s="5" t="s">
        <v>202</v>
      </c>
      <c r="F12" s="5" t="s">
        <v>203</v>
      </c>
      <c r="G12" s="5" t="s">
        <v>204</v>
      </c>
      <c r="H12" s="5" t="s">
        <v>117</v>
      </c>
      <c r="I12" s="5" t="s">
        <v>118</v>
      </c>
      <c r="J12" s="5" t="s">
        <v>112</v>
      </c>
      <c r="K12" s="5" t="s">
        <v>231</v>
      </c>
      <c r="L12" s="5" t="s">
        <v>206</v>
      </c>
      <c r="M12" s="5" t="s">
        <v>207</v>
      </c>
      <c r="N12" s="5" t="s">
        <v>1891</v>
      </c>
      <c r="O12" s="5" t="s">
        <v>208</v>
      </c>
      <c r="P12" s="5" t="s">
        <v>209</v>
      </c>
      <c r="Q12" s="5" t="s">
        <v>118</v>
      </c>
      <c r="R12" s="5" t="s">
        <v>232</v>
      </c>
      <c r="S12" s="5" t="s">
        <v>211</v>
      </c>
      <c r="T12" s="5" t="s">
        <v>44</v>
      </c>
      <c r="U12" s="5" t="s">
        <v>2101</v>
      </c>
      <c r="V12" s="35">
        <v>46215</v>
      </c>
      <c r="W12" s="5" t="s">
        <v>1892</v>
      </c>
      <c r="X12" s="5" t="s">
        <v>1893</v>
      </c>
      <c r="Y12" s="3" t="s">
        <v>44</v>
      </c>
      <c r="Z12" s="3" t="s">
        <v>529</v>
      </c>
      <c r="AA12" s="33" t="s">
        <v>529</v>
      </c>
      <c r="AB12" s="33" t="s">
        <v>209</v>
      </c>
      <c r="AC12" s="33" t="s">
        <v>529</v>
      </c>
      <c r="AD12" s="33" t="s">
        <v>1894</v>
      </c>
      <c r="AE12" s="33" t="s">
        <v>1850</v>
      </c>
    </row>
    <row r="13" spans="1:31" ht="81">
      <c r="A13" s="5" t="s">
        <v>233</v>
      </c>
      <c r="B13" s="5" t="s">
        <v>199</v>
      </c>
      <c r="C13" s="5" t="s">
        <v>200</v>
      </c>
      <c r="D13" s="5" t="s">
        <v>201</v>
      </c>
      <c r="E13" s="5" t="s">
        <v>202</v>
      </c>
      <c r="F13" s="5" t="s">
        <v>203</v>
      </c>
      <c r="G13" s="5" t="s">
        <v>204</v>
      </c>
      <c r="H13" s="5" t="s">
        <v>48</v>
      </c>
      <c r="I13" s="5" t="s">
        <v>234</v>
      </c>
      <c r="J13" s="5" t="s">
        <v>126</v>
      </c>
      <c r="K13" s="5" t="s">
        <v>235</v>
      </c>
      <c r="L13" s="5" t="s">
        <v>206</v>
      </c>
      <c r="M13" s="5" t="s">
        <v>207</v>
      </c>
      <c r="N13" s="5" t="s">
        <v>1891</v>
      </c>
      <c r="O13" s="5" t="s">
        <v>208</v>
      </c>
      <c r="P13" s="5" t="s">
        <v>209</v>
      </c>
      <c r="Q13" s="5" t="s">
        <v>234</v>
      </c>
      <c r="R13" s="5" t="s">
        <v>236</v>
      </c>
      <c r="S13" s="5" t="s">
        <v>211</v>
      </c>
      <c r="T13" s="5" t="s">
        <v>44</v>
      </c>
      <c r="U13" s="5" t="s">
        <v>2101</v>
      </c>
      <c r="V13" s="35">
        <v>46215</v>
      </c>
      <c r="W13" s="5" t="s">
        <v>1892</v>
      </c>
      <c r="X13" s="5" t="s">
        <v>1893</v>
      </c>
      <c r="Y13" s="3" t="s">
        <v>44</v>
      </c>
      <c r="Z13" s="3" t="s">
        <v>529</v>
      </c>
      <c r="AA13" s="33" t="s">
        <v>529</v>
      </c>
      <c r="AB13" s="33" t="s">
        <v>209</v>
      </c>
      <c r="AC13" s="33" t="s">
        <v>529</v>
      </c>
      <c r="AD13" s="33" t="s">
        <v>1894</v>
      </c>
      <c r="AE13" s="33" t="s">
        <v>1850</v>
      </c>
    </row>
    <row r="14" spans="1:31" ht="81">
      <c r="A14" s="5" t="s">
        <v>237</v>
      </c>
      <c r="B14" s="5" t="s">
        <v>199</v>
      </c>
      <c r="C14" s="5" t="s">
        <v>200</v>
      </c>
      <c r="D14" s="5" t="s">
        <v>201</v>
      </c>
      <c r="E14" s="5" t="s">
        <v>238</v>
      </c>
      <c r="F14" s="5" t="s">
        <v>203</v>
      </c>
      <c r="G14" s="5" t="s">
        <v>239</v>
      </c>
      <c r="H14" s="5" t="s">
        <v>95</v>
      </c>
      <c r="I14" s="5" t="s">
        <v>96</v>
      </c>
      <c r="J14" s="5" t="s">
        <v>65</v>
      </c>
      <c r="K14" s="5" t="s">
        <v>240</v>
      </c>
      <c r="L14" s="5" t="s">
        <v>206</v>
      </c>
      <c r="M14" s="5" t="s">
        <v>241</v>
      </c>
      <c r="N14" s="5" t="s">
        <v>1895</v>
      </c>
      <c r="O14" s="5" t="s">
        <v>1855</v>
      </c>
      <c r="P14" s="5" t="s">
        <v>209</v>
      </c>
      <c r="Q14" s="5" t="s">
        <v>96</v>
      </c>
      <c r="R14" s="5" t="s">
        <v>1896</v>
      </c>
      <c r="S14" s="5" t="s">
        <v>211</v>
      </c>
      <c r="T14" s="5" t="s">
        <v>44</v>
      </c>
      <c r="U14" s="5" t="s">
        <v>2101</v>
      </c>
      <c r="V14" s="35">
        <v>46215</v>
      </c>
      <c r="W14" s="5" t="s">
        <v>1897</v>
      </c>
      <c r="X14" s="5" t="s">
        <v>1898</v>
      </c>
      <c r="Y14" s="3" t="s">
        <v>44</v>
      </c>
      <c r="Z14" s="3" t="s">
        <v>529</v>
      </c>
      <c r="AA14" s="33" t="s">
        <v>529</v>
      </c>
      <c r="AB14" s="33" t="s">
        <v>209</v>
      </c>
      <c r="AC14" s="33" t="s">
        <v>529</v>
      </c>
      <c r="AD14" s="33" t="s">
        <v>1894</v>
      </c>
      <c r="AE14" s="33" t="s">
        <v>1850</v>
      </c>
    </row>
    <row r="15" spans="1:31" ht="81">
      <c r="A15" s="5" t="s">
        <v>242</v>
      </c>
      <c r="B15" s="5" t="s">
        <v>199</v>
      </c>
      <c r="C15" s="5" t="s">
        <v>243</v>
      </c>
      <c r="D15" s="5" t="s">
        <v>201</v>
      </c>
      <c r="E15" s="5" t="s">
        <v>244</v>
      </c>
      <c r="F15" s="5" t="s">
        <v>203</v>
      </c>
      <c r="G15" s="5" t="s">
        <v>245</v>
      </c>
      <c r="H15" s="5" t="s">
        <v>62</v>
      </c>
      <c r="I15" s="5" t="s">
        <v>63</v>
      </c>
      <c r="J15" s="5" t="s">
        <v>65</v>
      </c>
      <c r="K15" s="5" t="s">
        <v>246</v>
      </c>
      <c r="L15" s="5" t="s">
        <v>247</v>
      </c>
      <c r="M15" s="5" t="s">
        <v>248</v>
      </c>
      <c r="N15" s="5" t="s">
        <v>1899</v>
      </c>
      <c r="O15" s="5"/>
      <c r="P15" s="5"/>
      <c r="Q15" s="5"/>
      <c r="R15" s="5"/>
      <c r="S15" s="5" t="s">
        <v>211</v>
      </c>
      <c r="T15" s="5" t="s">
        <v>44</v>
      </c>
      <c r="U15" s="5" t="s">
        <v>2101</v>
      </c>
      <c r="V15" s="35">
        <v>46215</v>
      </c>
      <c r="W15" s="5" t="s">
        <v>1900</v>
      </c>
      <c r="X15" s="5" t="s">
        <v>1901</v>
      </c>
      <c r="Y15" s="3" t="s">
        <v>44</v>
      </c>
      <c r="Z15" s="3" t="s">
        <v>529</v>
      </c>
      <c r="AA15" s="33" t="s">
        <v>529</v>
      </c>
      <c r="AB15" s="33" t="s">
        <v>209</v>
      </c>
      <c r="AC15" s="33" t="s">
        <v>529</v>
      </c>
      <c r="AD15" s="33" t="s">
        <v>1902</v>
      </c>
      <c r="AE15" s="33" t="s">
        <v>1850</v>
      </c>
    </row>
    <row r="16" spans="1:31" ht="81">
      <c r="A16" s="5" t="s">
        <v>249</v>
      </c>
      <c r="B16" s="5" t="s">
        <v>199</v>
      </c>
      <c r="C16" s="5" t="s">
        <v>243</v>
      </c>
      <c r="D16" s="5" t="s">
        <v>201</v>
      </c>
      <c r="E16" s="5" t="s">
        <v>244</v>
      </c>
      <c r="F16" s="5" t="s">
        <v>203</v>
      </c>
      <c r="G16" s="5" t="s">
        <v>245</v>
      </c>
      <c r="H16" s="5" t="s">
        <v>86</v>
      </c>
      <c r="I16" s="5" t="s">
        <v>87</v>
      </c>
      <c r="J16" s="5" t="s">
        <v>89</v>
      </c>
      <c r="K16" s="5" t="s">
        <v>250</v>
      </c>
      <c r="L16" s="5" t="s">
        <v>247</v>
      </c>
      <c r="M16" s="5" t="s">
        <v>248</v>
      </c>
      <c r="N16" s="5" t="s">
        <v>1899</v>
      </c>
      <c r="O16" s="5"/>
      <c r="P16" s="5"/>
      <c r="Q16" s="5"/>
      <c r="R16" s="5"/>
      <c r="S16" s="5" t="s">
        <v>211</v>
      </c>
      <c r="T16" s="5" t="s">
        <v>44</v>
      </c>
      <c r="U16" s="5" t="s">
        <v>2101</v>
      </c>
      <c r="V16" s="35">
        <v>46215</v>
      </c>
      <c r="W16" s="5" t="s">
        <v>1900</v>
      </c>
      <c r="X16" s="5" t="s">
        <v>1901</v>
      </c>
      <c r="Y16" s="3" t="s">
        <v>44</v>
      </c>
      <c r="Z16" s="3" t="s">
        <v>529</v>
      </c>
      <c r="AA16" s="33" t="s">
        <v>529</v>
      </c>
      <c r="AB16" s="33" t="s">
        <v>209</v>
      </c>
      <c r="AC16" s="33" t="s">
        <v>529</v>
      </c>
      <c r="AD16" s="33" t="s">
        <v>1902</v>
      </c>
      <c r="AE16" s="33" t="s">
        <v>1850</v>
      </c>
    </row>
    <row r="17" spans="1:31" ht="81">
      <c r="A17" s="5" t="s">
        <v>251</v>
      </c>
      <c r="B17" s="5" t="s">
        <v>199</v>
      </c>
      <c r="C17" s="5" t="s">
        <v>243</v>
      </c>
      <c r="D17" s="5" t="s">
        <v>201</v>
      </c>
      <c r="E17" s="5" t="s">
        <v>244</v>
      </c>
      <c r="F17" s="5" t="s">
        <v>203</v>
      </c>
      <c r="G17" s="5" t="s">
        <v>245</v>
      </c>
      <c r="H17" s="5" t="s">
        <v>109</v>
      </c>
      <c r="I17" s="5" t="s">
        <v>110</v>
      </c>
      <c r="J17" s="5" t="s">
        <v>112</v>
      </c>
      <c r="K17" s="5" t="s">
        <v>252</v>
      </c>
      <c r="L17" s="5" t="s">
        <v>247</v>
      </c>
      <c r="M17" s="5" t="s">
        <v>248</v>
      </c>
      <c r="N17" s="5" t="s">
        <v>1899</v>
      </c>
      <c r="O17" s="5"/>
      <c r="P17" s="5"/>
      <c r="Q17" s="5"/>
      <c r="R17" s="5"/>
      <c r="S17" s="5" t="s">
        <v>211</v>
      </c>
      <c r="T17" s="5" t="s">
        <v>44</v>
      </c>
      <c r="U17" s="5" t="s">
        <v>2101</v>
      </c>
      <c r="V17" s="35">
        <v>46215</v>
      </c>
      <c r="W17" s="5" t="s">
        <v>1900</v>
      </c>
      <c r="X17" s="5" t="s">
        <v>1901</v>
      </c>
      <c r="Y17" s="3" t="s">
        <v>44</v>
      </c>
      <c r="Z17" s="3" t="s">
        <v>529</v>
      </c>
      <c r="AA17" s="33" t="s">
        <v>529</v>
      </c>
      <c r="AB17" s="33" t="s">
        <v>209</v>
      </c>
      <c r="AC17" s="33" t="s">
        <v>529</v>
      </c>
      <c r="AD17" s="33" t="s">
        <v>1902</v>
      </c>
      <c r="AE17" s="33" t="s">
        <v>1850</v>
      </c>
    </row>
    <row r="18" spans="1:31" ht="81">
      <c r="A18" s="5" t="s">
        <v>253</v>
      </c>
      <c r="B18" s="5" t="s">
        <v>199</v>
      </c>
      <c r="C18" s="5" t="s">
        <v>243</v>
      </c>
      <c r="D18" s="5" t="s">
        <v>201</v>
      </c>
      <c r="E18" s="5" t="s">
        <v>244</v>
      </c>
      <c r="F18" s="5" t="s">
        <v>203</v>
      </c>
      <c r="G18" s="5" t="s">
        <v>245</v>
      </c>
      <c r="H18" s="5" t="s">
        <v>117</v>
      </c>
      <c r="I18" s="5" t="s">
        <v>118</v>
      </c>
      <c r="J18" s="5" t="s">
        <v>112</v>
      </c>
      <c r="K18" s="5" t="s">
        <v>254</v>
      </c>
      <c r="L18" s="5" t="s">
        <v>247</v>
      </c>
      <c r="M18" s="5" t="s">
        <v>248</v>
      </c>
      <c r="N18" s="5" t="s">
        <v>1899</v>
      </c>
      <c r="O18" s="5"/>
      <c r="P18" s="5"/>
      <c r="Q18" s="5"/>
      <c r="R18" s="5"/>
      <c r="S18" s="5" t="s">
        <v>211</v>
      </c>
      <c r="T18" s="5" t="s">
        <v>44</v>
      </c>
      <c r="U18" s="5" t="s">
        <v>2101</v>
      </c>
      <c r="V18" s="35">
        <v>46215</v>
      </c>
      <c r="W18" s="5" t="s">
        <v>1900</v>
      </c>
      <c r="X18" s="5" t="s">
        <v>1901</v>
      </c>
      <c r="Y18" s="3" t="s">
        <v>44</v>
      </c>
      <c r="Z18" s="3" t="s">
        <v>529</v>
      </c>
      <c r="AA18" s="33" t="s">
        <v>529</v>
      </c>
      <c r="AB18" s="33" t="s">
        <v>209</v>
      </c>
      <c r="AC18" s="33" t="s">
        <v>529</v>
      </c>
      <c r="AD18" s="33" t="s">
        <v>1902</v>
      </c>
      <c r="AE18" s="33" t="s">
        <v>1850</v>
      </c>
    </row>
    <row r="19" spans="1:31" ht="81">
      <c r="A19" s="5" t="s">
        <v>255</v>
      </c>
      <c r="B19" s="5" t="s">
        <v>199</v>
      </c>
      <c r="C19" s="5" t="s">
        <v>243</v>
      </c>
      <c r="D19" s="5" t="s">
        <v>201</v>
      </c>
      <c r="E19" s="5" t="s">
        <v>244</v>
      </c>
      <c r="F19" s="5" t="s">
        <v>203</v>
      </c>
      <c r="G19" s="5" t="s">
        <v>245</v>
      </c>
      <c r="H19" s="5" t="s">
        <v>48</v>
      </c>
      <c r="I19" s="5" t="s">
        <v>234</v>
      </c>
      <c r="J19" s="5" t="s">
        <v>126</v>
      </c>
      <c r="K19" s="5" t="s">
        <v>256</v>
      </c>
      <c r="L19" s="5" t="s">
        <v>247</v>
      </c>
      <c r="M19" s="5" t="s">
        <v>248</v>
      </c>
      <c r="N19" s="5" t="s">
        <v>1899</v>
      </c>
      <c r="O19" s="5"/>
      <c r="P19" s="5"/>
      <c r="Q19" s="5"/>
      <c r="R19" s="5"/>
      <c r="S19" s="5" t="s">
        <v>211</v>
      </c>
      <c r="T19" s="5" t="s">
        <v>44</v>
      </c>
      <c r="U19" s="5" t="s">
        <v>2101</v>
      </c>
      <c r="V19" s="35">
        <v>46215</v>
      </c>
      <c r="W19" s="5" t="s">
        <v>1900</v>
      </c>
      <c r="X19" s="5" t="s">
        <v>1901</v>
      </c>
      <c r="Y19" s="3" t="s">
        <v>44</v>
      </c>
      <c r="Z19" s="3" t="s">
        <v>529</v>
      </c>
      <c r="AA19" s="33" t="s">
        <v>529</v>
      </c>
      <c r="AB19" s="33" t="s">
        <v>209</v>
      </c>
      <c r="AC19" s="33" t="s">
        <v>529</v>
      </c>
      <c r="AD19" s="33" t="s">
        <v>1902</v>
      </c>
      <c r="AE19" s="33" t="s">
        <v>1850</v>
      </c>
    </row>
    <row r="20" spans="1:31" ht="67.5">
      <c r="A20" s="5" t="s">
        <v>257</v>
      </c>
      <c r="B20" s="5" t="s">
        <v>258</v>
      </c>
      <c r="C20" s="5" t="s">
        <v>259</v>
      </c>
      <c r="D20" s="5" t="s">
        <v>201</v>
      </c>
      <c r="E20" s="5" t="s">
        <v>260</v>
      </c>
      <c r="F20" s="5" t="s">
        <v>261</v>
      </c>
      <c r="G20" s="5" t="s">
        <v>262</v>
      </c>
      <c r="H20" s="5" t="s">
        <v>62</v>
      </c>
      <c r="I20" s="5" t="s">
        <v>63</v>
      </c>
      <c r="J20" s="5" t="s">
        <v>65</v>
      </c>
      <c r="K20" s="5" t="s">
        <v>263</v>
      </c>
      <c r="L20" s="5" t="s">
        <v>264</v>
      </c>
      <c r="M20" s="5" t="s">
        <v>265</v>
      </c>
      <c r="N20" s="5" t="s">
        <v>1903</v>
      </c>
      <c r="O20" s="5"/>
      <c r="P20" s="5"/>
      <c r="Q20" s="5"/>
      <c r="R20" s="5"/>
      <c r="S20" s="5" t="s">
        <v>504</v>
      </c>
      <c r="T20" s="5" t="s">
        <v>2065</v>
      </c>
      <c r="U20" s="5" t="s">
        <v>1923</v>
      </c>
      <c r="V20" s="5"/>
      <c r="W20" s="5"/>
      <c r="X20" s="5"/>
      <c r="Y20" s="3" t="s">
        <v>1904</v>
      </c>
      <c r="Z20" s="3" t="s">
        <v>69</v>
      </c>
      <c r="AA20" s="33" t="s">
        <v>529</v>
      </c>
      <c r="AB20" s="33" t="s">
        <v>209</v>
      </c>
      <c r="AC20" s="33" t="s">
        <v>529</v>
      </c>
      <c r="AD20" s="33" t="s">
        <v>1905</v>
      </c>
      <c r="AE20" s="33" t="s">
        <v>1923</v>
      </c>
    </row>
    <row r="21" spans="1:31" ht="67.5">
      <c r="A21" s="5" t="s">
        <v>266</v>
      </c>
      <c r="B21" s="5" t="s">
        <v>258</v>
      </c>
      <c r="C21" s="5" t="s">
        <v>259</v>
      </c>
      <c r="D21" s="5" t="s">
        <v>201</v>
      </c>
      <c r="E21" s="5" t="s">
        <v>260</v>
      </c>
      <c r="F21" s="5" t="s">
        <v>261</v>
      </c>
      <c r="G21" s="5" t="s">
        <v>262</v>
      </c>
      <c r="H21" s="5" t="s">
        <v>71</v>
      </c>
      <c r="I21" s="5" t="s">
        <v>72</v>
      </c>
      <c r="J21" s="5" t="s">
        <v>65</v>
      </c>
      <c r="K21" s="5" t="s">
        <v>267</v>
      </c>
      <c r="L21" s="5" t="s">
        <v>264</v>
      </c>
      <c r="M21" s="5" t="s">
        <v>265</v>
      </c>
      <c r="N21" s="5" t="s">
        <v>1903</v>
      </c>
      <c r="O21" s="5"/>
      <c r="P21" s="5"/>
      <c r="Q21" s="5"/>
      <c r="R21" s="5"/>
      <c r="S21" s="5" t="s">
        <v>504</v>
      </c>
      <c r="T21" s="5" t="s">
        <v>2065</v>
      </c>
      <c r="U21" s="5" t="s">
        <v>1923</v>
      </c>
      <c r="V21" s="5"/>
      <c r="W21" s="5"/>
      <c r="X21" s="5"/>
      <c r="Y21" s="3" t="s">
        <v>1904</v>
      </c>
      <c r="Z21" s="3" t="s">
        <v>69</v>
      </c>
      <c r="AA21" s="33" t="s">
        <v>529</v>
      </c>
      <c r="AB21" s="33" t="s">
        <v>209</v>
      </c>
      <c r="AC21" s="33" t="s">
        <v>529</v>
      </c>
      <c r="AD21" s="33" t="s">
        <v>1905</v>
      </c>
      <c r="AE21" s="33" t="s">
        <v>1923</v>
      </c>
    </row>
    <row r="22" spans="1:31" ht="67.5">
      <c r="A22" s="5" t="s">
        <v>268</v>
      </c>
      <c r="B22" s="5" t="s">
        <v>258</v>
      </c>
      <c r="C22" s="5" t="s">
        <v>259</v>
      </c>
      <c r="D22" s="5" t="s">
        <v>201</v>
      </c>
      <c r="E22" s="5" t="s">
        <v>260</v>
      </c>
      <c r="F22" s="5" t="s">
        <v>261</v>
      </c>
      <c r="G22" s="5" t="s">
        <v>262</v>
      </c>
      <c r="H22" s="5" t="s">
        <v>78</v>
      </c>
      <c r="I22" s="5" t="s">
        <v>79</v>
      </c>
      <c r="J22" s="5" t="s">
        <v>217</v>
      </c>
      <c r="K22" s="5" t="s">
        <v>269</v>
      </c>
      <c r="L22" s="5" t="s">
        <v>264</v>
      </c>
      <c r="M22" s="5" t="s">
        <v>265</v>
      </c>
      <c r="N22" s="5" t="s">
        <v>1903</v>
      </c>
      <c r="O22" s="5"/>
      <c r="P22" s="5"/>
      <c r="Q22" s="5"/>
      <c r="R22" s="5"/>
      <c r="S22" s="5" t="s">
        <v>504</v>
      </c>
      <c r="T22" s="5" t="s">
        <v>2065</v>
      </c>
      <c r="U22" s="5" t="s">
        <v>1923</v>
      </c>
      <c r="V22" s="5"/>
      <c r="W22" s="5"/>
      <c r="X22" s="5"/>
      <c r="Y22" s="3" t="s">
        <v>1904</v>
      </c>
      <c r="Z22" s="3" t="s">
        <v>69</v>
      </c>
      <c r="AA22" s="33" t="s">
        <v>529</v>
      </c>
      <c r="AB22" s="33" t="s">
        <v>209</v>
      </c>
      <c r="AC22" s="33" t="s">
        <v>529</v>
      </c>
      <c r="AD22" s="33" t="s">
        <v>1905</v>
      </c>
      <c r="AE22" s="33" t="s">
        <v>1923</v>
      </c>
    </row>
    <row r="23" spans="1:31" ht="67.5">
      <c r="A23" s="5" t="s">
        <v>270</v>
      </c>
      <c r="B23" s="5" t="s">
        <v>258</v>
      </c>
      <c r="C23" s="5" t="s">
        <v>259</v>
      </c>
      <c r="D23" s="5" t="s">
        <v>201</v>
      </c>
      <c r="E23" s="5" t="s">
        <v>260</v>
      </c>
      <c r="F23" s="5" t="s">
        <v>261</v>
      </c>
      <c r="G23" s="5" t="s">
        <v>262</v>
      </c>
      <c r="H23" s="5" t="s">
        <v>86</v>
      </c>
      <c r="I23" s="5" t="s">
        <v>87</v>
      </c>
      <c r="J23" s="5" t="s">
        <v>89</v>
      </c>
      <c r="K23" s="5" t="s">
        <v>271</v>
      </c>
      <c r="L23" s="5" t="s">
        <v>264</v>
      </c>
      <c r="M23" s="5" t="s">
        <v>265</v>
      </c>
      <c r="N23" s="5" t="s">
        <v>1903</v>
      </c>
      <c r="O23" s="5"/>
      <c r="P23" s="5"/>
      <c r="Q23" s="5"/>
      <c r="R23" s="5"/>
      <c r="S23" s="5" t="s">
        <v>504</v>
      </c>
      <c r="T23" s="5" t="s">
        <v>2065</v>
      </c>
      <c r="U23" s="5" t="s">
        <v>1923</v>
      </c>
      <c r="V23" s="5"/>
      <c r="W23" s="5"/>
      <c r="X23" s="5"/>
      <c r="Y23" s="3" t="s">
        <v>1904</v>
      </c>
      <c r="Z23" s="3" t="s">
        <v>69</v>
      </c>
      <c r="AA23" s="33" t="s">
        <v>529</v>
      </c>
      <c r="AB23" s="33" t="s">
        <v>209</v>
      </c>
      <c r="AC23" s="33" t="s">
        <v>529</v>
      </c>
      <c r="AD23" s="33" t="s">
        <v>1905</v>
      </c>
      <c r="AE23" s="33" t="s">
        <v>1923</v>
      </c>
    </row>
    <row r="24" spans="1:31" ht="67.5">
      <c r="A24" s="5" t="s">
        <v>272</v>
      </c>
      <c r="B24" s="5" t="s">
        <v>258</v>
      </c>
      <c r="C24" s="5" t="s">
        <v>259</v>
      </c>
      <c r="D24" s="5" t="s">
        <v>201</v>
      </c>
      <c r="E24" s="5" t="s">
        <v>260</v>
      </c>
      <c r="F24" s="5" t="s">
        <v>261</v>
      </c>
      <c r="G24" s="5" t="s">
        <v>262</v>
      </c>
      <c r="H24" s="5" t="s">
        <v>95</v>
      </c>
      <c r="I24" s="5" t="s">
        <v>96</v>
      </c>
      <c r="J24" s="5" t="s">
        <v>65</v>
      </c>
      <c r="K24" s="5" t="s">
        <v>273</v>
      </c>
      <c r="L24" s="5" t="s">
        <v>264</v>
      </c>
      <c r="M24" s="5" t="s">
        <v>265</v>
      </c>
      <c r="N24" s="5" t="s">
        <v>1903</v>
      </c>
      <c r="O24" s="5"/>
      <c r="P24" s="5"/>
      <c r="Q24" s="5"/>
      <c r="R24" s="5"/>
      <c r="S24" s="5" t="s">
        <v>504</v>
      </c>
      <c r="T24" s="5" t="s">
        <v>2065</v>
      </c>
      <c r="U24" s="5" t="s">
        <v>1923</v>
      </c>
      <c r="V24" s="5"/>
      <c r="W24" s="5"/>
      <c r="X24" s="5"/>
      <c r="Y24" s="3" t="s">
        <v>1904</v>
      </c>
      <c r="Z24" s="3" t="s">
        <v>69</v>
      </c>
      <c r="AA24" s="33" t="s">
        <v>529</v>
      </c>
      <c r="AB24" s="33" t="s">
        <v>209</v>
      </c>
      <c r="AC24" s="33" t="s">
        <v>529</v>
      </c>
      <c r="AD24" s="33" t="s">
        <v>1905</v>
      </c>
      <c r="AE24" s="33" t="s">
        <v>1923</v>
      </c>
    </row>
    <row r="25" spans="1:31" ht="67.5">
      <c r="A25" s="5" t="s">
        <v>274</v>
      </c>
      <c r="B25" s="5" t="s">
        <v>258</v>
      </c>
      <c r="C25" s="5" t="s">
        <v>259</v>
      </c>
      <c r="D25" s="5" t="s">
        <v>201</v>
      </c>
      <c r="E25" s="5" t="s">
        <v>260</v>
      </c>
      <c r="F25" s="5" t="s">
        <v>261</v>
      </c>
      <c r="G25" s="5" t="s">
        <v>262</v>
      </c>
      <c r="H25" s="5" t="s">
        <v>102</v>
      </c>
      <c r="I25" s="5" t="s">
        <v>103</v>
      </c>
      <c r="J25" s="5" t="s">
        <v>105</v>
      </c>
      <c r="K25" s="5" t="s">
        <v>275</v>
      </c>
      <c r="L25" s="5" t="s">
        <v>264</v>
      </c>
      <c r="M25" s="5" t="s">
        <v>265</v>
      </c>
      <c r="N25" s="5" t="s">
        <v>1903</v>
      </c>
      <c r="O25" s="5"/>
      <c r="P25" s="5"/>
      <c r="Q25" s="5"/>
      <c r="R25" s="5"/>
      <c r="S25" s="5" t="s">
        <v>504</v>
      </c>
      <c r="T25" s="5" t="s">
        <v>2065</v>
      </c>
      <c r="U25" s="5" t="s">
        <v>1923</v>
      </c>
      <c r="V25" s="5"/>
      <c r="W25" s="5"/>
      <c r="X25" s="5"/>
      <c r="Y25" s="3" t="s">
        <v>1904</v>
      </c>
      <c r="Z25" s="3" t="s">
        <v>69</v>
      </c>
      <c r="AA25" s="33" t="s">
        <v>529</v>
      </c>
      <c r="AB25" s="33" t="s">
        <v>209</v>
      </c>
      <c r="AC25" s="33" t="s">
        <v>529</v>
      </c>
      <c r="AD25" s="33" t="s">
        <v>1905</v>
      </c>
      <c r="AE25" s="33" t="s">
        <v>1923</v>
      </c>
    </row>
    <row r="26" spans="1:31" ht="67.5">
      <c r="A26" s="5" t="s">
        <v>276</v>
      </c>
      <c r="B26" s="5" t="s">
        <v>258</v>
      </c>
      <c r="C26" s="5" t="s">
        <v>259</v>
      </c>
      <c r="D26" s="5" t="s">
        <v>201</v>
      </c>
      <c r="E26" s="5" t="s">
        <v>260</v>
      </c>
      <c r="F26" s="5" t="s">
        <v>261</v>
      </c>
      <c r="G26" s="5" t="s">
        <v>262</v>
      </c>
      <c r="H26" s="5" t="s">
        <v>109</v>
      </c>
      <c r="I26" s="5" t="s">
        <v>110</v>
      </c>
      <c r="J26" s="5" t="s">
        <v>112</v>
      </c>
      <c r="K26" s="5" t="s">
        <v>277</v>
      </c>
      <c r="L26" s="5" t="s">
        <v>264</v>
      </c>
      <c r="M26" s="5" t="s">
        <v>265</v>
      </c>
      <c r="N26" s="5" t="s">
        <v>1903</v>
      </c>
      <c r="O26" s="5"/>
      <c r="P26" s="5"/>
      <c r="Q26" s="5"/>
      <c r="R26" s="5"/>
      <c r="S26" s="5" t="s">
        <v>504</v>
      </c>
      <c r="T26" s="5" t="s">
        <v>2065</v>
      </c>
      <c r="U26" s="5" t="s">
        <v>1923</v>
      </c>
      <c r="V26" s="5"/>
      <c r="W26" s="5"/>
      <c r="X26" s="5"/>
      <c r="Y26" s="3" t="s">
        <v>1904</v>
      </c>
      <c r="Z26" s="3" t="s">
        <v>69</v>
      </c>
      <c r="AA26" s="33" t="s">
        <v>529</v>
      </c>
      <c r="AB26" s="33" t="s">
        <v>209</v>
      </c>
      <c r="AC26" s="33" t="s">
        <v>529</v>
      </c>
      <c r="AD26" s="33" t="s">
        <v>1905</v>
      </c>
      <c r="AE26" s="33" t="s">
        <v>1923</v>
      </c>
    </row>
    <row r="27" spans="1:31" ht="67.5">
      <c r="A27" s="5" t="s">
        <v>278</v>
      </c>
      <c r="B27" s="5" t="s">
        <v>258</v>
      </c>
      <c r="C27" s="5" t="s">
        <v>259</v>
      </c>
      <c r="D27" s="5" t="s">
        <v>201</v>
      </c>
      <c r="E27" s="5" t="s">
        <v>260</v>
      </c>
      <c r="F27" s="5" t="s">
        <v>261</v>
      </c>
      <c r="G27" s="5" t="s">
        <v>262</v>
      </c>
      <c r="H27" s="5" t="s">
        <v>117</v>
      </c>
      <c r="I27" s="5" t="s">
        <v>118</v>
      </c>
      <c r="J27" s="5" t="s">
        <v>112</v>
      </c>
      <c r="K27" s="5" t="s">
        <v>279</v>
      </c>
      <c r="L27" s="5" t="s">
        <v>264</v>
      </c>
      <c r="M27" s="5" t="s">
        <v>265</v>
      </c>
      <c r="N27" s="5" t="s">
        <v>1903</v>
      </c>
      <c r="O27" s="5"/>
      <c r="P27" s="5"/>
      <c r="Q27" s="5"/>
      <c r="R27" s="5"/>
      <c r="S27" s="5" t="s">
        <v>504</v>
      </c>
      <c r="T27" s="5" t="s">
        <v>2065</v>
      </c>
      <c r="U27" s="5" t="s">
        <v>1923</v>
      </c>
      <c r="V27" s="5"/>
      <c r="W27" s="5"/>
      <c r="X27" s="5"/>
      <c r="Y27" s="3" t="s">
        <v>1904</v>
      </c>
      <c r="Z27" s="3" t="s">
        <v>69</v>
      </c>
      <c r="AA27" s="33" t="s">
        <v>529</v>
      </c>
      <c r="AB27" s="33" t="s">
        <v>209</v>
      </c>
      <c r="AC27" s="33" t="s">
        <v>529</v>
      </c>
      <c r="AD27" s="33" t="s">
        <v>1905</v>
      </c>
      <c r="AE27" s="33" t="s">
        <v>1923</v>
      </c>
    </row>
    <row r="28" spans="1:31" ht="67.5">
      <c r="A28" s="5" t="s">
        <v>280</v>
      </c>
      <c r="B28" s="5" t="s">
        <v>258</v>
      </c>
      <c r="C28" s="5" t="s">
        <v>259</v>
      </c>
      <c r="D28" s="5" t="s">
        <v>201</v>
      </c>
      <c r="E28" s="5" t="s">
        <v>260</v>
      </c>
      <c r="F28" s="5" t="s">
        <v>261</v>
      </c>
      <c r="G28" s="5" t="s">
        <v>262</v>
      </c>
      <c r="H28" s="5" t="s">
        <v>48</v>
      </c>
      <c r="I28" s="5" t="s">
        <v>234</v>
      </c>
      <c r="J28" s="5" t="s">
        <v>126</v>
      </c>
      <c r="K28" s="5" t="s">
        <v>281</v>
      </c>
      <c r="L28" s="5" t="s">
        <v>264</v>
      </c>
      <c r="M28" s="5" t="s">
        <v>265</v>
      </c>
      <c r="N28" s="5" t="s">
        <v>1903</v>
      </c>
      <c r="O28" s="5"/>
      <c r="P28" s="5"/>
      <c r="Q28" s="5"/>
      <c r="R28" s="5"/>
      <c r="S28" s="5" t="s">
        <v>504</v>
      </c>
      <c r="T28" s="5" t="s">
        <v>2065</v>
      </c>
      <c r="U28" s="5" t="s">
        <v>1923</v>
      </c>
      <c r="V28" s="5"/>
      <c r="W28" s="5"/>
      <c r="X28" s="5"/>
      <c r="Y28" s="3" t="s">
        <v>1904</v>
      </c>
      <c r="Z28" s="3" t="s">
        <v>69</v>
      </c>
      <c r="AA28" s="33" t="s">
        <v>529</v>
      </c>
      <c r="AB28" s="33" t="s">
        <v>209</v>
      </c>
      <c r="AC28" s="33" t="s">
        <v>529</v>
      </c>
      <c r="AD28" s="33" t="s">
        <v>1905</v>
      </c>
      <c r="AE28" s="33" t="s">
        <v>1923</v>
      </c>
    </row>
    <row r="29" spans="1:31" ht="67.5">
      <c r="A29" s="5" t="s">
        <v>282</v>
      </c>
      <c r="B29" s="5" t="s">
        <v>283</v>
      </c>
      <c r="C29" s="5" t="s">
        <v>259</v>
      </c>
      <c r="D29" s="5" t="s">
        <v>201</v>
      </c>
      <c r="E29" s="5" t="s">
        <v>260</v>
      </c>
      <c r="F29" s="5" t="s">
        <v>261</v>
      </c>
      <c r="G29" s="5" t="s">
        <v>262</v>
      </c>
      <c r="H29" s="5" t="s">
        <v>62</v>
      </c>
      <c r="I29" s="5" t="s">
        <v>63</v>
      </c>
      <c r="J29" s="5" t="s">
        <v>65</v>
      </c>
      <c r="K29" s="5" t="s">
        <v>263</v>
      </c>
      <c r="L29" s="5" t="s">
        <v>284</v>
      </c>
      <c r="M29" s="5" t="s">
        <v>265</v>
      </c>
      <c r="N29" s="5" t="s">
        <v>1906</v>
      </c>
      <c r="O29" s="5"/>
      <c r="P29" s="5"/>
      <c r="Q29" s="5"/>
      <c r="R29" s="5"/>
      <c r="S29" s="5" t="s">
        <v>1971</v>
      </c>
      <c r="T29" s="5" t="s">
        <v>2065</v>
      </c>
      <c r="U29" s="5" t="s">
        <v>2478</v>
      </c>
      <c r="V29" s="5"/>
      <c r="W29" s="5"/>
      <c r="X29" s="5"/>
      <c r="Y29" s="3" t="s">
        <v>209</v>
      </c>
      <c r="Z29" s="3" t="s">
        <v>209</v>
      </c>
      <c r="AA29" s="33" t="s">
        <v>209</v>
      </c>
      <c r="AB29" s="33" t="s">
        <v>209</v>
      </c>
      <c r="AC29" s="33" t="s">
        <v>209</v>
      </c>
      <c r="AD29" s="33" t="s">
        <v>1908</v>
      </c>
      <c r="AE29" s="33" t="s">
        <v>2478</v>
      </c>
    </row>
    <row r="30" spans="1:31" ht="67.5">
      <c r="A30" s="5" t="s">
        <v>285</v>
      </c>
      <c r="B30" s="5" t="s">
        <v>283</v>
      </c>
      <c r="C30" s="5" t="s">
        <v>259</v>
      </c>
      <c r="D30" s="5" t="s">
        <v>201</v>
      </c>
      <c r="E30" s="5" t="s">
        <v>260</v>
      </c>
      <c r="F30" s="5" t="s">
        <v>261</v>
      </c>
      <c r="G30" s="5" t="s">
        <v>262</v>
      </c>
      <c r="H30" s="5" t="s">
        <v>71</v>
      </c>
      <c r="I30" s="5" t="s">
        <v>72</v>
      </c>
      <c r="J30" s="5" t="s">
        <v>65</v>
      </c>
      <c r="K30" s="5" t="s">
        <v>267</v>
      </c>
      <c r="L30" s="5" t="s">
        <v>284</v>
      </c>
      <c r="M30" s="5" t="s">
        <v>265</v>
      </c>
      <c r="N30" s="5" t="s">
        <v>1906</v>
      </c>
      <c r="O30" s="5"/>
      <c r="P30" s="5"/>
      <c r="Q30" s="5"/>
      <c r="R30" s="5"/>
      <c r="S30" s="5" t="s">
        <v>1971</v>
      </c>
      <c r="T30" s="5" t="s">
        <v>2065</v>
      </c>
      <c r="U30" s="5" t="s">
        <v>2478</v>
      </c>
      <c r="V30" s="5"/>
      <c r="W30" s="5"/>
      <c r="X30" s="5"/>
      <c r="Y30" s="3" t="s">
        <v>209</v>
      </c>
      <c r="Z30" s="3" t="s">
        <v>209</v>
      </c>
      <c r="AA30" s="33" t="s">
        <v>209</v>
      </c>
      <c r="AB30" s="33" t="s">
        <v>209</v>
      </c>
      <c r="AC30" s="33" t="s">
        <v>209</v>
      </c>
      <c r="AD30" s="33" t="s">
        <v>1908</v>
      </c>
      <c r="AE30" s="33" t="s">
        <v>2478</v>
      </c>
    </row>
    <row r="31" spans="1:31" ht="67.5">
      <c r="A31" s="5" t="s">
        <v>286</v>
      </c>
      <c r="B31" s="5" t="s">
        <v>283</v>
      </c>
      <c r="C31" s="5" t="s">
        <v>259</v>
      </c>
      <c r="D31" s="5" t="s">
        <v>201</v>
      </c>
      <c r="E31" s="5" t="s">
        <v>260</v>
      </c>
      <c r="F31" s="5" t="s">
        <v>261</v>
      </c>
      <c r="G31" s="5" t="s">
        <v>262</v>
      </c>
      <c r="H31" s="5" t="s">
        <v>78</v>
      </c>
      <c r="I31" s="5" t="s">
        <v>79</v>
      </c>
      <c r="J31" s="5" t="s">
        <v>217</v>
      </c>
      <c r="K31" s="5" t="s">
        <v>269</v>
      </c>
      <c r="L31" s="5" t="s">
        <v>284</v>
      </c>
      <c r="M31" s="5" t="s">
        <v>265</v>
      </c>
      <c r="N31" s="5" t="s">
        <v>1906</v>
      </c>
      <c r="O31" s="5"/>
      <c r="P31" s="5"/>
      <c r="Q31" s="5"/>
      <c r="R31" s="5"/>
      <c r="S31" s="5" t="s">
        <v>1971</v>
      </c>
      <c r="T31" s="5" t="s">
        <v>2065</v>
      </c>
      <c r="U31" s="5" t="s">
        <v>2478</v>
      </c>
      <c r="V31" s="5"/>
      <c r="W31" s="5"/>
      <c r="X31" s="5"/>
      <c r="Y31" s="3" t="s">
        <v>209</v>
      </c>
      <c r="Z31" s="3" t="s">
        <v>209</v>
      </c>
      <c r="AA31" s="33" t="s">
        <v>209</v>
      </c>
      <c r="AB31" s="33" t="s">
        <v>209</v>
      </c>
      <c r="AC31" s="33" t="s">
        <v>209</v>
      </c>
      <c r="AD31" s="33" t="s">
        <v>1908</v>
      </c>
      <c r="AE31" s="33" t="s">
        <v>2478</v>
      </c>
    </row>
    <row r="32" spans="1:31" ht="67.5">
      <c r="A32" s="5" t="s">
        <v>287</v>
      </c>
      <c r="B32" s="5" t="s">
        <v>283</v>
      </c>
      <c r="C32" s="5" t="s">
        <v>259</v>
      </c>
      <c r="D32" s="5" t="s">
        <v>201</v>
      </c>
      <c r="E32" s="5" t="s">
        <v>260</v>
      </c>
      <c r="F32" s="5" t="s">
        <v>261</v>
      </c>
      <c r="G32" s="5" t="s">
        <v>262</v>
      </c>
      <c r="H32" s="5" t="s">
        <v>86</v>
      </c>
      <c r="I32" s="5" t="s">
        <v>87</v>
      </c>
      <c r="J32" s="5" t="s">
        <v>89</v>
      </c>
      <c r="K32" s="5" t="s">
        <v>271</v>
      </c>
      <c r="L32" s="5" t="s">
        <v>284</v>
      </c>
      <c r="M32" s="5" t="s">
        <v>265</v>
      </c>
      <c r="N32" s="5" t="s">
        <v>1906</v>
      </c>
      <c r="O32" s="5"/>
      <c r="P32" s="5"/>
      <c r="Q32" s="5"/>
      <c r="R32" s="5"/>
      <c r="S32" s="5" t="s">
        <v>1971</v>
      </c>
      <c r="T32" s="5" t="s">
        <v>2065</v>
      </c>
      <c r="U32" s="5" t="s">
        <v>2478</v>
      </c>
      <c r="V32" s="5"/>
      <c r="W32" s="5"/>
      <c r="X32" s="5"/>
      <c r="Y32" s="3" t="s">
        <v>209</v>
      </c>
      <c r="Z32" s="3" t="s">
        <v>209</v>
      </c>
      <c r="AA32" s="33" t="s">
        <v>209</v>
      </c>
      <c r="AB32" s="33" t="s">
        <v>209</v>
      </c>
      <c r="AC32" s="33" t="s">
        <v>209</v>
      </c>
      <c r="AD32" s="33" t="s">
        <v>1908</v>
      </c>
      <c r="AE32" s="33" t="s">
        <v>2478</v>
      </c>
    </row>
    <row r="33" spans="1:31" ht="67.5">
      <c r="A33" s="5" t="s">
        <v>288</v>
      </c>
      <c r="B33" s="5" t="s">
        <v>283</v>
      </c>
      <c r="C33" s="5" t="s">
        <v>259</v>
      </c>
      <c r="D33" s="5" t="s">
        <v>201</v>
      </c>
      <c r="E33" s="5" t="s">
        <v>260</v>
      </c>
      <c r="F33" s="5" t="s">
        <v>261</v>
      </c>
      <c r="G33" s="5" t="s">
        <v>262</v>
      </c>
      <c r="H33" s="5" t="s">
        <v>95</v>
      </c>
      <c r="I33" s="5" t="s">
        <v>96</v>
      </c>
      <c r="J33" s="5" t="s">
        <v>65</v>
      </c>
      <c r="K33" s="5" t="s">
        <v>273</v>
      </c>
      <c r="L33" s="5" t="s">
        <v>284</v>
      </c>
      <c r="M33" s="5" t="s">
        <v>265</v>
      </c>
      <c r="N33" s="5" t="s">
        <v>1906</v>
      </c>
      <c r="O33" s="5"/>
      <c r="P33" s="5"/>
      <c r="Q33" s="5"/>
      <c r="R33" s="5"/>
      <c r="S33" s="5" t="s">
        <v>1971</v>
      </c>
      <c r="T33" s="5" t="s">
        <v>2065</v>
      </c>
      <c r="U33" s="5" t="s">
        <v>2478</v>
      </c>
      <c r="V33" s="5"/>
      <c r="W33" s="5"/>
      <c r="X33" s="5"/>
      <c r="Y33" s="3" t="s">
        <v>209</v>
      </c>
      <c r="Z33" s="3" t="s">
        <v>209</v>
      </c>
      <c r="AA33" s="33" t="s">
        <v>209</v>
      </c>
      <c r="AB33" s="33" t="s">
        <v>209</v>
      </c>
      <c r="AC33" s="33" t="s">
        <v>209</v>
      </c>
      <c r="AD33" s="33" t="s">
        <v>1908</v>
      </c>
      <c r="AE33" s="33" t="s">
        <v>2478</v>
      </c>
    </row>
    <row r="34" spans="1:31" ht="67.5">
      <c r="A34" s="5" t="s">
        <v>289</v>
      </c>
      <c r="B34" s="5" t="s">
        <v>283</v>
      </c>
      <c r="C34" s="5" t="s">
        <v>259</v>
      </c>
      <c r="D34" s="5" t="s">
        <v>201</v>
      </c>
      <c r="E34" s="5" t="s">
        <v>260</v>
      </c>
      <c r="F34" s="5" t="s">
        <v>261</v>
      </c>
      <c r="G34" s="5" t="s">
        <v>262</v>
      </c>
      <c r="H34" s="5" t="s">
        <v>102</v>
      </c>
      <c r="I34" s="5" t="s">
        <v>103</v>
      </c>
      <c r="J34" s="5" t="s">
        <v>105</v>
      </c>
      <c r="K34" s="5" t="s">
        <v>275</v>
      </c>
      <c r="L34" s="5" t="s">
        <v>284</v>
      </c>
      <c r="M34" s="5" t="s">
        <v>265</v>
      </c>
      <c r="N34" s="5" t="s">
        <v>1906</v>
      </c>
      <c r="O34" s="5"/>
      <c r="P34" s="5"/>
      <c r="Q34" s="5"/>
      <c r="R34" s="5"/>
      <c r="S34" s="5" t="s">
        <v>1971</v>
      </c>
      <c r="T34" s="5" t="s">
        <v>2065</v>
      </c>
      <c r="U34" s="5" t="s">
        <v>2478</v>
      </c>
      <c r="V34" s="5"/>
      <c r="W34" s="5"/>
      <c r="X34" s="5"/>
      <c r="Y34" s="3" t="s">
        <v>209</v>
      </c>
      <c r="Z34" s="3" t="s">
        <v>209</v>
      </c>
      <c r="AA34" s="33" t="s">
        <v>209</v>
      </c>
      <c r="AB34" s="33" t="s">
        <v>209</v>
      </c>
      <c r="AC34" s="33" t="s">
        <v>209</v>
      </c>
      <c r="AD34" s="33" t="s">
        <v>1908</v>
      </c>
      <c r="AE34" s="33" t="s">
        <v>2478</v>
      </c>
    </row>
    <row r="35" spans="1:31" ht="67.5">
      <c r="A35" s="5" t="s">
        <v>290</v>
      </c>
      <c r="B35" s="5" t="s">
        <v>283</v>
      </c>
      <c r="C35" s="5" t="s">
        <v>259</v>
      </c>
      <c r="D35" s="5" t="s">
        <v>201</v>
      </c>
      <c r="E35" s="5" t="s">
        <v>260</v>
      </c>
      <c r="F35" s="5" t="s">
        <v>261</v>
      </c>
      <c r="G35" s="5" t="s">
        <v>262</v>
      </c>
      <c r="H35" s="5" t="s">
        <v>109</v>
      </c>
      <c r="I35" s="5" t="s">
        <v>110</v>
      </c>
      <c r="J35" s="5" t="s">
        <v>112</v>
      </c>
      <c r="K35" s="5" t="s">
        <v>277</v>
      </c>
      <c r="L35" s="5" t="s">
        <v>284</v>
      </c>
      <c r="M35" s="5" t="s">
        <v>265</v>
      </c>
      <c r="N35" s="5" t="s">
        <v>1906</v>
      </c>
      <c r="O35" s="5"/>
      <c r="P35" s="5"/>
      <c r="Q35" s="5"/>
      <c r="R35" s="5"/>
      <c r="S35" s="5" t="s">
        <v>1971</v>
      </c>
      <c r="T35" s="5" t="s">
        <v>2065</v>
      </c>
      <c r="U35" s="5" t="s">
        <v>2478</v>
      </c>
      <c r="V35" s="5"/>
      <c r="W35" s="5"/>
      <c r="X35" s="5"/>
      <c r="Y35" s="3" t="s">
        <v>209</v>
      </c>
      <c r="Z35" s="3" t="s">
        <v>209</v>
      </c>
      <c r="AA35" s="33" t="s">
        <v>209</v>
      </c>
      <c r="AB35" s="33" t="s">
        <v>209</v>
      </c>
      <c r="AC35" s="33" t="s">
        <v>209</v>
      </c>
      <c r="AD35" s="33" t="s">
        <v>1908</v>
      </c>
      <c r="AE35" s="33" t="s">
        <v>2478</v>
      </c>
    </row>
    <row r="36" spans="1:31" ht="67.5">
      <c r="A36" s="5" t="s">
        <v>291</v>
      </c>
      <c r="B36" s="5" t="s">
        <v>283</v>
      </c>
      <c r="C36" s="5" t="s">
        <v>259</v>
      </c>
      <c r="D36" s="5" t="s">
        <v>201</v>
      </c>
      <c r="E36" s="5" t="s">
        <v>260</v>
      </c>
      <c r="F36" s="5" t="s">
        <v>261</v>
      </c>
      <c r="G36" s="5" t="s">
        <v>262</v>
      </c>
      <c r="H36" s="5" t="s">
        <v>117</v>
      </c>
      <c r="I36" s="5" t="s">
        <v>118</v>
      </c>
      <c r="J36" s="5" t="s">
        <v>112</v>
      </c>
      <c r="K36" s="5" t="s">
        <v>279</v>
      </c>
      <c r="L36" s="5" t="s">
        <v>284</v>
      </c>
      <c r="M36" s="5" t="s">
        <v>265</v>
      </c>
      <c r="N36" s="5" t="s">
        <v>1906</v>
      </c>
      <c r="O36" s="5"/>
      <c r="P36" s="5"/>
      <c r="Q36" s="5"/>
      <c r="R36" s="5"/>
      <c r="S36" s="5" t="s">
        <v>1971</v>
      </c>
      <c r="T36" s="5" t="s">
        <v>2065</v>
      </c>
      <c r="U36" s="5" t="s">
        <v>2478</v>
      </c>
      <c r="V36" s="5"/>
      <c r="W36" s="5"/>
      <c r="X36" s="5"/>
      <c r="Y36" s="3" t="s">
        <v>209</v>
      </c>
      <c r="Z36" s="3" t="s">
        <v>209</v>
      </c>
      <c r="AA36" s="33" t="s">
        <v>209</v>
      </c>
      <c r="AB36" s="33" t="s">
        <v>209</v>
      </c>
      <c r="AC36" s="33" t="s">
        <v>209</v>
      </c>
      <c r="AD36" s="33" t="s">
        <v>1908</v>
      </c>
      <c r="AE36" s="33" t="s">
        <v>2478</v>
      </c>
    </row>
    <row r="37" spans="1:31" ht="67.5">
      <c r="A37" s="5" t="s">
        <v>292</v>
      </c>
      <c r="B37" s="5" t="s">
        <v>283</v>
      </c>
      <c r="C37" s="5" t="s">
        <v>259</v>
      </c>
      <c r="D37" s="5" t="s">
        <v>201</v>
      </c>
      <c r="E37" s="5" t="s">
        <v>260</v>
      </c>
      <c r="F37" s="5" t="s">
        <v>261</v>
      </c>
      <c r="G37" s="5" t="s">
        <v>262</v>
      </c>
      <c r="H37" s="5" t="s">
        <v>48</v>
      </c>
      <c r="I37" s="5" t="s">
        <v>234</v>
      </c>
      <c r="J37" s="5" t="s">
        <v>126</v>
      </c>
      <c r="K37" s="5" t="s">
        <v>281</v>
      </c>
      <c r="L37" s="5" t="s">
        <v>284</v>
      </c>
      <c r="M37" s="5" t="s">
        <v>265</v>
      </c>
      <c r="N37" s="5" t="s">
        <v>1906</v>
      </c>
      <c r="O37" s="5"/>
      <c r="P37" s="5"/>
      <c r="Q37" s="5"/>
      <c r="R37" s="5"/>
      <c r="S37" s="5" t="s">
        <v>1971</v>
      </c>
      <c r="T37" s="5" t="s">
        <v>2065</v>
      </c>
      <c r="U37" s="5" t="s">
        <v>2478</v>
      </c>
      <c r="V37" s="5"/>
      <c r="W37" s="5"/>
      <c r="X37" s="5"/>
      <c r="Y37" s="3" t="s">
        <v>209</v>
      </c>
      <c r="Z37" s="3" t="s">
        <v>209</v>
      </c>
      <c r="AA37" s="33" t="s">
        <v>209</v>
      </c>
      <c r="AB37" s="33" t="s">
        <v>209</v>
      </c>
      <c r="AC37" s="33" t="s">
        <v>209</v>
      </c>
      <c r="AD37" s="33" t="s">
        <v>1908</v>
      </c>
      <c r="AE37" s="33" t="s">
        <v>2478</v>
      </c>
    </row>
    <row r="38" spans="1:31" ht="81">
      <c r="A38" s="5" t="s">
        <v>293</v>
      </c>
      <c r="B38" s="5" t="s">
        <v>294</v>
      </c>
      <c r="C38" s="5" t="s">
        <v>259</v>
      </c>
      <c r="D38" s="5" t="s">
        <v>201</v>
      </c>
      <c r="E38" s="5" t="s">
        <v>295</v>
      </c>
      <c r="F38" s="5" t="s">
        <v>203</v>
      </c>
      <c r="G38" s="5" t="s">
        <v>262</v>
      </c>
      <c r="H38" s="5" t="s">
        <v>62</v>
      </c>
      <c r="I38" s="5" t="s">
        <v>63</v>
      </c>
      <c r="J38" s="5" t="s">
        <v>65</v>
      </c>
      <c r="K38" s="5" t="s">
        <v>263</v>
      </c>
      <c r="L38" s="5" t="s">
        <v>264</v>
      </c>
      <c r="M38" s="5" t="s">
        <v>265</v>
      </c>
      <c r="N38" s="5" t="s">
        <v>1909</v>
      </c>
      <c r="O38" s="5"/>
      <c r="P38" s="5" t="s">
        <v>1910</v>
      </c>
      <c r="Q38" s="5"/>
      <c r="R38" s="5"/>
      <c r="S38" s="5" t="s">
        <v>504</v>
      </c>
      <c r="T38" s="5" t="s">
        <v>69</v>
      </c>
      <c r="U38" s="5" t="s">
        <v>2101</v>
      </c>
      <c r="V38" s="35">
        <v>46215</v>
      </c>
      <c r="W38" s="5" t="s">
        <v>1911</v>
      </c>
      <c r="X38" s="5" t="s">
        <v>1912</v>
      </c>
      <c r="Y38" s="3" t="s">
        <v>44</v>
      </c>
      <c r="Z38" s="3" t="s">
        <v>1913</v>
      </c>
      <c r="AA38" s="33" t="s">
        <v>1913</v>
      </c>
      <c r="AB38" s="33" t="s">
        <v>295</v>
      </c>
      <c r="AC38" s="33" t="s">
        <v>1843</v>
      </c>
      <c r="AD38" s="33" t="s">
        <v>1914</v>
      </c>
      <c r="AE38" s="33" t="s">
        <v>1850</v>
      </c>
    </row>
    <row r="39" spans="1:31" ht="108">
      <c r="A39" s="5" t="s">
        <v>296</v>
      </c>
      <c r="B39" s="5" t="s">
        <v>294</v>
      </c>
      <c r="C39" s="5" t="s">
        <v>259</v>
      </c>
      <c r="D39" s="5" t="s">
        <v>201</v>
      </c>
      <c r="E39" s="5" t="s">
        <v>295</v>
      </c>
      <c r="F39" s="5" t="s">
        <v>203</v>
      </c>
      <c r="G39" s="5" t="s">
        <v>262</v>
      </c>
      <c r="H39" s="5" t="s">
        <v>71</v>
      </c>
      <c r="I39" s="5" t="s">
        <v>72</v>
      </c>
      <c r="J39" s="5" t="s">
        <v>65</v>
      </c>
      <c r="K39" s="5" t="s">
        <v>267</v>
      </c>
      <c r="L39" s="5" t="s">
        <v>264</v>
      </c>
      <c r="M39" s="5" t="s">
        <v>265</v>
      </c>
      <c r="N39" s="5" t="s">
        <v>1915</v>
      </c>
      <c r="O39" s="5"/>
      <c r="P39" s="5" t="s">
        <v>1916</v>
      </c>
      <c r="Q39" s="5"/>
      <c r="R39" s="5"/>
      <c r="S39" s="5" t="s">
        <v>504</v>
      </c>
      <c r="T39" s="5" t="s">
        <v>69</v>
      </c>
      <c r="U39" s="5" t="s">
        <v>2101</v>
      </c>
      <c r="V39" s="35">
        <v>46215</v>
      </c>
      <c r="W39" s="5" t="s">
        <v>1911</v>
      </c>
      <c r="X39" s="5" t="s">
        <v>1912</v>
      </c>
      <c r="Y39" s="3" t="s">
        <v>44</v>
      </c>
      <c r="Z39" s="3" t="s">
        <v>1917</v>
      </c>
      <c r="AA39" s="33" t="s">
        <v>1917</v>
      </c>
      <c r="AB39" s="33" t="s">
        <v>295</v>
      </c>
      <c r="AC39" s="33" t="s">
        <v>1843</v>
      </c>
      <c r="AD39" s="33" t="s">
        <v>1914</v>
      </c>
      <c r="AE39" s="33" t="s">
        <v>1850</v>
      </c>
    </row>
    <row r="40" spans="1:31" ht="81">
      <c r="A40" s="5" t="s">
        <v>297</v>
      </c>
      <c r="B40" s="5" t="s">
        <v>294</v>
      </c>
      <c r="C40" s="5" t="s">
        <v>259</v>
      </c>
      <c r="D40" s="5" t="s">
        <v>201</v>
      </c>
      <c r="E40" s="5" t="s">
        <v>295</v>
      </c>
      <c r="F40" s="5" t="s">
        <v>203</v>
      </c>
      <c r="G40" s="5" t="s">
        <v>262</v>
      </c>
      <c r="H40" s="5" t="s">
        <v>78</v>
      </c>
      <c r="I40" s="5" t="s">
        <v>79</v>
      </c>
      <c r="J40" s="5" t="s">
        <v>217</v>
      </c>
      <c r="K40" s="5" t="s">
        <v>269</v>
      </c>
      <c r="L40" s="5" t="s">
        <v>264</v>
      </c>
      <c r="M40" s="5" t="s">
        <v>265</v>
      </c>
      <c r="N40" s="5" t="s">
        <v>1918</v>
      </c>
      <c r="O40" s="5"/>
      <c r="P40" s="5" t="s">
        <v>1910</v>
      </c>
      <c r="Q40" s="5"/>
      <c r="R40" s="5"/>
      <c r="S40" s="5" t="s">
        <v>504</v>
      </c>
      <c r="T40" s="5" t="s">
        <v>69</v>
      </c>
      <c r="U40" s="5" t="s">
        <v>2101</v>
      </c>
      <c r="V40" s="35">
        <v>46215</v>
      </c>
      <c r="W40" s="5" t="s">
        <v>1911</v>
      </c>
      <c r="X40" s="5" t="s">
        <v>1912</v>
      </c>
      <c r="Y40" s="3" t="s">
        <v>44</v>
      </c>
      <c r="Z40" s="3" t="s">
        <v>1913</v>
      </c>
      <c r="AA40" s="33" t="s">
        <v>1913</v>
      </c>
      <c r="AB40" s="33" t="s">
        <v>295</v>
      </c>
      <c r="AC40" s="33" t="s">
        <v>1843</v>
      </c>
      <c r="AD40" s="33" t="s">
        <v>1914</v>
      </c>
      <c r="AE40" s="33" t="s">
        <v>1850</v>
      </c>
    </row>
    <row r="41" spans="1:31" ht="108">
      <c r="A41" s="5" t="s">
        <v>298</v>
      </c>
      <c r="B41" s="5" t="s">
        <v>294</v>
      </c>
      <c r="C41" s="5" t="s">
        <v>259</v>
      </c>
      <c r="D41" s="5" t="s">
        <v>201</v>
      </c>
      <c r="E41" s="5" t="s">
        <v>295</v>
      </c>
      <c r="F41" s="5" t="s">
        <v>203</v>
      </c>
      <c r="G41" s="5" t="s">
        <v>262</v>
      </c>
      <c r="H41" s="5" t="s">
        <v>86</v>
      </c>
      <c r="I41" s="5" t="s">
        <v>87</v>
      </c>
      <c r="J41" s="5" t="s">
        <v>89</v>
      </c>
      <c r="K41" s="5" t="s">
        <v>271</v>
      </c>
      <c r="L41" s="5" t="s">
        <v>264</v>
      </c>
      <c r="M41" s="5" t="s">
        <v>265</v>
      </c>
      <c r="N41" s="5" t="s">
        <v>1915</v>
      </c>
      <c r="O41" s="5"/>
      <c r="P41" s="5" t="s">
        <v>1916</v>
      </c>
      <c r="Q41" s="5"/>
      <c r="R41" s="5"/>
      <c r="S41" s="5" t="s">
        <v>504</v>
      </c>
      <c r="T41" s="5" t="s">
        <v>69</v>
      </c>
      <c r="U41" s="5" t="s">
        <v>2101</v>
      </c>
      <c r="V41" s="35">
        <v>46215</v>
      </c>
      <c r="W41" s="5" t="s">
        <v>1911</v>
      </c>
      <c r="X41" s="5" t="s">
        <v>1912</v>
      </c>
      <c r="Y41" s="3" t="s">
        <v>44</v>
      </c>
      <c r="Z41" s="3" t="s">
        <v>1917</v>
      </c>
      <c r="AA41" s="33" t="s">
        <v>1917</v>
      </c>
      <c r="AB41" s="33" t="s">
        <v>295</v>
      </c>
      <c r="AC41" s="33" t="s">
        <v>1843</v>
      </c>
      <c r="AD41" s="33" t="s">
        <v>1914</v>
      </c>
      <c r="AE41" s="33" t="s">
        <v>1850</v>
      </c>
    </row>
    <row r="42" spans="1:31" ht="81">
      <c r="A42" s="5" t="s">
        <v>299</v>
      </c>
      <c r="B42" s="5" t="s">
        <v>294</v>
      </c>
      <c r="C42" s="5" t="s">
        <v>259</v>
      </c>
      <c r="D42" s="5" t="s">
        <v>201</v>
      </c>
      <c r="E42" s="5" t="s">
        <v>295</v>
      </c>
      <c r="F42" s="5" t="s">
        <v>203</v>
      </c>
      <c r="G42" s="5" t="s">
        <v>262</v>
      </c>
      <c r="H42" s="5" t="s">
        <v>95</v>
      </c>
      <c r="I42" s="5" t="s">
        <v>96</v>
      </c>
      <c r="J42" s="5" t="s">
        <v>65</v>
      </c>
      <c r="K42" s="5" t="s">
        <v>273</v>
      </c>
      <c r="L42" s="5" t="s">
        <v>264</v>
      </c>
      <c r="M42" s="5" t="s">
        <v>265</v>
      </c>
      <c r="N42" s="5" t="s">
        <v>1919</v>
      </c>
      <c r="O42" s="5"/>
      <c r="P42" s="5" t="s">
        <v>1910</v>
      </c>
      <c r="Q42" s="5"/>
      <c r="R42" s="5"/>
      <c r="S42" s="5" t="s">
        <v>504</v>
      </c>
      <c r="T42" s="5" t="s">
        <v>69</v>
      </c>
      <c r="U42" s="5" t="s">
        <v>2101</v>
      </c>
      <c r="V42" s="35">
        <v>46215</v>
      </c>
      <c r="W42" s="5" t="s">
        <v>1911</v>
      </c>
      <c r="X42" s="5" t="s">
        <v>1912</v>
      </c>
      <c r="Y42" s="3" t="s">
        <v>44</v>
      </c>
      <c r="Z42" s="3" t="s">
        <v>1913</v>
      </c>
      <c r="AA42" s="33" t="s">
        <v>1913</v>
      </c>
      <c r="AB42" s="33" t="s">
        <v>295</v>
      </c>
      <c r="AC42" s="33" t="s">
        <v>1843</v>
      </c>
      <c r="AD42" s="33" t="s">
        <v>1914</v>
      </c>
      <c r="AE42" s="33" t="s">
        <v>1850</v>
      </c>
    </row>
    <row r="43" spans="1:31" ht="108">
      <c r="A43" s="5" t="s">
        <v>300</v>
      </c>
      <c r="B43" s="5" t="s">
        <v>294</v>
      </c>
      <c r="C43" s="5" t="s">
        <v>259</v>
      </c>
      <c r="D43" s="5" t="s">
        <v>201</v>
      </c>
      <c r="E43" s="5" t="s">
        <v>295</v>
      </c>
      <c r="F43" s="5" t="s">
        <v>203</v>
      </c>
      <c r="G43" s="5" t="s">
        <v>262</v>
      </c>
      <c r="H43" s="5" t="s">
        <v>102</v>
      </c>
      <c r="I43" s="5" t="s">
        <v>103</v>
      </c>
      <c r="J43" s="5" t="s">
        <v>105</v>
      </c>
      <c r="K43" s="5" t="s">
        <v>275</v>
      </c>
      <c r="L43" s="5" t="s">
        <v>264</v>
      </c>
      <c r="M43" s="5" t="s">
        <v>265</v>
      </c>
      <c r="N43" s="5" t="s">
        <v>1915</v>
      </c>
      <c r="O43" s="5"/>
      <c r="P43" s="5" t="s">
        <v>1916</v>
      </c>
      <c r="Q43" s="5"/>
      <c r="R43" s="5"/>
      <c r="S43" s="5" t="s">
        <v>504</v>
      </c>
      <c r="T43" s="5" t="s">
        <v>69</v>
      </c>
      <c r="U43" s="5" t="s">
        <v>2101</v>
      </c>
      <c r="V43" s="35">
        <v>46215</v>
      </c>
      <c r="W43" s="5" t="s">
        <v>1911</v>
      </c>
      <c r="X43" s="5" t="s">
        <v>1912</v>
      </c>
      <c r="Y43" s="3" t="s">
        <v>44</v>
      </c>
      <c r="Z43" s="3" t="s">
        <v>1917</v>
      </c>
      <c r="AA43" s="33" t="s">
        <v>1917</v>
      </c>
      <c r="AB43" s="33" t="s">
        <v>295</v>
      </c>
      <c r="AC43" s="33" t="s">
        <v>1843</v>
      </c>
      <c r="AD43" s="33" t="s">
        <v>1914</v>
      </c>
      <c r="AE43" s="33" t="s">
        <v>1850</v>
      </c>
    </row>
    <row r="44" spans="1:31" ht="108">
      <c r="A44" s="5" t="s">
        <v>301</v>
      </c>
      <c r="B44" s="5" t="s">
        <v>294</v>
      </c>
      <c r="C44" s="5" t="s">
        <v>259</v>
      </c>
      <c r="D44" s="5" t="s">
        <v>201</v>
      </c>
      <c r="E44" s="5" t="s">
        <v>295</v>
      </c>
      <c r="F44" s="5" t="s">
        <v>203</v>
      </c>
      <c r="G44" s="5" t="s">
        <v>262</v>
      </c>
      <c r="H44" s="5" t="s">
        <v>109</v>
      </c>
      <c r="I44" s="5" t="s">
        <v>110</v>
      </c>
      <c r="J44" s="5" t="s">
        <v>112</v>
      </c>
      <c r="K44" s="5" t="s">
        <v>277</v>
      </c>
      <c r="L44" s="5" t="s">
        <v>264</v>
      </c>
      <c r="M44" s="5" t="s">
        <v>265</v>
      </c>
      <c r="N44" s="5" t="s">
        <v>1915</v>
      </c>
      <c r="O44" s="5"/>
      <c r="P44" s="5" t="s">
        <v>1916</v>
      </c>
      <c r="Q44" s="5"/>
      <c r="R44" s="5"/>
      <c r="S44" s="5" t="s">
        <v>504</v>
      </c>
      <c r="T44" s="5" t="s">
        <v>69</v>
      </c>
      <c r="U44" s="5" t="s">
        <v>2101</v>
      </c>
      <c r="V44" s="35">
        <v>46215</v>
      </c>
      <c r="W44" s="5" t="s">
        <v>1911</v>
      </c>
      <c r="X44" s="5" t="s">
        <v>1912</v>
      </c>
      <c r="Y44" s="3" t="s">
        <v>44</v>
      </c>
      <c r="Z44" s="3" t="s">
        <v>1917</v>
      </c>
      <c r="AA44" s="33" t="s">
        <v>1917</v>
      </c>
      <c r="AB44" s="33" t="s">
        <v>295</v>
      </c>
      <c r="AC44" s="33" t="s">
        <v>1843</v>
      </c>
      <c r="AD44" s="33" t="s">
        <v>1914</v>
      </c>
      <c r="AE44" s="33" t="s">
        <v>1850</v>
      </c>
    </row>
    <row r="45" spans="1:31" ht="108">
      <c r="A45" s="5" t="s">
        <v>302</v>
      </c>
      <c r="B45" s="5" t="s">
        <v>294</v>
      </c>
      <c r="C45" s="5" t="s">
        <v>259</v>
      </c>
      <c r="D45" s="5" t="s">
        <v>201</v>
      </c>
      <c r="E45" s="5" t="s">
        <v>295</v>
      </c>
      <c r="F45" s="5" t="s">
        <v>203</v>
      </c>
      <c r="G45" s="5" t="s">
        <v>262</v>
      </c>
      <c r="H45" s="5" t="s">
        <v>117</v>
      </c>
      <c r="I45" s="5" t="s">
        <v>118</v>
      </c>
      <c r="J45" s="5" t="s">
        <v>112</v>
      </c>
      <c r="K45" s="5" t="s">
        <v>279</v>
      </c>
      <c r="L45" s="5" t="s">
        <v>264</v>
      </c>
      <c r="M45" s="5" t="s">
        <v>265</v>
      </c>
      <c r="N45" s="5" t="s">
        <v>1915</v>
      </c>
      <c r="O45" s="5"/>
      <c r="P45" s="5" t="s">
        <v>1916</v>
      </c>
      <c r="Q45" s="5"/>
      <c r="R45" s="5"/>
      <c r="S45" s="5" t="s">
        <v>504</v>
      </c>
      <c r="T45" s="5" t="s">
        <v>69</v>
      </c>
      <c r="U45" s="5" t="s">
        <v>2101</v>
      </c>
      <c r="V45" s="35">
        <v>46215</v>
      </c>
      <c r="W45" s="5" t="s">
        <v>1911</v>
      </c>
      <c r="X45" s="5" t="s">
        <v>1912</v>
      </c>
      <c r="Y45" s="3" t="s">
        <v>44</v>
      </c>
      <c r="Z45" s="3" t="s">
        <v>1917</v>
      </c>
      <c r="AA45" s="33" t="s">
        <v>1917</v>
      </c>
      <c r="AB45" s="33" t="s">
        <v>295</v>
      </c>
      <c r="AC45" s="33" t="s">
        <v>1843</v>
      </c>
      <c r="AD45" s="33" t="s">
        <v>1914</v>
      </c>
      <c r="AE45" s="33" t="s">
        <v>1850</v>
      </c>
    </row>
    <row r="46" spans="1:31" ht="108">
      <c r="A46" s="5" t="s">
        <v>303</v>
      </c>
      <c r="B46" s="5" t="s">
        <v>294</v>
      </c>
      <c r="C46" s="5" t="s">
        <v>259</v>
      </c>
      <c r="D46" s="5" t="s">
        <v>201</v>
      </c>
      <c r="E46" s="5" t="s">
        <v>295</v>
      </c>
      <c r="F46" s="5" t="s">
        <v>203</v>
      </c>
      <c r="G46" s="5" t="s">
        <v>262</v>
      </c>
      <c r="H46" s="5" t="s">
        <v>48</v>
      </c>
      <c r="I46" s="5" t="s">
        <v>234</v>
      </c>
      <c r="J46" s="5" t="s">
        <v>126</v>
      </c>
      <c r="K46" s="5" t="s">
        <v>281</v>
      </c>
      <c r="L46" s="5" t="s">
        <v>264</v>
      </c>
      <c r="M46" s="5" t="s">
        <v>265</v>
      </c>
      <c r="N46" s="5" t="s">
        <v>1915</v>
      </c>
      <c r="O46" s="5"/>
      <c r="P46" s="5" t="s">
        <v>1916</v>
      </c>
      <c r="Q46" s="5"/>
      <c r="R46" s="5"/>
      <c r="S46" s="5" t="s">
        <v>504</v>
      </c>
      <c r="T46" s="5" t="s">
        <v>69</v>
      </c>
      <c r="U46" s="5" t="s">
        <v>2101</v>
      </c>
      <c r="V46" s="35">
        <v>46215</v>
      </c>
      <c r="W46" s="5" t="s">
        <v>1911</v>
      </c>
      <c r="X46" s="5" t="s">
        <v>1912</v>
      </c>
      <c r="Y46" s="3" t="s">
        <v>44</v>
      </c>
      <c r="Z46" s="3" t="s">
        <v>1917</v>
      </c>
      <c r="AA46" s="33" t="s">
        <v>1917</v>
      </c>
      <c r="AB46" s="33" t="s">
        <v>295</v>
      </c>
      <c r="AC46" s="33" t="s">
        <v>1843</v>
      </c>
      <c r="AD46" s="33" t="s">
        <v>1914</v>
      </c>
      <c r="AE46" s="33" t="s">
        <v>1850</v>
      </c>
    </row>
    <row r="47" spans="1:31" ht="54">
      <c r="A47" s="5" t="s">
        <v>304</v>
      </c>
      <c r="B47" s="5" t="s">
        <v>305</v>
      </c>
      <c r="C47" s="5" t="s">
        <v>259</v>
      </c>
      <c r="D47" s="5" t="s">
        <v>201</v>
      </c>
      <c r="E47" s="5" t="s">
        <v>295</v>
      </c>
      <c r="F47" s="5" t="s">
        <v>203</v>
      </c>
      <c r="G47" s="5" t="s">
        <v>262</v>
      </c>
      <c r="H47" s="5" t="s">
        <v>62</v>
      </c>
      <c r="I47" s="5" t="s">
        <v>63</v>
      </c>
      <c r="J47" s="5" t="s">
        <v>65</v>
      </c>
      <c r="K47" s="5" t="s">
        <v>263</v>
      </c>
      <c r="L47" s="5" t="s">
        <v>284</v>
      </c>
      <c r="M47" s="5" t="s">
        <v>265</v>
      </c>
      <c r="N47" s="5" t="s">
        <v>1920</v>
      </c>
      <c r="O47" s="5"/>
      <c r="P47" s="5"/>
      <c r="Q47" s="5"/>
      <c r="R47" s="5"/>
      <c r="S47" s="5" t="s">
        <v>1971</v>
      </c>
      <c r="T47" s="5" t="s">
        <v>2065</v>
      </c>
      <c r="U47" s="5" t="s">
        <v>2478</v>
      </c>
      <c r="V47" s="5"/>
      <c r="W47" s="5"/>
      <c r="X47" s="5"/>
      <c r="Y47" s="3" t="s">
        <v>209</v>
      </c>
      <c r="Z47" s="3" t="s">
        <v>209</v>
      </c>
      <c r="AA47" s="33" t="s">
        <v>209</v>
      </c>
      <c r="AB47" s="33" t="s">
        <v>209</v>
      </c>
      <c r="AC47" s="33" t="s">
        <v>209</v>
      </c>
      <c r="AD47" s="33" t="s">
        <v>1908</v>
      </c>
      <c r="AE47" s="33" t="s">
        <v>2478</v>
      </c>
    </row>
    <row r="48" spans="1:31" ht="54">
      <c r="A48" s="5" t="s">
        <v>306</v>
      </c>
      <c r="B48" s="5" t="s">
        <v>305</v>
      </c>
      <c r="C48" s="5" t="s">
        <v>259</v>
      </c>
      <c r="D48" s="5" t="s">
        <v>201</v>
      </c>
      <c r="E48" s="5" t="s">
        <v>295</v>
      </c>
      <c r="F48" s="5" t="s">
        <v>203</v>
      </c>
      <c r="G48" s="5" t="s">
        <v>262</v>
      </c>
      <c r="H48" s="5" t="s">
        <v>71</v>
      </c>
      <c r="I48" s="5" t="s">
        <v>72</v>
      </c>
      <c r="J48" s="5" t="s">
        <v>65</v>
      </c>
      <c r="K48" s="5" t="s">
        <v>267</v>
      </c>
      <c r="L48" s="5" t="s">
        <v>284</v>
      </c>
      <c r="M48" s="5" t="s">
        <v>265</v>
      </c>
      <c r="N48" s="5" t="s">
        <v>1920</v>
      </c>
      <c r="O48" s="5"/>
      <c r="P48" s="5"/>
      <c r="Q48" s="5"/>
      <c r="R48" s="5"/>
      <c r="S48" s="5" t="s">
        <v>1971</v>
      </c>
      <c r="T48" s="5" t="s">
        <v>2065</v>
      </c>
      <c r="U48" s="5" t="s">
        <v>2478</v>
      </c>
      <c r="V48" s="5"/>
      <c r="W48" s="5"/>
      <c r="X48" s="5"/>
      <c r="Y48" s="3" t="s">
        <v>209</v>
      </c>
      <c r="Z48" s="3" t="s">
        <v>209</v>
      </c>
      <c r="AA48" s="33" t="s">
        <v>209</v>
      </c>
      <c r="AB48" s="33" t="s">
        <v>209</v>
      </c>
      <c r="AC48" s="33" t="s">
        <v>209</v>
      </c>
      <c r="AD48" s="33" t="s">
        <v>1908</v>
      </c>
      <c r="AE48" s="33" t="s">
        <v>2478</v>
      </c>
    </row>
    <row r="49" spans="1:31" ht="54">
      <c r="A49" s="5" t="s">
        <v>307</v>
      </c>
      <c r="B49" s="5" t="s">
        <v>305</v>
      </c>
      <c r="C49" s="5" t="s">
        <v>259</v>
      </c>
      <c r="D49" s="5" t="s">
        <v>201</v>
      </c>
      <c r="E49" s="5" t="s">
        <v>295</v>
      </c>
      <c r="F49" s="5" t="s">
        <v>203</v>
      </c>
      <c r="G49" s="5" t="s">
        <v>262</v>
      </c>
      <c r="H49" s="5" t="s">
        <v>78</v>
      </c>
      <c r="I49" s="5" t="s">
        <v>79</v>
      </c>
      <c r="J49" s="5" t="s">
        <v>217</v>
      </c>
      <c r="K49" s="5" t="s">
        <v>269</v>
      </c>
      <c r="L49" s="5" t="s">
        <v>284</v>
      </c>
      <c r="M49" s="5" t="s">
        <v>265</v>
      </c>
      <c r="N49" s="5" t="s">
        <v>1920</v>
      </c>
      <c r="O49" s="5"/>
      <c r="P49" s="5"/>
      <c r="Q49" s="5"/>
      <c r="R49" s="5"/>
      <c r="S49" s="5" t="s">
        <v>1971</v>
      </c>
      <c r="T49" s="5" t="s">
        <v>2065</v>
      </c>
      <c r="U49" s="5" t="s">
        <v>2478</v>
      </c>
      <c r="V49" s="5"/>
      <c r="W49" s="5"/>
      <c r="X49" s="5"/>
      <c r="Y49" s="3" t="s">
        <v>209</v>
      </c>
      <c r="Z49" s="3" t="s">
        <v>209</v>
      </c>
      <c r="AA49" s="33" t="s">
        <v>209</v>
      </c>
      <c r="AB49" s="33" t="s">
        <v>209</v>
      </c>
      <c r="AC49" s="33" t="s">
        <v>209</v>
      </c>
      <c r="AD49" s="33" t="s">
        <v>1908</v>
      </c>
      <c r="AE49" s="33" t="s">
        <v>2478</v>
      </c>
    </row>
    <row r="50" spans="1:31" ht="54">
      <c r="A50" s="5" t="s">
        <v>308</v>
      </c>
      <c r="B50" s="5" t="s">
        <v>305</v>
      </c>
      <c r="C50" s="5" t="s">
        <v>259</v>
      </c>
      <c r="D50" s="5" t="s">
        <v>201</v>
      </c>
      <c r="E50" s="5" t="s">
        <v>295</v>
      </c>
      <c r="F50" s="5" t="s">
        <v>203</v>
      </c>
      <c r="G50" s="5" t="s">
        <v>262</v>
      </c>
      <c r="H50" s="5" t="s">
        <v>86</v>
      </c>
      <c r="I50" s="5" t="s">
        <v>87</v>
      </c>
      <c r="J50" s="5" t="s">
        <v>89</v>
      </c>
      <c r="K50" s="5" t="s">
        <v>271</v>
      </c>
      <c r="L50" s="5" t="s">
        <v>284</v>
      </c>
      <c r="M50" s="5" t="s">
        <v>265</v>
      </c>
      <c r="N50" s="5" t="s">
        <v>1920</v>
      </c>
      <c r="O50" s="5"/>
      <c r="P50" s="5"/>
      <c r="Q50" s="5"/>
      <c r="R50" s="5"/>
      <c r="S50" s="5" t="s">
        <v>1971</v>
      </c>
      <c r="T50" s="5" t="s">
        <v>2065</v>
      </c>
      <c r="U50" s="5" t="s">
        <v>2478</v>
      </c>
      <c r="V50" s="5"/>
      <c r="W50" s="5"/>
      <c r="X50" s="5"/>
      <c r="Y50" s="3" t="s">
        <v>209</v>
      </c>
      <c r="Z50" s="3" t="s">
        <v>209</v>
      </c>
      <c r="AA50" s="33" t="s">
        <v>209</v>
      </c>
      <c r="AB50" s="33" t="s">
        <v>209</v>
      </c>
      <c r="AC50" s="33" t="s">
        <v>209</v>
      </c>
      <c r="AD50" s="33" t="s">
        <v>1908</v>
      </c>
      <c r="AE50" s="33" t="s">
        <v>2478</v>
      </c>
    </row>
    <row r="51" spans="1:31" ht="54">
      <c r="A51" s="5" t="s">
        <v>309</v>
      </c>
      <c r="B51" s="5" t="s">
        <v>305</v>
      </c>
      <c r="C51" s="5" t="s">
        <v>259</v>
      </c>
      <c r="D51" s="5" t="s">
        <v>201</v>
      </c>
      <c r="E51" s="5" t="s">
        <v>295</v>
      </c>
      <c r="F51" s="5" t="s">
        <v>203</v>
      </c>
      <c r="G51" s="5" t="s">
        <v>262</v>
      </c>
      <c r="H51" s="5" t="s">
        <v>95</v>
      </c>
      <c r="I51" s="5" t="s">
        <v>96</v>
      </c>
      <c r="J51" s="5" t="s">
        <v>65</v>
      </c>
      <c r="K51" s="5" t="s">
        <v>273</v>
      </c>
      <c r="L51" s="5" t="s">
        <v>284</v>
      </c>
      <c r="M51" s="5" t="s">
        <v>265</v>
      </c>
      <c r="N51" s="5" t="s">
        <v>1920</v>
      </c>
      <c r="O51" s="5"/>
      <c r="P51" s="5"/>
      <c r="Q51" s="5"/>
      <c r="R51" s="5"/>
      <c r="S51" s="5" t="s">
        <v>1971</v>
      </c>
      <c r="T51" s="5" t="s">
        <v>2065</v>
      </c>
      <c r="U51" s="5" t="s">
        <v>2478</v>
      </c>
      <c r="V51" s="5"/>
      <c r="W51" s="5"/>
      <c r="X51" s="5"/>
      <c r="Y51" s="3" t="s">
        <v>209</v>
      </c>
      <c r="Z51" s="3" t="s">
        <v>209</v>
      </c>
      <c r="AA51" s="33" t="s">
        <v>209</v>
      </c>
      <c r="AB51" s="33" t="s">
        <v>209</v>
      </c>
      <c r="AC51" s="33" t="s">
        <v>209</v>
      </c>
      <c r="AD51" s="33" t="s">
        <v>1908</v>
      </c>
      <c r="AE51" s="33" t="s">
        <v>2478</v>
      </c>
    </row>
    <row r="52" spans="1:31" ht="54">
      <c r="A52" s="5" t="s">
        <v>310</v>
      </c>
      <c r="B52" s="5" t="s">
        <v>305</v>
      </c>
      <c r="C52" s="5" t="s">
        <v>259</v>
      </c>
      <c r="D52" s="5" t="s">
        <v>201</v>
      </c>
      <c r="E52" s="5" t="s">
        <v>295</v>
      </c>
      <c r="F52" s="5" t="s">
        <v>203</v>
      </c>
      <c r="G52" s="5" t="s">
        <v>262</v>
      </c>
      <c r="H52" s="5" t="s">
        <v>102</v>
      </c>
      <c r="I52" s="5" t="s">
        <v>103</v>
      </c>
      <c r="J52" s="5" t="s">
        <v>105</v>
      </c>
      <c r="K52" s="5" t="s">
        <v>275</v>
      </c>
      <c r="L52" s="5" t="s">
        <v>284</v>
      </c>
      <c r="M52" s="5" t="s">
        <v>265</v>
      </c>
      <c r="N52" s="5" t="s">
        <v>1920</v>
      </c>
      <c r="O52" s="5"/>
      <c r="P52" s="5"/>
      <c r="Q52" s="5"/>
      <c r="R52" s="5"/>
      <c r="S52" s="5" t="s">
        <v>1971</v>
      </c>
      <c r="T52" s="5" t="s">
        <v>2065</v>
      </c>
      <c r="U52" s="5" t="s">
        <v>2478</v>
      </c>
      <c r="V52" s="5"/>
      <c r="W52" s="5"/>
      <c r="X52" s="5"/>
      <c r="Y52" s="3" t="s">
        <v>209</v>
      </c>
      <c r="Z52" s="3" t="s">
        <v>209</v>
      </c>
      <c r="AA52" s="33" t="s">
        <v>209</v>
      </c>
      <c r="AB52" s="33" t="s">
        <v>209</v>
      </c>
      <c r="AC52" s="33" t="s">
        <v>209</v>
      </c>
      <c r="AD52" s="33" t="s">
        <v>1908</v>
      </c>
      <c r="AE52" s="33" t="s">
        <v>2478</v>
      </c>
    </row>
    <row r="53" spans="1:31" ht="54">
      <c r="A53" s="5" t="s">
        <v>311</v>
      </c>
      <c r="B53" s="5" t="s">
        <v>305</v>
      </c>
      <c r="C53" s="5" t="s">
        <v>259</v>
      </c>
      <c r="D53" s="5" t="s">
        <v>201</v>
      </c>
      <c r="E53" s="5" t="s">
        <v>295</v>
      </c>
      <c r="F53" s="5" t="s">
        <v>203</v>
      </c>
      <c r="G53" s="5" t="s">
        <v>262</v>
      </c>
      <c r="H53" s="5" t="s">
        <v>109</v>
      </c>
      <c r="I53" s="5" t="s">
        <v>110</v>
      </c>
      <c r="J53" s="5" t="s">
        <v>112</v>
      </c>
      <c r="K53" s="5" t="s">
        <v>277</v>
      </c>
      <c r="L53" s="5" t="s">
        <v>284</v>
      </c>
      <c r="M53" s="5" t="s">
        <v>265</v>
      </c>
      <c r="N53" s="5" t="s">
        <v>1920</v>
      </c>
      <c r="O53" s="5"/>
      <c r="P53" s="5"/>
      <c r="Q53" s="5"/>
      <c r="R53" s="5"/>
      <c r="S53" s="5" t="s">
        <v>1971</v>
      </c>
      <c r="T53" s="5" t="s">
        <v>2065</v>
      </c>
      <c r="U53" s="5" t="s">
        <v>2478</v>
      </c>
      <c r="V53" s="5"/>
      <c r="W53" s="5"/>
      <c r="X53" s="5"/>
      <c r="Y53" s="3" t="s">
        <v>209</v>
      </c>
      <c r="Z53" s="3" t="s">
        <v>209</v>
      </c>
      <c r="AA53" s="33" t="s">
        <v>209</v>
      </c>
      <c r="AB53" s="33" t="s">
        <v>209</v>
      </c>
      <c r="AC53" s="33" t="s">
        <v>209</v>
      </c>
      <c r="AD53" s="33" t="s">
        <v>1908</v>
      </c>
      <c r="AE53" s="33" t="s">
        <v>2478</v>
      </c>
    </row>
    <row r="54" spans="1:31" ht="54">
      <c r="A54" s="5" t="s">
        <v>312</v>
      </c>
      <c r="B54" s="5" t="s">
        <v>305</v>
      </c>
      <c r="C54" s="5" t="s">
        <v>259</v>
      </c>
      <c r="D54" s="5" t="s">
        <v>201</v>
      </c>
      <c r="E54" s="5" t="s">
        <v>295</v>
      </c>
      <c r="F54" s="5" t="s">
        <v>203</v>
      </c>
      <c r="G54" s="5" t="s">
        <v>262</v>
      </c>
      <c r="H54" s="5" t="s">
        <v>117</v>
      </c>
      <c r="I54" s="5" t="s">
        <v>118</v>
      </c>
      <c r="J54" s="5" t="s">
        <v>112</v>
      </c>
      <c r="K54" s="5" t="s">
        <v>279</v>
      </c>
      <c r="L54" s="5" t="s">
        <v>284</v>
      </c>
      <c r="M54" s="5" t="s">
        <v>265</v>
      </c>
      <c r="N54" s="5" t="s">
        <v>1920</v>
      </c>
      <c r="O54" s="5"/>
      <c r="P54" s="5"/>
      <c r="Q54" s="5"/>
      <c r="R54" s="5"/>
      <c r="S54" s="5" t="s">
        <v>1971</v>
      </c>
      <c r="T54" s="5" t="s">
        <v>2065</v>
      </c>
      <c r="U54" s="5" t="s">
        <v>2478</v>
      </c>
      <c r="V54" s="5"/>
      <c r="W54" s="5"/>
      <c r="X54" s="5"/>
      <c r="Y54" s="3" t="s">
        <v>209</v>
      </c>
      <c r="Z54" s="3" t="s">
        <v>209</v>
      </c>
      <c r="AA54" s="33" t="s">
        <v>209</v>
      </c>
      <c r="AB54" s="33" t="s">
        <v>209</v>
      </c>
      <c r="AC54" s="33" t="s">
        <v>209</v>
      </c>
      <c r="AD54" s="33" t="s">
        <v>1908</v>
      </c>
      <c r="AE54" s="33" t="s">
        <v>2478</v>
      </c>
    </row>
    <row r="55" spans="1:31" ht="54">
      <c r="A55" s="5" t="s">
        <v>313</v>
      </c>
      <c r="B55" s="5" t="s">
        <v>305</v>
      </c>
      <c r="C55" s="5" t="s">
        <v>259</v>
      </c>
      <c r="D55" s="5" t="s">
        <v>201</v>
      </c>
      <c r="E55" s="5" t="s">
        <v>295</v>
      </c>
      <c r="F55" s="5" t="s">
        <v>203</v>
      </c>
      <c r="G55" s="5" t="s">
        <v>262</v>
      </c>
      <c r="H55" s="5" t="s">
        <v>48</v>
      </c>
      <c r="I55" s="5" t="s">
        <v>234</v>
      </c>
      <c r="J55" s="5" t="s">
        <v>126</v>
      </c>
      <c r="K55" s="5" t="s">
        <v>281</v>
      </c>
      <c r="L55" s="5" t="s">
        <v>284</v>
      </c>
      <c r="M55" s="5" t="s">
        <v>265</v>
      </c>
      <c r="N55" s="5" t="s">
        <v>1920</v>
      </c>
      <c r="O55" s="5"/>
      <c r="P55" s="5"/>
      <c r="Q55" s="5"/>
      <c r="R55" s="5"/>
      <c r="S55" s="5" t="s">
        <v>1971</v>
      </c>
      <c r="T55" s="5" t="s">
        <v>2065</v>
      </c>
      <c r="U55" s="5" t="s">
        <v>2478</v>
      </c>
      <c r="V55" s="5"/>
      <c r="W55" s="5"/>
      <c r="X55" s="5"/>
      <c r="Y55" s="3" t="s">
        <v>209</v>
      </c>
      <c r="Z55" s="3" t="s">
        <v>209</v>
      </c>
      <c r="AA55" s="33" t="s">
        <v>209</v>
      </c>
      <c r="AB55" s="33" t="s">
        <v>209</v>
      </c>
      <c r="AC55" s="33" t="s">
        <v>209</v>
      </c>
      <c r="AD55" s="33" t="s">
        <v>1908</v>
      </c>
      <c r="AE55" s="33" t="s">
        <v>2478</v>
      </c>
    </row>
    <row r="56" spans="1:31" ht="81">
      <c r="A56" s="5" t="s">
        <v>314</v>
      </c>
      <c r="B56" s="5" t="s">
        <v>315</v>
      </c>
      <c r="C56" s="5" t="s">
        <v>316</v>
      </c>
      <c r="D56" s="5" t="s">
        <v>317</v>
      </c>
      <c r="E56" s="5" t="s">
        <v>318</v>
      </c>
      <c r="F56" s="5" t="s">
        <v>319</v>
      </c>
      <c r="G56" s="5" t="s">
        <v>320</v>
      </c>
      <c r="H56" s="5" t="s">
        <v>321</v>
      </c>
      <c r="I56" s="5" t="s">
        <v>322</v>
      </c>
      <c r="J56" s="5" t="s">
        <v>323</v>
      </c>
      <c r="K56" s="5" t="s">
        <v>324</v>
      </c>
      <c r="L56" s="5" t="s">
        <v>325</v>
      </c>
      <c r="M56" s="5" t="s">
        <v>326</v>
      </c>
      <c r="N56" s="5" t="s">
        <v>1921</v>
      </c>
      <c r="O56" s="5"/>
      <c r="P56" s="5"/>
      <c r="Q56" s="5"/>
      <c r="R56" s="5"/>
      <c r="S56" s="5" t="s">
        <v>1971</v>
      </c>
      <c r="T56" s="5" t="s">
        <v>2065</v>
      </c>
      <c r="U56" s="5" t="s">
        <v>1923</v>
      </c>
      <c r="V56" s="5"/>
      <c r="W56" s="5"/>
      <c r="X56" s="5"/>
      <c r="Y56" s="3" t="s">
        <v>209</v>
      </c>
      <c r="Z56" s="3" t="s">
        <v>209</v>
      </c>
      <c r="AA56" s="33" t="s">
        <v>209</v>
      </c>
      <c r="AB56" s="33" t="s">
        <v>209</v>
      </c>
      <c r="AC56" s="33" t="s">
        <v>209</v>
      </c>
      <c r="AD56" s="33" t="s">
        <v>1923</v>
      </c>
      <c r="AE56" s="33" t="s">
        <v>1923</v>
      </c>
    </row>
    <row r="57" spans="1:31" ht="81">
      <c r="A57" s="5" t="s">
        <v>327</v>
      </c>
      <c r="B57" s="5" t="s">
        <v>315</v>
      </c>
      <c r="C57" s="5" t="s">
        <v>316</v>
      </c>
      <c r="D57" s="5" t="s">
        <v>317</v>
      </c>
      <c r="E57" s="5" t="s">
        <v>328</v>
      </c>
      <c r="F57" s="5" t="s">
        <v>319</v>
      </c>
      <c r="G57" s="5" t="s">
        <v>320</v>
      </c>
      <c r="H57" s="5" t="s">
        <v>86</v>
      </c>
      <c r="I57" s="5" t="s">
        <v>322</v>
      </c>
      <c r="J57" s="5" t="s">
        <v>323</v>
      </c>
      <c r="K57" s="5" t="s">
        <v>329</v>
      </c>
      <c r="L57" s="5" t="s">
        <v>325</v>
      </c>
      <c r="M57" s="5" t="s">
        <v>326</v>
      </c>
      <c r="N57" s="5" t="s">
        <v>1921</v>
      </c>
      <c r="O57" s="5"/>
      <c r="P57" s="5"/>
      <c r="Q57" s="5"/>
      <c r="R57" s="5"/>
      <c r="S57" s="5" t="s">
        <v>1971</v>
      </c>
      <c r="T57" s="5" t="s">
        <v>2065</v>
      </c>
      <c r="U57" s="5" t="s">
        <v>1923</v>
      </c>
      <c r="V57" s="5"/>
      <c r="W57" s="5"/>
      <c r="X57" s="5"/>
      <c r="Y57" s="3" t="s">
        <v>209</v>
      </c>
      <c r="Z57" s="3" t="s">
        <v>209</v>
      </c>
      <c r="AA57" s="33" t="s">
        <v>209</v>
      </c>
      <c r="AB57" s="33" t="s">
        <v>209</v>
      </c>
      <c r="AC57" s="33" t="s">
        <v>209</v>
      </c>
      <c r="AD57" s="33" t="s">
        <v>1923</v>
      </c>
      <c r="AE57" s="33" t="s">
        <v>1923</v>
      </c>
    </row>
    <row r="58" spans="1:31" ht="81">
      <c r="A58" s="5" t="s">
        <v>330</v>
      </c>
      <c r="B58" s="5" t="s">
        <v>315</v>
      </c>
      <c r="C58" s="5" t="s">
        <v>316</v>
      </c>
      <c r="D58" s="5" t="s">
        <v>317</v>
      </c>
      <c r="E58" s="5" t="s">
        <v>331</v>
      </c>
      <c r="F58" s="5" t="s">
        <v>319</v>
      </c>
      <c r="G58" s="5" t="s">
        <v>320</v>
      </c>
      <c r="H58" s="5" t="s">
        <v>78</v>
      </c>
      <c r="I58" s="5" t="s">
        <v>322</v>
      </c>
      <c r="J58" s="5" t="s">
        <v>323</v>
      </c>
      <c r="K58" s="5" t="s">
        <v>332</v>
      </c>
      <c r="L58" s="5" t="s">
        <v>325</v>
      </c>
      <c r="M58" s="5" t="s">
        <v>326</v>
      </c>
      <c r="N58" s="5" t="s">
        <v>1921</v>
      </c>
      <c r="O58" s="5"/>
      <c r="P58" s="5"/>
      <c r="Q58" s="5"/>
      <c r="R58" s="5"/>
      <c r="S58" s="5" t="s">
        <v>1971</v>
      </c>
      <c r="T58" s="5" t="s">
        <v>2065</v>
      </c>
      <c r="U58" s="5" t="s">
        <v>1923</v>
      </c>
      <c r="V58" s="5"/>
      <c r="W58" s="5"/>
      <c r="X58" s="5"/>
      <c r="Y58" s="3" t="s">
        <v>209</v>
      </c>
      <c r="Z58" s="3" t="s">
        <v>209</v>
      </c>
      <c r="AA58" s="33" t="s">
        <v>209</v>
      </c>
      <c r="AB58" s="33" t="s">
        <v>209</v>
      </c>
      <c r="AC58" s="33" t="s">
        <v>209</v>
      </c>
      <c r="AD58" s="33" t="s">
        <v>1923</v>
      </c>
      <c r="AE58" s="33" t="s">
        <v>1923</v>
      </c>
    </row>
    <row r="59" spans="1:31" ht="81">
      <c r="A59" s="5" t="s">
        <v>333</v>
      </c>
      <c r="B59" s="5" t="s">
        <v>315</v>
      </c>
      <c r="C59" s="5" t="s">
        <v>316</v>
      </c>
      <c r="D59" s="5" t="s">
        <v>317</v>
      </c>
      <c r="E59" s="5" t="s">
        <v>334</v>
      </c>
      <c r="F59" s="5" t="s">
        <v>319</v>
      </c>
      <c r="G59" s="5" t="s">
        <v>320</v>
      </c>
      <c r="H59" s="5" t="s">
        <v>78</v>
      </c>
      <c r="I59" s="5" t="s">
        <v>322</v>
      </c>
      <c r="J59" s="5" t="s">
        <v>323</v>
      </c>
      <c r="K59" s="5" t="s">
        <v>335</v>
      </c>
      <c r="L59" s="5" t="s">
        <v>325</v>
      </c>
      <c r="M59" s="5" t="s">
        <v>326</v>
      </c>
      <c r="N59" s="5" t="s">
        <v>1921</v>
      </c>
      <c r="O59" s="5"/>
      <c r="P59" s="5"/>
      <c r="Q59" s="5"/>
      <c r="R59" s="5"/>
      <c r="S59" s="5" t="s">
        <v>1971</v>
      </c>
      <c r="T59" s="5" t="s">
        <v>2065</v>
      </c>
      <c r="U59" s="5" t="s">
        <v>1923</v>
      </c>
      <c r="V59" s="5"/>
      <c r="W59" s="5"/>
      <c r="X59" s="5"/>
      <c r="Y59" s="3" t="s">
        <v>209</v>
      </c>
      <c r="Z59" s="3" t="s">
        <v>209</v>
      </c>
      <c r="AA59" s="33" t="s">
        <v>209</v>
      </c>
      <c r="AB59" s="33" t="s">
        <v>209</v>
      </c>
      <c r="AC59" s="33" t="s">
        <v>209</v>
      </c>
      <c r="AD59" s="33" t="s">
        <v>1923</v>
      </c>
      <c r="AE59" s="33" t="s">
        <v>1923</v>
      </c>
    </row>
    <row r="60" spans="1:31" ht="81">
      <c r="A60" s="5" t="s">
        <v>336</v>
      </c>
      <c r="B60" s="5" t="s">
        <v>315</v>
      </c>
      <c r="C60" s="5" t="s">
        <v>316</v>
      </c>
      <c r="D60" s="5" t="s">
        <v>317</v>
      </c>
      <c r="E60" s="5" t="s">
        <v>337</v>
      </c>
      <c r="F60" s="5" t="s">
        <v>319</v>
      </c>
      <c r="G60" s="5" t="s">
        <v>320</v>
      </c>
      <c r="H60" s="5" t="s">
        <v>95</v>
      </c>
      <c r="I60" s="5" t="s">
        <v>322</v>
      </c>
      <c r="J60" s="5" t="s">
        <v>323</v>
      </c>
      <c r="K60" s="5" t="s">
        <v>338</v>
      </c>
      <c r="L60" s="5" t="s">
        <v>325</v>
      </c>
      <c r="M60" s="5" t="s">
        <v>326</v>
      </c>
      <c r="N60" s="5" t="s">
        <v>1921</v>
      </c>
      <c r="O60" s="5"/>
      <c r="P60" s="5"/>
      <c r="Q60" s="5"/>
      <c r="R60" s="5"/>
      <c r="S60" s="5" t="s">
        <v>1971</v>
      </c>
      <c r="T60" s="5" t="s">
        <v>2065</v>
      </c>
      <c r="U60" s="5" t="s">
        <v>1923</v>
      </c>
      <c r="V60" s="5"/>
      <c r="W60" s="5"/>
      <c r="X60" s="5"/>
      <c r="Y60" s="3" t="s">
        <v>209</v>
      </c>
      <c r="Z60" s="3" t="s">
        <v>209</v>
      </c>
      <c r="AA60" s="33" t="s">
        <v>209</v>
      </c>
      <c r="AB60" s="33" t="s">
        <v>209</v>
      </c>
      <c r="AC60" s="33" t="s">
        <v>209</v>
      </c>
      <c r="AD60" s="33" t="s">
        <v>1923</v>
      </c>
      <c r="AE60" s="33" t="s">
        <v>1923</v>
      </c>
    </row>
    <row r="61" spans="1:31" ht="81">
      <c r="A61" s="5" t="s">
        <v>339</v>
      </c>
      <c r="B61" s="5" t="s">
        <v>315</v>
      </c>
      <c r="C61" s="5" t="s">
        <v>316</v>
      </c>
      <c r="D61" s="5" t="s">
        <v>317</v>
      </c>
      <c r="E61" s="5" t="s">
        <v>340</v>
      </c>
      <c r="F61" s="5" t="s">
        <v>319</v>
      </c>
      <c r="G61" s="5" t="s">
        <v>320</v>
      </c>
      <c r="H61" s="5" t="s">
        <v>321</v>
      </c>
      <c r="I61" s="5" t="s">
        <v>322</v>
      </c>
      <c r="J61" s="5" t="s">
        <v>323</v>
      </c>
      <c r="K61" s="5" t="s">
        <v>341</v>
      </c>
      <c r="L61" s="5" t="s">
        <v>325</v>
      </c>
      <c r="M61" s="5" t="s">
        <v>326</v>
      </c>
      <c r="N61" s="5" t="s">
        <v>1921</v>
      </c>
      <c r="O61" s="5"/>
      <c r="P61" s="5"/>
      <c r="Q61" s="5"/>
      <c r="R61" s="5"/>
      <c r="S61" s="5" t="s">
        <v>1971</v>
      </c>
      <c r="T61" s="5" t="s">
        <v>2065</v>
      </c>
      <c r="U61" s="5" t="s">
        <v>1923</v>
      </c>
      <c r="V61" s="5"/>
      <c r="W61" s="5"/>
      <c r="X61" s="5"/>
      <c r="Y61" s="3" t="s">
        <v>209</v>
      </c>
      <c r="Z61" s="3" t="s">
        <v>209</v>
      </c>
      <c r="AA61" s="33" t="s">
        <v>209</v>
      </c>
      <c r="AB61" s="33" t="s">
        <v>209</v>
      </c>
      <c r="AC61" s="33" t="s">
        <v>209</v>
      </c>
      <c r="AD61" s="33" t="s">
        <v>1923</v>
      </c>
      <c r="AE61" s="33" t="s">
        <v>1923</v>
      </c>
    </row>
    <row r="62" spans="1:31" ht="81" customHeight="1">
      <c r="A62" s="5" t="s">
        <v>1924</v>
      </c>
      <c r="B62" s="5" t="s">
        <v>1925</v>
      </c>
      <c r="C62" s="5" t="s">
        <v>820</v>
      </c>
      <c r="D62" s="5" t="s">
        <v>1926</v>
      </c>
      <c r="E62" s="5" t="s">
        <v>202</v>
      </c>
      <c r="F62" s="5" t="s">
        <v>203</v>
      </c>
      <c r="G62" s="5" t="s">
        <v>204</v>
      </c>
      <c r="H62" s="5" t="s">
        <v>1927</v>
      </c>
      <c r="I62" s="5" t="s">
        <v>322</v>
      </c>
      <c r="J62" s="5" t="s">
        <v>848</v>
      </c>
      <c r="K62" s="5" t="s">
        <v>1928</v>
      </c>
      <c r="L62" s="5" t="s">
        <v>1929</v>
      </c>
      <c r="M62" s="5" t="s">
        <v>1930</v>
      </c>
      <c r="N62" s="5" t="s">
        <v>1931</v>
      </c>
      <c r="O62" s="5" t="s">
        <v>1932</v>
      </c>
      <c r="P62" s="5" t="s">
        <v>209</v>
      </c>
      <c r="Q62" s="5" t="s">
        <v>209</v>
      </c>
      <c r="R62" s="5" t="s">
        <v>1933</v>
      </c>
      <c r="S62" s="5" t="s">
        <v>211</v>
      </c>
      <c r="T62" s="5" t="s">
        <v>44</v>
      </c>
      <c r="U62" s="5" t="s">
        <v>2101</v>
      </c>
      <c r="V62" s="35">
        <v>46215</v>
      </c>
      <c r="W62" s="5" t="s">
        <v>1934</v>
      </c>
      <c r="X62" s="5" t="s">
        <v>1935</v>
      </c>
      <c r="Y62" s="5" t="s">
        <v>44</v>
      </c>
      <c r="Z62" s="5" t="s">
        <v>529</v>
      </c>
      <c r="AA62" s="2" t="s">
        <v>529</v>
      </c>
      <c r="AB62" s="2" t="s">
        <v>209</v>
      </c>
      <c r="AC62" s="2" t="s">
        <v>529</v>
      </c>
      <c r="AD62" s="2" t="s">
        <v>1894</v>
      </c>
      <c r="AE62" s="2" t="s">
        <v>1850</v>
      </c>
    </row>
    <row r="63" spans="1:31" ht="81" customHeight="1">
      <c r="A63" s="5" t="s">
        <v>1936</v>
      </c>
      <c r="B63" s="5" t="s">
        <v>1925</v>
      </c>
      <c r="C63" s="5" t="s">
        <v>243</v>
      </c>
      <c r="D63" s="5" t="s">
        <v>1926</v>
      </c>
      <c r="E63" s="5" t="s">
        <v>238</v>
      </c>
      <c r="F63" s="5" t="s">
        <v>203</v>
      </c>
      <c r="G63" s="5" t="s">
        <v>1059</v>
      </c>
      <c r="H63" s="5" t="s">
        <v>95</v>
      </c>
      <c r="I63" s="5" t="s">
        <v>96</v>
      </c>
      <c r="J63" s="5" t="s">
        <v>65</v>
      </c>
      <c r="K63" s="5" t="s">
        <v>1937</v>
      </c>
      <c r="L63" s="5" t="s">
        <v>1929</v>
      </c>
      <c r="M63" s="5" t="s">
        <v>1930</v>
      </c>
      <c r="N63" s="5" t="s">
        <v>1938</v>
      </c>
      <c r="O63" s="5">
        <v>7045</v>
      </c>
      <c r="P63" s="5" t="s">
        <v>209</v>
      </c>
      <c r="Q63" s="5" t="s">
        <v>96</v>
      </c>
      <c r="R63" s="5" t="s">
        <v>1939</v>
      </c>
      <c r="S63" s="5" t="s">
        <v>211</v>
      </c>
      <c r="T63" s="5" t="s">
        <v>44</v>
      </c>
      <c r="U63" s="5" t="s">
        <v>2101</v>
      </c>
      <c r="V63" s="35">
        <v>46215</v>
      </c>
      <c r="W63" s="5" t="s">
        <v>1940</v>
      </c>
      <c r="X63" s="5" t="s">
        <v>1941</v>
      </c>
      <c r="Y63" s="5" t="s">
        <v>44</v>
      </c>
      <c r="Z63" s="5" t="s">
        <v>529</v>
      </c>
      <c r="AA63" s="2" t="s">
        <v>529</v>
      </c>
      <c r="AB63" s="2" t="s">
        <v>209</v>
      </c>
      <c r="AC63" s="2" t="s">
        <v>529</v>
      </c>
      <c r="AD63" s="2" t="s">
        <v>1894</v>
      </c>
      <c r="AE63" s="2" t="s">
        <v>1850</v>
      </c>
    </row>
    <row r="64" spans="1:31" ht="81" customHeight="1">
      <c r="A64" s="5" t="s">
        <v>1942</v>
      </c>
      <c r="B64" s="5" t="s">
        <v>1925</v>
      </c>
      <c r="C64" s="5" t="s">
        <v>243</v>
      </c>
      <c r="D64" s="5" t="s">
        <v>1926</v>
      </c>
      <c r="E64" s="5" t="s">
        <v>244</v>
      </c>
      <c r="F64" s="5" t="s">
        <v>203</v>
      </c>
      <c r="G64" s="5" t="s">
        <v>1943</v>
      </c>
      <c r="H64" s="5" t="s">
        <v>1927</v>
      </c>
      <c r="I64" s="5" t="s">
        <v>322</v>
      </c>
      <c r="J64" s="5" t="s">
        <v>848</v>
      </c>
      <c r="K64" s="5" t="s">
        <v>1944</v>
      </c>
      <c r="L64" s="5" t="s">
        <v>1945</v>
      </c>
      <c r="M64" s="5" t="s">
        <v>1930</v>
      </c>
      <c r="N64" s="5" t="s">
        <v>1946</v>
      </c>
      <c r="O64" s="5" t="s">
        <v>1947</v>
      </c>
      <c r="P64" s="5" t="s">
        <v>209</v>
      </c>
      <c r="Q64" s="5" t="s">
        <v>209</v>
      </c>
      <c r="R64" s="5" t="s">
        <v>1948</v>
      </c>
      <c r="S64" s="5" t="s">
        <v>211</v>
      </c>
      <c r="T64" s="5" t="s">
        <v>44</v>
      </c>
      <c r="U64" s="5" t="s">
        <v>2101</v>
      </c>
      <c r="V64" s="35">
        <v>46215</v>
      </c>
      <c r="W64" s="5" t="s">
        <v>1949</v>
      </c>
      <c r="X64" s="5" t="s">
        <v>1950</v>
      </c>
      <c r="Y64" s="5" t="s">
        <v>44</v>
      </c>
      <c r="Z64" s="5" t="s">
        <v>529</v>
      </c>
      <c r="AA64" s="2" t="s">
        <v>529</v>
      </c>
      <c r="AB64" s="2" t="s">
        <v>209</v>
      </c>
      <c r="AC64" s="2" t="s">
        <v>529</v>
      </c>
      <c r="AD64" s="2" t="s">
        <v>1951</v>
      </c>
      <c r="AE64" s="2" t="s">
        <v>1850</v>
      </c>
    </row>
    <row r="65" spans="1:31" ht="81" customHeight="1">
      <c r="A65" s="5" t="s">
        <v>1952</v>
      </c>
      <c r="B65" s="5" t="s">
        <v>1925</v>
      </c>
      <c r="C65" s="5" t="s">
        <v>606</v>
      </c>
      <c r="D65" s="5" t="s">
        <v>1926</v>
      </c>
      <c r="E65" s="5" t="s">
        <v>295</v>
      </c>
      <c r="F65" s="5" t="s">
        <v>203</v>
      </c>
      <c r="G65" s="5" t="s">
        <v>1953</v>
      </c>
      <c r="H65" s="5" t="s">
        <v>1927</v>
      </c>
      <c r="I65" s="5" t="s">
        <v>322</v>
      </c>
      <c r="J65" s="5" t="s">
        <v>848</v>
      </c>
      <c r="K65" s="5" t="s">
        <v>1954</v>
      </c>
      <c r="L65" s="5" t="s">
        <v>1955</v>
      </c>
      <c r="M65" s="5" t="s">
        <v>1956</v>
      </c>
      <c r="N65" s="5" t="s">
        <v>1957</v>
      </c>
      <c r="O65" s="5" t="s">
        <v>1958</v>
      </c>
      <c r="P65" s="5" t="s">
        <v>1910</v>
      </c>
      <c r="Q65" s="5" t="s">
        <v>322</v>
      </c>
      <c r="R65" s="5" t="s">
        <v>1959</v>
      </c>
      <c r="S65" s="5" t="s">
        <v>504</v>
      </c>
      <c r="T65" s="5" t="s">
        <v>69</v>
      </c>
      <c r="U65" s="5" t="s">
        <v>2101</v>
      </c>
      <c r="V65" s="35">
        <v>46215</v>
      </c>
      <c r="W65" s="5" t="s">
        <v>1960</v>
      </c>
      <c r="X65" s="5" t="s">
        <v>1961</v>
      </c>
      <c r="Y65" s="5" t="s">
        <v>44</v>
      </c>
      <c r="Z65" s="5" t="s">
        <v>1962</v>
      </c>
      <c r="AA65" s="2" t="s">
        <v>44</v>
      </c>
      <c r="AB65" s="2" t="s">
        <v>714</v>
      </c>
      <c r="AC65" s="2" t="s">
        <v>529</v>
      </c>
      <c r="AD65" s="2" t="s">
        <v>1963</v>
      </c>
      <c r="AE65" s="2" t="s">
        <v>1850</v>
      </c>
    </row>
    <row r="66" spans="1:31" ht="81" customHeight="1">
      <c r="A66" s="5" t="s">
        <v>1964</v>
      </c>
      <c r="B66" s="5" t="s">
        <v>1925</v>
      </c>
      <c r="C66" s="5" t="s">
        <v>606</v>
      </c>
      <c r="D66" s="5" t="s">
        <v>1926</v>
      </c>
      <c r="E66" s="5" t="s">
        <v>422</v>
      </c>
      <c r="F66" s="5" t="s">
        <v>203</v>
      </c>
      <c r="G66" s="5" t="s">
        <v>1965</v>
      </c>
      <c r="H66" s="5" t="s">
        <v>1927</v>
      </c>
      <c r="I66" s="5" t="s">
        <v>322</v>
      </c>
      <c r="J66" s="5" t="s">
        <v>848</v>
      </c>
      <c r="K66" s="5" t="s">
        <v>1966</v>
      </c>
      <c r="L66" s="5" t="s">
        <v>1967</v>
      </c>
      <c r="M66" s="5" t="s">
        <v>1968</v>
      </c>
      <c r="N66" s="5" t="s">
        <v>1969</v>
      </c>
      <c r="O66" s="5" t="s">
        <v>1873</v>
      </c>
      <c r="P66" s="5" t="s">
        <v>209</v>
      </c>
      <c r="Q66" s="5" t="s">
        <v>209</v>
      </c>
      <c r="R66" s="5" t="s">
        <v>1970</v>
      </c>
      <c r="S66" s="5" t="s">
        <v>1971</v>
      </c>
      <c r="T66" s="5" t="s">
        <v>2065</v>
      </c>
      <c r="U66" s="5" t="s">
        <v>1881</v>
      </c>
      <c r="V66" s="35">
        <v>46215</v>
      </c>
      <c r="W66" s="5" t="s">
        <v>1972</v>
      </c>
      <c r="X66" s="5" t="s">
        <v>1973</v>
      </c>
      <c r="Y66" s="5" t="s">
        <v>1874</v>
      </c>
      <c r="Z66" s="5" t="s">
        <v>529</v>
      </c>
      <c r="AA66" s="2" t="s">
        <v>529</v>
      </c>
      <c r="AB66" s="2" t="s">
        <v>209</v>
      </c>
      <c r="AC66" s="2" t="s">
        <v>529</v>
      </c>
      <c r="AD66" s="2" t="s">
        <v>1881</v>
      </c>
      <c r="AE66" s="2" t="s">
        <v>1881</v>
      </c>
    </row>
    <row r="67" spans="1:31" ht="81" customHeight="1">
      <c r="A67" s="5" t="s">
        <v>1974</v>
      </c>
      <c r="B67" s="5" t="s">
        <v>1925</v>
      </c>
      <c r="C67" s="5" t="s">
        <v>243</v>
      </c>
      <c r="D67" s="5" t="s">
        <v>1926</v>
      </c>
      <c r="E67" s="5" t="s">
        <v>431</v>
      </c>
      <c r="F67" s="5" t="s">
        <v>203</v>
      </c>
      <c r="G67" s="5" t="s">
        <v>1975</v>
      </c>
      <c r="H67" s="5" t="s">
        <v>48</v>
      </c>
      <c r="I67" s="5" t="s">
        <v>1976</v>
      </c>
      <c r="J67" s="5" t="s">
        <v>1977</v>
      </c>
      <c r="K67" s="5" t="s">
        <v>1978</v>
      </c>
      <c r="L67" s="5" t="s">
        <v>1979</v>
      </c>
      <c r="M67" s="5" t="s">
        <v>1980</v>
      </c>
      <c r="N67" s="5" t="s">
        <v>1981</v>
      </c>
      <c r="O67" s="5" t="s">
        <v>1982</v>
      </c>
      <c r="P67" s="5" t="s">
        <v>209</v>
      </c>
      <c r="Q67" s="5" t="s">
        <v>1983</v>
      </c>
      <c r="R67" s="5" t="s">
        <v>1984</v>
      </c>
      <c r="S67" s="5" t="s">
        <v>211</v>
      </c>
      <c r="T67" s="5" t="s">
        <v>44</v>
      </c>
      <c r="U67" s="5" t="s">
        <v>2101</v>
      </c>
      <c r="V67" s="35">
        <v>46215</v>
      </c>
      <c r="W67" s="5" t="s">
        <v>1985</v>
      </c>
      <c r="X67" s="5" t="s">
        <v>1986</v>
      </c>
      <c r="Y67" s="5" t="s">
        <v>44</v>
      </c>
      <c r="Z67" s="5" t="s">
        <v>529</v>
      </c>
      <c r="AA67" s="2" t="s">
        <v>529</v>
      </c>
      <c r="AB67" s="2" t="s">
        <v>209</v>
      </c>
      <c r="AC67" s="2" t="s">
        <v>1987</v>
      </c>
      <c r="AD67" s="2" t="s">
        <v>1988</v>
      </c>
      <c r="AE67" s="2" t="s">
        <v>1850</v>
      </c>
    </row>
    <row r="68" spans="1:3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3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3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3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3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3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3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3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3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3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3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3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3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X1"/>
    <mergeCell ref="A2:X2"/>
  </mergeCells>
  <conditionalFormatting sqref="N5:N67">
    <cfRule type="expression" dxfId="35" priority="1">
      <formula>N5="Sí"</formula>
    </cfRule>
    <cfRule type="expression" dxfId="34" priority="2">
      <formula>N5="Parcial"</formula>
    </cfRule>
    <cfRule type="expression" dxfId="33" priority="3">
      <formula>N5="No"</formula>
    </cfRule>
  </conditionalFormatting>
  <conditionalFormatting sqref="T5:T67">
    <cfRule type="expression" dxfId="32" priority="6">
      <formula>T5="Sí"</formula>
    </cfRule>
  </conditionalFormatting>
  <conditionalFormatting sqref="U5:U67">
    <cfRule type="expression" dxfId="31" priority="4">
      <formula>U5="Completado"</formula>
    </cfRule>
    <cfRule type="expression" dxfId="30" priority="5">
      <formula>U5="Pendiente"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400-000000000000}">
          <x14:formula1>
            <xm:f>'99_Listas'!$A$2:$A$6</xm:f>
          </x14:formula1>
          <xm:sqref>N5:N67</xm:sqref>
        </x14:dataValidation>
        <x14:dataValidation type="list" xr:uid="{00000000-0002-0000-0400-000001000000}">
          <x14:formula1>
            <xm:f>'99_Listas'!$B$2:$B$5</xm:f>
          </x14:formula1>
          <xm:sqref>U5:U67</xm:sqref>
        </x14:dataValidation>
        <x14:dataValidation type="list" xr:uid="{00000000-0002-0000-0400-000002000000}">
          <x14:formula1>
            <xm:f>'99_Listas'!$C$2:$C$6</xm:f>
          </x14:formula1>
          <xm:sqref>C5:C67</xm:sqref>
        </x14:dataValidation>
        <x14:dataValidation type="list" xr:uid="{00000000-0002-0000-0400-000003000000}">
          <x14:formula1>
            <xm:f>'99_Listas'!$D$2:$D$5</xm:f>
          </x14:formula1>
          <xm:sqref>D5:D67</xm:sqref>
        </x14:dataValidation>
        <x14:dataValidation type="list" xr:uid="{00000000-0002-0000-0400-000004000000}">
          <x14:formula1>
            <xm:f>'99_Listas'!$E$2:$E$7</xm:f>
          </x14:formula1>
          <xm:sqref>F5:F67</xm:sqref>
        </x14:dataValidation>
        <x14:dataValidation type="list" xr:uid="{00000000-0002-0000-0400-000005000000}">
          <x14:formula1>
            <xm:f>'99_Listas'!$H$2:$H$7</xm:f>
          </x14:formula1>
          <xm:sqref>P5:P67</xm:sqref>
        </x14:dataValidation>
        <x14:dataValidation type="list" xr:uid="{00000000-0002-0000-0400-000006000000}">
          <x14:formula1>
            <xm:f>'99_Listas'!$F$2:$F$6</xm:f>
          </x14:formula1>
          <xm:sqref>S5:S67</xm:sqref>
        </x14:dataValidation>
        <x14:dataValidation type="list" xr:uid="{00000000-0002-0000-0400-000007000000}">
          <x14:formula1>
            <xm:f>'99_Listas'!$G$2:$G$5</xm:f>
          </x14:formula1>
          <xm:sqref>T5:T67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>
      <selection sqref="A1:O1"/>
    </sheetView>
  </sheetViews>
  <sheetFormatPr baseColWidth="10" defaultColWidth="9" defaultRowHeight="14.25"/>
  <cols>
    <col min="1" max="1" width="12" customWidth="1"/>
    <col min="2" max="2" width="18" customWidth="1"/>
    <col min="3" max="3" width="28" customWidth="1"/>
    <col min="4" max="5" width="16" customWidth="1"/>
    <col min="6" max="8" width="18" customWidth="1"/>
    <col min="9" max="10" width="22" customWidth="1"/>
    <col min="11" max="12" width="20" customWidth="1"/>
    <col min="13" max="13" width="18" customWidth="1"/>
    <col min="14" max="14" width="45" customWidth="1"/>
    <col min="15" max="15" width="32" customWidth="1"/>
    <col min="16" max="17" width="18" customWidth="1"/>
    <col min="18" max="18" width="20" customWidth="1"/>
    <col min="19" max="19" width="38" customWidth="1"/>
    <col min="20" max="20" width="36" customWidth="1"/>
  </cols>
  <sheetData>
    <row r="1" spans="1:26" ht="30" customHeight="1">
      <c r="A1" s="46" t="s">
        <v>342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47" t="s">
        <v>343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52</v>
      </c>
      <c r="B4" s="4" t="s">
        <v>136</v>
      </c>
      <c r="C4" s="4" t="s">
        <v>344</v>
      </c>
      <c r="D4" s="4" t="s">
        <v>345</v>
      </c>
      <c r="E4" s="4" t="s">
        <v>346</v>
      </c>
      <c r="F4" s="4" t="s">
        <v>347</v>
      </c>
      <c r="G4" s="4" t="s">
        <v>348</v>
      </c>
      <c r="H4" s="4" t="s">
        <v>349</v>
      </c>
      <c r="I4" s="4" t="s">
        <v>350</v>
      </c>
      <c r="J4" s="4" t="s">
        <v>351</v>
      </c>
      <c r="K4" s="4" t="s">
        <v>352</v>
      </c>
      <c r="L4" s="4" t="s">
        <v>353</v>
      </c>
      <c r="M4" s="4" t="s">
        <v>43</v>
      </c>
      <c r="N4" s="4" t="s">
        <v>354</v>
      </c>
      <c r="O4" s="4" t="s">
        <v>355</v>
      </c>
      <c r="P4" s="10" t="s">
        <v>356</v>
      </c>
      <c r="Q4" s="10" t="s">
        <v>357</v>
      </c>
      <c r="R4" s="10" t="s">
        <v>358</v>
      </c>
      <c r="S4" s="10" t="s">
        <v>359</v>
      </c>
      <c r="T4" s="10" t="s">
        <v>360</v>
      </c>
      <c r="U4" s="3"/>
      <c r="V4" s="3"/>
      <c r="W4" s="3"/>
      <c r="X4" s="3"/>
      <c r="Y4" s="3"/>
      <c r="Z4" s="3"/>
    </row>
    <row r="5" spans="1:26" ht="27">
      <c r="A5" s="5" t="s">
        <v>62</v>
      </c>
      <c r="B5" s="5" t="s">
        <v>63</v>
      </c>
      <c r="C5" s="5" t="s">
        <v>64</v>
      </c>
      <c r="D5" s="5" t="s">
        <v>1989</v>
      </c>
      <c r="E5" s="5" t="s">
        <v>209</v>
      </c>
      <c r="F5" s="5" t="s">
        <v>1990</v>
      </c>
      <c r="G5" s="5" t="s">
        <v>2488</v>
      </c>
      <c r="H5" s="5" t="s">
        <v>2489</v>
      </c>
      <c r="I5" s="5" t="s">
        <v>1991</v>
      </c>
      <c r="J5" s="5" t="s">
        <v>2489</v>
      </c>
      <c r="K5" s="5" t="s">
        <v>209</v>
      </c>
      <c r="L5" s="5" t="s">
        <v>1992</v>
      </c>
      <c r="M5" s="5" t="s">
        <v>69</v>
      </c>
      <c r="N5" s="5" t="s">
        <v>1993</v>
      </c>
      <c r="O5" s="5" t="s">
        <v>1994</v>
      </c>
      <c r="P5" s="5" t="s">
        <v>44</v>
      </c>
      <c r="Q5" s="5" t="s">
        <v>1913</v>
      </c>
      <c r="R5" s="5" t="s">
        <v>1913</v>
      </c>
      <c r="S5" s="5" t="s">
        <v>295</v>
      </c>
      <c r="T5" s="5" t="s">
        <v>1995</v>
      </c>
      <c r="U5" s="3"/>
      <c r="V5" s="3"/>
      <c r="W5" s="3"/>
      <c r="X5" s="3"/>
      <c r="Y5" s="3"/>
      <c r="Z5" s="3"/>
    </row>
    <row r="6" spans="1:26" ht="27">
      <c r="A6" s="5" t="s">
        <v>71</v>
      </c>
      <c r="B6" s="5" t="s">
        <v>72</v>
      </c>
      <c r="C6" s="5" t="s">
        <v>73</v>
      </c>
      <c r="D6" s="5" t="s">
        <v>1989</v>
      </c>
      <c r="E6" s="5" t="s">
        <v>209</v>
      </c>
      <c r="F6" s="5" t="s">
        <v>1990</v>
      </c>
      <c r="G6" s="5" t="s">
        <v>2488</v>
      </c>
      <c r="H6" s="5" t="s">
        <v>2489</v>
      </c>
      <c r="I6" s="5" t="s">
        <v>1996</v>
      </c>
      <c r="J6" s="5" t="s">
        <v>2489</v>
      </c>
      <c r="K6" s="5" t="s">
        <v>209</v>
      </c>
      <c r="L6" s="5" t="s">
        <v>1997</v>
      </c>
      <c r="M6" s="5" t="s">
        <v>69</v>
      </c>
      <c r="N6" s="5" t="s">
        <v>1998</v>
      </c>
      <c r="O6" s="5" t="s">
        <v>1994</v>
      </c>
      <c r="P6" s="5" t="s">
        <v>44</v>
      </c>
      <c r="Q6" s="5" t="s">
        <v>1917</v>
      </c>
      <c r="R6" s="5" t="s">
        <v>1917</v>
      </c>
      <c r="S6" s="5" t="s">
        <v>209</v>
      </c>
      <c r="T6" s="5" t="s">
        <v>1995</v>
      </c>
      <c r="U6" s="3"/>
      <c r="V6" s="3"/>
      <c r="W6" s="3"/>
      <c r="X6" s="3"/>
      <c r="Y6" s="3"/>
      <c r="Z6" s="3"/>
    </row>
    <row r="7" spans="1:26" ht="27">
      <c r="A7" s="5" t="s">
        <v>78</v>
      </c>
      <c r="B7" s="5" t="s">
        <v>79</v>
      </c>
      <c r="C7" s="5" t="s">
        <v>80</v>
      </c>
      <c r="D7" s="5" t="s">
        <v>1989</v>
      </c>
      <c r="E7" s="5" t="s">
        <v>209</v>
      </c>
      <c r="F7" s="5" t="s">
        <v>1990</v>
      </c>
      <c r="G7" s="5" t="s">
        <v>2488</v>
      </c>
      <c r="H7" s="5" t="s">
        <v>2489</v>
      </c>
      <c r="I7" s="5" t="s">
        <v>1999</v>
      </c>
      <c r="J7" s="5" t="s">
        <v>2489</v>
      </c>
      <c r="K7" s="5" t="s">
        <v>2490</v>
      </c>
      <c r="L7" s="5" t="s">
        <v>1992</v>
      </c>
      <c r="M7" s="5" t="s">
        <v>69</v>
      </c>
      <c r="N7" s="5" t="s">
        <v>80</v>
      </c>
      <c r="O7" s="5" t="s">
        <v>1994</v>
      </c>
      <c r="P7" s="5" t="s">
        <v>44</v>
      </c>
      <c r="Q7" s="5" t="s">
        <v>1913</v>
      </c>
      <c r="R7" s="5" t="s">
        <v>1913</v>
      </c>
      <c r="S7" s="5" t="s">
        <v>295</v>
      </c>
      <c r="T7" s="5" t="s">
        <v>1995</v>
      </c>
      <c r="U7" s="3"/>
      <c r="V7" s="3"/>
      <c r="W7" s="3"/>
      <c r="X7" s="3"/>
      <c r="Y7" s="3"/>
      <c r="Z7" s="3"/>
    </row>
    <row r="8" spans="1:26" ht="27">
      <c r="A8" s="5" t="s">
        <v>86</v>
      </c>
      <c r="B8" s="5" t="s">
        <v>87</v>
      </c>
      <c r="C8" s="5" t="s">
        <v>88</v>
      </c>
      <c r="D8" s="5" t="s">
        <v>1989</v>
      </c>
      <c r="E8" s="5" t="s">
        <v>209</v>
      </c>
      <c r="F8" s="5" t="s">
        <v>2000</v>
      </c>
      <c r="G8" s="5" t="s">
        <v>2488</v>
      </c>
      <c r="H8" s="5" t="s">
        <v>2489</v>
      </c>
      <c r="I8" s="5" t="s">
        <v>1996</v>
      </c>
      <c r="J8" s="5" t="s">
        <v>2489</v>
      </c>
      <c r="K8" s="5" t="s">
        <v>2490</v>
      </c>
      <c r="L8" s="5" t="s">
        <v>1997</v>
      </c>
      <c r="M8" s="5" t="s">
        <v>44</v>
      </c>
      <c r="N8" s="5" t="s">
        <v>2001</v>
      </c>
      <c r="O8" s="5" t="s">
        <v>1994</v>
      </c>
      <c r="P8" s="5" t="s">
        <v>44</v>
      </c>
      <c r="Q8" s="5" t="s">
        <v>1917</v>
      </c>
      <c r="R8" s="5" t="s">
        <v>1917</v>
      </c>
      <c r="S8" s="5" t="s">
        <v>209</v>
      </c>
      <c r="T8" s="5" t="s">
        <v>1995</v>
      </c>
      <c r="U8" s="3"/>
      <c r="V8" s="3"/>
      <c r="W8" s="3"/>
      <c r="X8" s="3"/>
      <c r="Y8" s="3"/>
      <c r="Z8" s="3"/>
    </row>
    <row r="9" spans="1:26" ht="27">
      <c r="A9" s="5" t="s">
        <v>95</v>
      </c>
      <c r="B9" s="5" t="s">
        <v>96</v>
      </c>
      <c r="C9" s="5" t="s">
        <v>97</v>
      </c>
      <c r="D9" s="5" t="s">
        <v>1989</v>
      </c>
      <c r="E9" s="5" t="s">
        <v>1852</v>
      </c>
      <c r="F9" s="5" t="s">
        <v>2002</v>
      </c>
      <c r="G9" s="5" t="s">
        <v>2488</v>
      </c>
      <c r="H9" s="5" t="s">
        <v>2489</v>
      </c>
      <c r="I9" s="5" t="s">
        <v>2003</v>
      </c>
      <c r="J9" s="5" t="s">
        <v>2489</v>
      </c>
      <c r="K9" s="5" t="s">
        <v>2490</v>
      </c>
      <c r="L9" s="5" t="s">
        <v>1992</v>
      </c>
      <c r="M9" s="5" t="s">
        <v>69</v>
      </c>
      <c r="N9" s="5" t="s">
        <v>2004</v>
      </c>
      <c r="O9" s="5" t="s">
        <v>1994</v>
      </c>
      <c r="P9" s="5" t="s">
        <v>44</v>
      </c>
      <c r="Q9" s="5" t="s">
        <v>1913</v>
      </c>
      <c r="R9" s="5" t="s">
        <v>1913</v>
      </c>
      <c r="S9" s="5" t="s">
        <v>295</v>
      </c>
      <c r="T9" s="5" t="s">
        <v>1995</v>
      </c>
      <c r="U9" s="3"/>
      <c r="V9" s="3"/>
      <c r="W9" s="3"/>
      <c r="X9" s="3"/>
      <c r="Y9" s="3"/>
      <c r="Z9" s="3"/>
    </row>
    <row r="10" spans="1:26" ht="27">
      <c r="A10" s="5" t="s">
        <v>102</v>
      </c>
      <c r="B10" s="5" t="s">
        <v>103</v>
      </c>
      <c r="C10" s="5" t="s">
        <v>104</v>
      </c>
      <c r="D10" s="5" t="s">
        <v>1989</v>
      </c>
      <c r="E10" s="5" t="s">
        <v>209</v>
      </c>
      <c r="F10" s="5" t="s">
        <v>1990</v>
      </c>
      <c r="G10" s="5" t="s">
        <v>2488</v>
      </c>
      <c r="H10" s="5" t="s">
        <v>2489</v>
      </c>
      <c r="I10" s="5" t="s">
        <v>1996</v>
      </c>
      <c r="J10" s="5" t="s">
        <v>2489</v>
      </c>
      <c r="K10" s="5" t="s">
        <v>209</v>
      </c>
      <c r="L10" s="5" t="s">
        <v>1997</v>
      </c>
      <c r="M10" s="5" t="s">
        <v>44</v>
      </c>
      <c r="N10" s="5" t="s">
        <v>2005</v>
      </c>
      <c r="O10" s="5" t="s">
        <v>1994</v>
      </c>
      <c r="P10" s="5" t="s">
        <v>44</v>
      </c>
      <c r="Q10" s="5" t="s">
        <v>1917</v>
      </c>
      <c r="R10" s="5" t="s">
        <v>1917</v>
      </c>
      <c r="S10" s="5" t="s">
        <v>209</v>
      </c>
      <c r="T10" s="5" t="s">
        <v>1995</v>
      </c>
      <c r="U10" s="3"/>
      <c r="V10" s="3"/>
      <c r="W10" s="3"/>
      <c r="X10" s="3"/>
      <c r="Y10" s="3"/>
      <c r="Z10" s="3"/>
    </row>
    <row r="11" spans="1:26" ht="27">
      <c r="A11" s="5" t="s">
        <v>109</v>
      </c>
      <c r="B11" s="5" t="s">
        <v>110</v>
      </c>
      <c r="C11" s="5" t="s">
        <v>111</v>
      </c>
      <c r="D11" s="5" t="s">
        <v>1989</v>
      </c>
      <c r="E11" s="5" t="s">
        <v>209</v>
      </c>
      <c r="F11" s="5" t="s">
        <v>2006</v>
      </c>
      <c r="G11" s="5" t="s">
        <v>2488</v>
      </c>
      <c r="H11" s="5" t="s">
        <v>2489</v>
      </c>
      <c r="I11" s="5" t="s">
        <v>1996</v>
      </c>
      <c r="J11" s="5" t="s">
        <v>2489</v>
      </c>
      <c r="K11" s="5" t="s">
        <v>209</v>
      </c>
      <c r="L11" s="5" t="s">
        <v>2007</v>
      </c>
      <c r="M11" s="5" t="s">
        <v>44</v>
      </c>
      <c r="N11" s="5" t="s">
        <v>2008</v>
      </c>
      <c r="O11" s="5" t="s">
        <v>1994</v>
      </c>
      <c r="P11" s="5" t="s">
        <v>44</v>
      </c>
      <c r="Q11" s="5" t="s">
        <v>1917</v>
      </c>
      <c r="R11" s="5" t="s">
        <v>1917</v>
      </c>
      <c r="S11" s="5" t="s">
        <v>209</v>
      </c>
      <c r="T11" s="5" t="s">
        <v>1995</v>
      </c>
      <c r="U11" s="3"/>
      <c r="V11" s="3"/>
      <c r="W11" s="3"/>
      <c r="X11" s="3"/>
      <c r="Y11" s="3"/>
      <c r="Z11" s="3"/>
    </row>
    <row r="12" spans="1:26" ht="27">
      <c r="A12" s="5" t="s">
        <v>117</v>
      </c>
      <c r="B12" s="5" t="s">
        <v>118</v>
      </c>
      <c r="C12" s="5" t="s">
        <v>119</v>
      </c>
      <c r="D12" s="5" t="s">
        <v>1989</v>
      </c>
      <c r="E12" s="5" t="s">
        <v>209</v>
      </c>
      <c r="F12" s="5" t="s">
        <v>2009</v>
      </c>
      <c r="G12" s="5" t="s">
        <v>2488</v>
      </c>
      <c r="H12" s="5" t="s">
        <v>2489</v>
      </c>
      <c r="I12" s="5" t="s">
        <v>1996</v>
      </c>
      <c r="J12" s="5" t="s">
        <v>2489</v>
      </c>
      <c r="K12" s="5" t="s">
        <v>209</v>
      </c>
      <c r="L12" s="5" t="s">
        <v>2007</v>
      </c>
      <c r="M12" s="5" t="s">
        <v>44</v>
      </c>
      <c r="N12" s="5" t="s">
        <v>2010</v>
      </c>
      <c r="O12" s="5" t="s">
        <v>1994</v>
      </c>
      <c r="P12" s="5" t="s">
        <v>44</v>
      </c>
      <c r="Q12" s="5" t="s">
        <v>1917</v>
      </c>
      <c r="R12" s="5" t="s">
        <v>1917</v>
      </c>
      <c r="S12" s="5" t="s">
        <v>209</v>
      </c>
      <c r="T12" s="5" t="s">
        <v>1995</v>
      </c>
      <c r="U12" s="3"/>
      <c r="V12" s="3"/>
      <c r="W12" s="3"/>
      <c r="X12" s="3"/>
      <c r="Y12" s="3"/>
      <c r="Z12" s="3"/>
    </row>
    <row r="13" spans="1:26" ht="27">
      <c r="A13" s="5" t="s">
        <v>48</v>
      </c>
      <c r="B13" s="5" t="s">
        <v>124</v>
      </c>
      <c r="C13" s="5" t="s">
        <v>365</v>
      </c>
      <c r="D13" s="5" t="s">
        <v>1989</v>
      </c>
      <c r="E13" s="5" t="s">
        <v>209</v>
      </c>
      <c r="F13" s="5" t="s">
        <v>2011</v>
      </c>
      <c r="G13" s="5" t="s">
        <v>2488</v>
      </c>
      <c r="H13" s="5" t="s">
        <v>2489</v>
      </c>
      <c r="I13" s="5" t="s">
        <v>1996</v>
      </c>
      <c r="J13" s="5" t="s">
        <v>2489</v>
      </c>
      <c r="K13" s="5" t="s">
        <v>2012</v>
      </c>
      <c r="L13" s="5" t="s">
        <v>2013</v>
      </c>
      <c r="M13" s="5" t="s">
        <v>44</v>
      </c>
      <c r="N13" s="5" t="s">
        <v>2014</v>
      </c>
      <c r="O13" s="5" t="s">
        <v>1994</v>
      </c>
      <c r="P13" s="5" t="s">
        <v>44</v>
      </c>
      <c r="Q13" s="5" t="s">
        <v>1917</v>
      </c>
      <c r="R13" s="5" t="s">
        <v>1917</v>
      </c>
      <c r="S13" s="5" t="s">
        <v>209</v>
      </c>
      <c r="T13" s="5" t="s">
        <v>1995</v>
      </c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O1"/>
    <mergeCell ref="A2:O2"/>
  </mergeCells>
  <conditionalFormatting sqref="D5:D13">
    <cfRule type="expression" dxfId="29" priority="1">
      <formula>D5="Sí"</formula>
    </cfRule>
    <cfRule type="expression" dxfId="28" priority="2">
      <formula>D5="Parcial"</formula>
    </cfRule>
    <cfRule type="expression" dxfId="27" priority="3">
      <formula>D5="No"</formula>
    </cfRule>
  </conditionalFormatting>
  <conditionalFormatting sqref="E5:E13">
    <cfRule type="expression" dxfId="26" priority="4">
      <formula>E5="Sí"</formula>
    </cfRule>
    <cfRule type="expression" dxfId="25" priority="5">
      <formula>E5="Parcial"</formula>
    </cfRule>
    <cfRule type="expression" dxfId="24" priority="6">
      <formula>E5="No"</formula>
    </cfRule>
  </conditionalFormatting>
  <conditionalFormatting sqref="F5:F13">
    <cfRule type="expression" dxfId="23" priority="7">
      <formula>F5="Sí"</formula>
    </cfRule>
    <cfRule type="expression" dxfId="22" priority="8">
      <formula>F5="Parcial"</formula>
    </cfRule>
    <cfRule type="expression" dxfId="21" priority="9">
      <formula>F5="No"</formula>
    </cfRule>
  </conditionalFormatting>
  <conditionalFormatting sqref="G5:G13">
    <cfRule type="expression" dxfId="20" priority="10">
      <formula>G5="Sí"</formula>
    </cfRule>
    <cfRule type="expression" dxfId="19" priority="11">
      <formula>G5="Parcial"</formula>
    </cfRule>
    <cfRule type="expression" dxfId="18" priority="12">
      <formula>G5="No"</formula>
    </cfRule>
  </conditionalFormatting>
  <conditionalFormatting sqref="H5:H13">
    <cfRule type="expression" dxfId="17" priority="13">
      <formula>H5="Sí"</formula>
    </cfRule>
    <cfRule type="expression" dxfId="16" priority="14">
      <formula>H5="Parcial"</formula>
    </cfRule>
    <cfRule type="expression" dxfId="15" priority="15">
      <formula>H5="No"</formula>
    </cfRule>
  </conditionalFormatting>
  <conditionalFormatting sqref="I5:I13">
    <cfRule type="expression" dxfId="14" priority="16">
      <formula>I5="Sí"</formula>
    </cfRule>
    <cfRule type="expression" dxfId="13" priority="17">
      <formula>I5="Parcial"</formula>
    </cfRule>
    <cfRule type="expression" dxfId="12" priority="18">
      <formula>I5="No"</formula>
    </cfRule>
  </conditionalFormatting>
  <conditionalFormatting sqref="J5:J13">
    <cfRule type="expression" dxfId="11" priority="19">
      <formula>J5="Sí"</formula>
    </cfRule>
    <cfRule type="expression" dxfId="10" priority="20">
      <formula>J5="Parcial"</formula>
    </cfRule>
    <cfRule type="expression" dxfId="9" priority="21">
      <formula>J5="No"</formula>
    </cfRule>
  </conditionalFormatting>
  <conditionalFormatting sqref="K5:K13">
    <cfRule type="expression" dxfId="8" priority="22">
      <formula>K5="Sí"</formula>
    </cfRule>
    <cfRule type="expression" dxfId="7" priority="23">
      <formula>K5="Parcial"</formula>
    </cfRule>
    <cfRule type="expression" dxfId="6" priority="24">
      <formula>K5="No"</formula>
    </cfRule>
  </conditionalFormatting>
  <conditionalFormatting sqref="L5:L13">
    <cfRule type="expression" dxfId="5" priority="25">
      <formula>L5="Sí"</formula>
    </cfRule>
    <cfRule type="expression" dxfId="4" priority="26">
      <formula>L5="Parcial"</formula>
    </cfRule>
    <cfRule type="expression" dxfId="3" priority="27">
      <formula>L5="No"</formula>
    </cfRule>
  </conditionalFormatting>
  <conditionalFormatting sqref="M5:M13">
    <cfRule type="expression" dxfId="2" priority="28">
      <formula>M5="Sí"</formula>
    </cfRule>
    <cfRule type="expression" dxfId="1" priority="29">
      <formula>M5="Parcial"</formula>
    </cfRule>
    <cfRule type="expression" dxfId="0" priority="30">
      <formula>M5="No"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'99_Listas'!$A$2:$A$6</xm:f>
          </x14:formula1>
          <xm:sqref>D5:M13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>
      <selection sqref="A1:L1"/>
    </sheetView>
  </sheetViews>
  <sheetFormatPr baseColWidth="10" defaultColWidth="9" defaultRowHeight="14.25"/>
  <cols>
    <col min="1" max="1" width="38" customWidth="1"/>
    <col min="2" max="2" width="24" customWidth="1"/>
    <col min="3" max="3" width="88" customWidth="1"/>
  </cols>
  <sheetData>
    <row r="1" spans="1:26" ht="30" customHeight="1">
      <c r="A1" s="42" t="s">
        <v>366</v>
      </c>
      <c r="B1" s="43"/>
      <c r="C1" s="43"/>
      <c r="D1" s="44"/>
      <c r="E1" s="44"/>
      <c r="F1" s="44"/>
      <c r="G1" s="44"/>
      <c r="H1" s="44"/>
      <c r="I1" s="44"/>
      <c r="J1" s="44"/>
      <c r="K1" s="44"/>
      <c r="L1" s="44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45" t="s">
        <v>367</v>
      </c>
      <c r="B2" s="45"/>
      <c r="C2" s="45"/>
      <c r="D2" s="44"/>
      <c r="E2" s="44"/>
      <c r="F2" s="44"/>
      <c r="G2" s="44"/>
      <c r="H2" s="44"/>
      <c r="I2" s="44"/>
      <c r="J2" s="44"/>
      <c r="K2" s="44"/>
      <c r="L2" s="4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1" t="s">
        <v>368</v>
      </c>
      <c r="B4" s="11" t="s">
        <v>32</v>
      </c>
      <c r="C4" s="11" t="s">
        <v>369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35</v>
      </c>
      <c r="B5" s="5">
        <v>6</v>
      </c>
      <c r="C5" s="5" t="s">
        <v>36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38</v>
      </c>
      <c r="B6" s="5">
        <v>1</v>
      </c>
      <c r="C6" s="5" t="s">
        <v>370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371</v>
      </c>
      <c r="B7" s="5">
        <v>2</v>
      </c>
      <c r="C7" s="5" t="s">
        <v>372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>
      <c r="A8" s="5" t="s">
        <v>40</v>
      </c>
      <c r="B8" s="5">
        <v>1</v>
      </c>
      <c r="C8" s="5" t="s">
        <v>2024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373</v>
      </c>
      <c r="B9" s="5">
        <v>3</v>
      </c>
      <c r="C9" s="5" t="s">
        <v>2025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374</v>
      </c>
      <c r="B10" s="5" t="s">
        <v>1881</v>
      </c>
      <c r="C10" s="5" t="s">
        <v>2026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43</v>
      </c>
      <c r="B11" s="5" t="s">
        <v>44</v>
      </c>
      <c r="C11" s="5" t="s">
        <v>375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5" t="s">
        <v>376</v>
      </c>
      <c r="B12" s="6" t="s">
        <v>49</v>
      </c>
      <c r="C12" s="5" t="s">
        <v>377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" t="s">
        <v>378</v>
      </c>
      <c r="B13" s="6">
        <v>9</v>
      </c>
      <c r="C13" s="5" t="s">
        <v>379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2" t="s">
        <v>45</v>
      </c>
      <c r="B14" s="13">
        <f>5/14</f>
        <v>0.35714285714285715</v>
      </c>
      <c r="C14" s="12" t="s">
        <v>380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2" t="s">
        <v>46</v>
      </c>
      <c r="B15" s="13">
        <f>6/14</f>
        <v>0.42857142857142855</v>
      </c>
      <c r="C15" s="12" t="s">
        <v>381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2" t="s">
        <v>47</v>
      </c>
      <c r="B16" s="13">
        <f>7/14</f>
        <v>0.5</v>
      </c>
      <c r="C16" s="12" t="s">
        <v>382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">
      <c r="A17" s="14" t="s">
        <v>48</v>
      </c>
      <c r="B17" s="15" t="s">
        <v>2027</v>
      </c>
      <c r="C17" s="14" t="s">
        <v>2028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" t="s">
        <v>383</v>
      </c>
      <c r="B18" s="6" t="s">
        <v>384</v>
      </c>
      <c r="C18" s="5" t="s">
        <v>385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5"/>
      <c r="B19" s="5"/>
      <c r="C19" s="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0" t="s">
        <v>386</v>
      </c>
      <c r="B20" s="10" t="s">
        <v>2029</v>
      </c>
      <c r="C20" s="10" t="s">
        <v>2030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5" t="s">
        <v>387</v>
      </c>
      <c r="B21" s="5" t="s">
        <v>388</v>
      </c>
      <c r="C21" s="5" t="s">
        <v>389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5" t="s">
        <v>390</v>
      </c>
      <c r="B22" s="5" t="s">
        <v>391</v>
      </c>
      <c r="C22" s="5" t="s">
        <v>392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5"/>
      <c r="B23" s="5"/>
      <c r="C23" s="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5"/>
      <c r="B24" s="5"/>
      <c r="C24" s="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5"/>
      <c r="B25" s="5"/>
      <c r="C25" s="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5"/>
      <c r="B26" s="5"/>
      <c r="C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/>
  </sheetViews>
  <sheetFormatPr baseColWidth="10" defaultColWidth="9" defaultRowHeight="14.25"/>
  <cols>
    <col min="1" max="1" width="34" customWidth="1"/>
    <col min="2" max="2" width="22" customWidth="1"/>
    <col min="3" max="3" width="24" customWidth="1"/>
    <col min="4" max="6" width="18" customWidth="1"/>
    <col min="7" max="7" width="38" customWidth="1"/>
    <col min="8" max="8" width="42" customWidth="1"/>
    <col min="9" max="9" width="30" customWidth="1"/>
    <col min="10" max="10" width="20" customWidth="1"/>
    <col min="11" max="11" width="58" customWidth="1"/>
  </cols>
  <sheetData>
    <row r="1" spans="1:26" ht="33.6" customHeight="1">
      <c r="A1" s="42" t="s">
        <v>393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" customHeight="1">
      <c r="A2" s="45" t="s">
        <v>394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1" t="s">
        <v>395</v>
      </c>
      <c r="B4" s="11" t="s">
        <v>396</v>
      </c>
      <c r="C4" s="11" t="s">
        <v>397</v>
      </c>
      <c r="D4" s="11" t="s">
        <v>176</v>
      </c>
      <c r="E4" s="11" t="s">
        <v>398</v>
      </c>
      <c r="F4" s="11" t="s">
        <v>177</v>
      </c>
      <c r="G4" s="11" t="s">
        <v>399</v>
      </c>
      <c r="H4" s="11" t="s">
        <v>400</v>
      </c>
      <c r="I4" s="11" t="s">
        <v>401</v>
      </c>
      <c r="J4" s="11" t="s">
        <v>355</v>
      </c>
      <c r="K4" s="11" t="s">
        <v>61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5" t="s">
        <v>202</v>
      </c>
      <c r="B5" s="5" t="s">
        <v>402</v>
      </c>
      <c r="C5" s="5" t="s">
        <v>403</v>
      </c>
      <c r="D5" s="5" t="s">
        <v>200</v>
      </c>
      <c r="E5" s="5" t="s">
        <v>211</v>
      </c>
      <c r="F5" s="5" t="s">
        <v>201</v>
      </c>
      <c r="G5" s="5" t="s">
        <v>404</v>
      </c>
      <c r="H5" s="5" t="s">
        <v>405</v>
      </c>
      <c r="I5" s="5" t="s">
        <v>406</v>
      </c>
      <c r="J5" s="5" t="s">
        <v>407</v>
      </c>
      <c r="K5" s="5" t="s">
        <v>408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238</v>
      </c>
      <c r="B6" s="5" t="s">
        <v>402</v>
      </c>
      <c r="C6" s="5" t="s">
        <v>403</v>
      </c>
      <c r="D6" s="5" t="s">
        <v>200</v>
      </c>
      <c r="E6" s="5" t="s">
        <v>211</v>
      </c>
      <c r="F6" s="5" t="s">
        <v>201</v>
      </c>
      <c r="G6" s="5" t="s">
        <v>95</v>
      </c>
      <c r="H6" s="5" t="s">
        <v>409</v>
      </c>
      <c r="I6" s="5" t="s">
        <v>406</v>
      </c>
      <c r="J6" s="5" t="s">
        <v>407</v>
      </c>
      <c r="K6" s="5" t="s">
        <v>410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244</v>
      </c>
      <c r="B7" s="5" t="s">
        <v>402</v>
      </c>
      <c r="C7" s="5" t="s">
        <v>403</v>
      </c>
      <c r="D7" s="5" t="s">
        <v>411</v>
      </c>
      <c r="E7" s="5" t="s">
        <v>412</v>
      </c>
      <c r="F7" s="5" t="s">
        <v>201</v>
      </c>
      <c r="G7" s="5" t="s">
        <v>413</v>
      </c>
      <c r="H7" s="5" t="s">
        <v>414</v>
      </c>
      <c r="I7" s="5" t="s">
        <v>406</v>
      </c>
      <c r="J7" s="5" t="s">
        <v>407</v>
      </c>
      <c r="K7" s="5" t="s">
        <v>415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>
      <c r="A8" s="5" t="s">
        <v>295</v>
      </c>
      <c r="B8" s="5" t="s">
        <v>416</v>
      </c>
      <c r="C8" s="5" t="s">
        <v>403</v>
      </c>
      <c r="D8" s="5" t="s">
        <v>259</v>
      </c>
      <c r="E8" s="5" t="s">
        <v>417</v>
      </c>
      <c r="F8" s="5" t="s">
        <v>201</v>
      </c>
      <c r="G8" s="5" t="s">
        <v>418</v>
      </c>
      <c r="H8" s="5" t="s">
        <v>419</v>
      </c>
      <c r="I8" s="5" t="s">
        <v>420</v>
      </c>
      <c r="J8" s="5" t="s">
        <v>407</v>
      </c>
      <c r="K8" s="5" t="s">
        <v>421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5" t="s">
        <v>422</v>
      </c>
      <c r="B9" s="5" t="s">
        <v>423</v>
      </c>
      <c r="C9" s="5" t="s">
        <v>403</v>
      </c>
      <c r="D9" s="5" t="s">
        <v>424</v>
      </c>
      <c r="E9" s="5" t="s">
        <v>425</v>
      </c>
      <c r="F9" s="5" t="s">
        <v>426</v>
      </c>
      <c r="G9" s="5" t="s">
        <v>427</v>
      </c>
      <c r="H9" s="5" t="s">
        <v>428</v>
      </c>
      <c r="I9" s="5" t="s">
        <v>420</v>
      </c>
      <c r="J9" s="5" t="s">
        <v>429</v>
      </c>
      <c r="K9" s="5" t="s">
        <v>430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>
      <c r="A10" s="5" t="s">
        <v>431</v>
      </c>
      <c r="B10" s="5" t="s">
        <v>432</v>
      </c>
      <c r="C10" s="5" t="s">
        <v>403</v>
      </c>
      <c r="D10" s="5" t="s">
        <v>433</v>
      </c>
      <c r="E10" s="5" t="s">
        <v>417</v>
      </c>
      <c r="F10" s="5" t="s">
        <v>434</v>
      </c>
      <c r="G10" s="5" t="s">
        <v>435</v>
      </c>
      <c r="H10" s="5" t="s">
        <v>436</v>
      </c>
      <c r="I10" s="5" t="s">
        <v>437</v>
      </c>
      <c r="J10" s="5" t="s">
        <v>438</v>
      </c>
      <c r="K10" s="5" t="s">
        <v>439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5" t="s">
        <v>260</v>
      </c>
      <c r="B11" s="5" t="s">
        <v>416</v>
      </c>
      <c r="C11" s="5" t="s">
        <v>261</v>
      </c>
      <c r="D11" s="5" t="s">
        <v>259</v>
      </c>
      <c r="E11" s="5" t="s">
        <v>417</v>
      </c>
      <c r="F11" s="5" t="s">
        <v>440</v>
      </c>
      <c r="G11" s="5" t="s">
        <v>441</v>
      </c>
      <c r="H11" s="5" t="s">
        <v>442</v>
      </c>
      <c r="I11" s="5" t="s">
        <v>420</v>
      </c>
      <c r="J11" s="5" t="s">
        <v>443</v>
      </c>
      <c r="K11" s="5" t="s">
        <v>444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5" t="s">
        <v>445</v>
      </c>
      <c r="B12" s="5" t="s">
        <v>446</v>
      </c>
      <c r="C12" s="5" t="s">
        <v>447</v>
      </c>
      <c r="D12" s="5" t="s">
        <v>448</v>
      </c>
      <c r="E12" s="5" t="s">
        <v>211</v>
      </c>
      <c r="F12" s="5" t="s">
        <v>440</v>
      </c>
      <c r="G12" s="5" t="s">
        <v>435</v>
      </c>
      <c r="H12" s="5" t="s">
        <v>449</v>
      </c>
      <c r="I12" s="5" t="s">
        <v>450</v>
      </c>
      <c r="J12" s="5" t="s">
        <v>451</v>
      </c>
      <c r="K12" s="5" t="s">
        <v>452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5" t="s">
        <v>453</v>
      </c>
      <c r="B13" s="5" t="s">
        <v>454</v>
      </c>
      <c r="C13" s="5" t="s">
        <v>447</v>
      </c>
      <c r="D13" s="5" t="s">
        <v>455</v>
      </c>
      <c r="E13" s="5" t="s">
        <v>412</v>
      </c>
      <c r="F13" s="5" t="s">
        <v>456</v>
      </c>
      <c r="G13" s="5" t="s">
        <v>457</v>
      </c>
      <c r="H13" s="5" t="s">
        <v>458</v>
      </c>
      <c r="I13" s="5" t="s">
        <v>459</v>
      </c>
      <c r="J13" s="5" t="s">
        <v>407</v>
      </c>
      <c r="K13" s="5" t="s">
        <v>460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>
      <selection activeCell="A13" sqref="A13:J18"/>
    </sheetView>
  </sheetViews>
  <sheetFormatPr baseColWidth="10" defaultColWidth="9" defaultRowHeight="14.25"/>
  <cols>
    <col min="1" max="1" width="12" customWidth="1"/>
    <col min="2" max="2" width="28" customWidth="1"/>
    <col min="3" max="3" width="34" customWidth="1"/>
    <col min="4" max="4" width="20" customWidth="1"/>
    <col min="5" max="5" width="28" customWidth="1"/>
    <col min="6" max="6" width="30" customWidth="1"/>
    <col min="7" max="7" width="16" customWidth="1"/>
    <col min="8" max="8" width="28.625" customWidth="1"/>
    <col min="9" max="9" width="14" customWidth="1"/>
    <col min="10" max="10" width="42" customWidth="1"/>
  </cols>
  <sheetData>
    <row r="1" spans="1:26" ht="30" customHeight="1">
      <c r="A1" s="46" t="s">
        <v>461</v>
      </c>
      <c r="B1" s="44"/>
      <c r="C1" s="44"/>
      <c r="D1" s="44"/>
      <c r="E1" s="44"/>
      <c r="F1" s="44"/>
      <c r="G1" s="44"/>
      <c r="H1" s="44"/>
      <c r="I1" s="44"/>
      <c r="J1" s="4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47" t="s">
        <v>462</v>
      </c>
      <c r="B2" s="44"/>
      <c r="C2" s="44"/>
      <c r="D2" s="44"/>
      <c r="E2" s="44"/>
      <c r="F2" s="44"/>
      <c r="G2" s="44"/>
      <c r="H2" s="44"/>
      <c r="I2" s="44"/>
      <c r="J2" s="4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7">
      <c r="A4" s="4" t="s">
        <v>463</v>
      </c>
      <c r="B4" s="4" t="s">
        <v>464</v>
      </c>
      <c r="C4" s="4" t="s">
        <v>465</v>
      </c>
      <c r="D4" s="4" t="s">
        <v>466</v>
      </c>
      <c r="E4" s="4" t="s">
        <v>467</v>
      </c>
      <c r="F4" s="4" t="s">
        <v>468</v>
      </c>
      <c r="G4" s="4" t="s">
        <v>469</v>
      </c>
      <c r="H4" s="4" t="s">
        <v>470</v>
      </c>
      <c r="I4" s="4" t="s">
        <v>147</v>
      </c>
      <c r="J4" s="4" t="s">
        <v>61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>
      <c r="A5" s="5" t="s">
        <v>471</v>
      </c>
      <c r="B5" s="5" t="s">
        <v>472</v>
      </c>
      <c r="C5" s="5" t="s">
        <v>473</v>
      </c>
      <c r="D5" s="5" t="s">
        <v>62</v>
      </c>
      <c r="E5" s="5" t="s">
        <v>474</v>
      </c>
      <c r="F5" s="5" t="s">
        <v>475</v>
      </c>
      <c r="G5" s="5" t="s">
        <v>2491</v>
      </c>
      <c r="H5" s="5" t="s">
        <v>2492</v>
      </c>
      <c r="I5" s="5" t="s">
        <v>211</v>
      </c>
      <c r="J5" s="5" t="s">
        <v>476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">
      <c r="A6" s="5" t="s">
        <v>477</v>
      </c>
      <c r="B6" s="5" t="s">
        <v>478</v>
      </c>
      <c r="C6" s="5" t="s">
        <v>479</v>
      </c>
      <c r="D6" s="5" t="s">
        <v>71</v>
      </c>
      <c r="E6" s="5" t="s">
        <v>480</v>
      </c>
      <c r="F6" s="5" t="s">
        <v>475</v>
      </c>
      <c r="G6" s="5" t="s">
        <v>2491</v>
      </c>
      <c r="H6" s="5" t="s">
        <v>2492</v>
      </c>
      <c r="I6" s="5" t="s">
        <v>211</v>
      </c>
      <c r="J6" s="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">
      <c r="A7" s="5" t="s">
        <v>481</v>
      </c>
      <c r="B7" s="5" t="s">
        <v>482</v>
      </c>
      <c r="C7" s="5" t="s">
        <v>483</v>
      </c>
      <c r="D7" s="5" t="s">
        <v>484</v>
      </c>
      <c r="E7" s="5" t="s">
        <v>485</v>
      </c>
      <c r="F7" s="5" t="s">
        <v>486</v>
      </c>
      <c r="G7" s="5" t="s">
        <v>2491</v>
      </c>
      <c r="H7" s="5" t="s">
        <v>2492</v>
      </c>
      <c r="I7" s="5" t="s">
        <v>417</v>
      </c>
      <c r="J7" s="5" t="s">
        <v>487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>
      <c r="A8" s="5" t="s">
        <v>488</v>
      </c>
      <c r="B8" s="5" t="s">
        <v>489</v>
      </c>
      <c r="C8" s="5" t="s">
        <v>490</v>
      </c>
      <c r="D8" s="5" t="s">
        <v>48</v>
      </c>
      <c r="E8" s="5" t="s">
        <v>491</v>
      </c>
      <c r="F8" s="5" t="s">
        <v>486</v>
      </c>
      <c r="G8" s="5" t="s">
        <v>2491</v>
      </c>
      <c r="H8" s="5" t="s">
        <v>2492</v>
      </c>
      <c r="I8" s="5" t="s">
        <v>417</v>
      </c>
      <c r="J8" s="5" t="s">
        <v>492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493</v>
      </c>
      <c r="B9" s="5" t="s">
        <v>494</v>
      </c>
      <c r="C9" s="5" t="s">
        <v>495</v>
      </c>
      <c r="D9" s="5" t="s">
        <v>117</v>
      </c>
      <c r="E9" s="5" t="s">
        <v>496</v>
      </c>
      <c r="F9" s="5" t="s">
        <v>497</v>
      </c>
      <c r="G9" s="5" t="s">
        <v>2491</v>
      </c>
      <c r="H9" s="5" t="s">
        <v>2492</v>
      </c>
      <c r="I9" s="5" t="s">
        <v>211</v>
      </c>
      <c r="J9" s="5" t="s">
        <v>498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">
      <c r="A10" s="5" t="s">
        <v>499</v>
      </c>
      <c r="B10" s="5" t="s">
        <v>500</v>
      </c>
      <c r="C10" s="5" t="s">
        <v>501</v>
      </c>
      <c r="D10" s="5" t="s">
        <v>78</v>
      </c>
      <c r="E10" s="5" t="s">
        <v>502</v>
      </c>
      <c r="F10" s="5" t="s">
        <v>503</v>
      </c>
      <c r="G10" s="5" t="s">
        <v>2491</v>
      </c>
      <c r="H10" s="5" t="s">
        <v>2492</v>
      </c>
      <c r="I10" s="5" t="s">
        <v>504</v>
      </c>
      <c r="J10" s="5" t="s">
        <v>505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7">
      <c r="A11" s="5" t="s">
        <v>506</v>
      </c>
      <c r="B11" s="5" t="s">
        <v>507</v>
      </c>
      <c r="C11" s="5" t="s">
        <v>508</v>
      </c>
      <c r="D11" s="5" t="s">
        <v>95</v>
      </c>
      <c r="E11" s="5" t="s">
        <v>509</v>
      </c>
      <c r="F11" s="5" t="s">
        <v>510</v>
      </c>
      <c r="G11" s="5" t="s">
        <v>2491</v>
      </c>
      <c r="H11" s="5" t="s">
        <v>2492</v>
      </c>
      <c r="I11" s="5" t="s">
        <v>417</v>
      </c>
      <c r="J11" s="5" t="s">
        <v>476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511</v>
      </c>
      <c r="B12" s="5" t="s">
        <v>512</v>
      </c>
      <c r="C12" s="5" t="s">
        <v>513</v>
      </c>
      <c r="D12" s="5" t="s">
        <v>102</v>
      </c>
      <c r="E12" s="5" t="s">
        <v>514</v>
      </c>
      <c r="F12" s="5" t="s">
        <v>515</v>
      </c>
      <c r="G12" s="5" t="s">
        <v>2491</v>
      </c>
      <c r="H12" s="5" t="s">
        <v>2492</v>
      </c>
      <c r="I12" s="5" t="s">
        <v>417</v>
      </c>
      <c r="J12" s="5" t="s">
        <v>516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 customHeight="1">
      <c r="A13" s="5" t="s">
        <v>2044</v>
      </c>
      <c r="B13" s="5" t="s">
        <v>345</v>
      </c>
      <c r="C13" s="5" t="s">
        <v>2045</v>
      </c>
      <c r="D13" s="5" t="s">
        <v>1935</v>
      </c>
      <c r="E13" s="5" t="s">
        <v>2046</v>
      </c>
      <c r="F13" s="5" t="s">
        <v>202</v>
      </c>
      <c r="G13" s="5" t="s">
        <v>2047</v>
      </c>
      <c r="H13" s="5" t="s">
        <v>2048</v>
      </c>
      <c r="I13" s="5" t="s">
        <v>211</v>
      </c>
      <c r="J13" s="5" t="s">
        <v>2049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" customHeight="1">
      <c r="A14" s="5" t="s">
        <v>2050</v>
      </c>
      <c r="B14" s="5" t="s">
        <v>346</v>
      </c>
      <c r="C14" s="5" t="s">
        <v>2045</v>
      </c>
      <c r="D14" s="5" t="s">
        <v>95</v>
      </c>
      <c r="E14" s="5">
        <v>0</v>
      </c>
      <c r="F14" s="5" t="s">
        <v>238</v>
      </c>
      <c r="G14" s="5" t="s">
        <v>2051</v>
      </c>
      <c r="H14" s="5" t="s">
        <v>2048</v>
      </c>
      <c r="I14" s="5" t="s">
        <v>211</v>
      </c>
      <c r="J14" s="5" t="s">
        <v>2052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7" customHeight="1">
      <c r="A15" s="5" t="s">
        <v>2053</v>
      </c>
      <c r="B15" s="5" t="s">
        <v>347</v>
      </c>
      <c r="C15" s="5" t="s">
        <v>2045</v>
      </c>
      <c r="D15" s="5" t="s">
        <v>1948</v>
      </c>
      <c r="E15" s="5" t="s">
        <v>2046</v>
      </c>
      <c r="F15" s="5" t="s">
        <v>347</v>
      </c>
      <c r="G15" s="5" t="s">
        <v>2054</v>
      </c>
      <c r="H15" s="5" t="s">
        <v>2048</v>
      </c>
      <c r="I15" s="5" t="s">
        <v>211</v>
      </c>
      <c r="J15" s="5" t="s">
        <v>2055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7" customHeight="1">
      <c r="A16" s="5" t="s">
        <v>2056</v>
      </c>
      <c r="B16" s="5" t="s">
        <v>2057</v>
      </c>
      <c r="C16" s="5" t="s">
        <v>2058</v>
      </c>
      <c r="D16" s="5" t="s">
        <v>80</v>
      </c>
      <c r="E16" s="5" t="s">
        <v>2059</v>
      </c>
      <c r="F16" s="5" t="s">
        <v>714</v>
      </c>
      <c r="G16" s="5" t="s">
        <v>2060</v>
      </c>
      <c r="H16" s="5" t="s">
        <v>2061</v>
      </c>
      <c r="I16" s="5" t="s">
        <v>504</v>
      </c>
      <c r="J16" s="5" t="s">
        <v>2062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" customHeight="1">
      <c r="A17" s="5" t="s">
        <v>2063</v>
      </c>
      <c r="B17" s="5" t="s">
        <v>2064</v>
      </c>
      <c r="C17" s="5" t="s">
        <v>2045</v>
      </c>
      <c r="D17" s="5" t="s">
        <v>1873</v>
      </c>
      <c r="E17" s="5" t="s">
        <v>2065</v>
      </c>
      <c r="F17" s="5" t="s">
        <v>374</v>
      </c>
      <c r="G17" s="5" t="s">
        <v>2051</v>
      </c>
      <c r="H17" s="5" t="s">
        <v>1881</v>
      </c>
      <c r="I17" s="5" t="s">
        <v>1971</v>
      </c>
      <c r="J17" s="5" t="s">
        <v>2066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7" customHeight="1">
      <c r="A18" s="5" t="s">
        <v>2067</v>
      </c>
      <c r="B18" s="5" t="s">
        <v>2068</v>
      </c>
      <c r="C18" s="5" t="s">
        <v>2045</v>
      </c>
      <c r="D18" s="5" t="s">
        <v>2069</v>
      </c>
      <c r="E18" s="5" t="s">
        <v>2046</v>
      </c>
      <c r="F18" s="5" t="s">
        <v>2070</v>
      </c>
      <c r="G18" s="5" t="s">
        <v>2071</v>
      </c>
      <c r="H18" s="5" t="s">
        <v>2048</v>
      </c>
      <c r="I18" s="5" t="s">
        <v>211</v>
      </c>
      <c r="J18" s="5" t="s">
        <v>2072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0"/>
  <sheetViews>
    <sheetView workbookViewId="0"/>
  </sheetViews>
  <sheetFormatPr baseColWidth="10" defaultColWidth="9" defaultRowHeight="14.25"/>
  <cols>
    <col min="1" max="1" width="12" customWidth="1"/>
    <col min="2" max="2" width="42" customWidth="1"/>
    <col min="3" max="3" width="12" customWidth="1"/>
    <col min="4" max="4" width="44" customWidth="1"/>
    <col min="5" max="5" width="42" customWidth="1"/>
    <col min="6" max="6" width="52" customWidth="1"/>
    <col min="7" max="9" width="14" customWidth="1"/>
    <col min="10" max="10" width="52" customWidth="1"/>
  </cols>
  <sheetData>
    <row r="1" spans="1:26" ht="100.9" customHeight="1">
      <c r="A1" s="42" t="s">
        <v>517</v>
      </c>
      <c r="B1" s="43"/>
      <c r="C1" s="43"/>
      <c r="D1" s="43"/>
      <c r="E1" s="43"/>
      <c r="F1" s="43"/>
      <c r="G1" s="43"/>
      <c r="H1" s="43"/>
      <c r="I1" s="43"/>
      <c r="J1" s="4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2" customHeight="1">
      <c r="A2" s="45" t="s">
        <v>518</v>
      </c>
      <c r="B2" s="45"/>
      <c r="C2" s="45"/>
      <c r="D2" s="45"/>
      <c r="E2" s="45"/>
      <c r="F2" s="45"/>
      <c r="G2" s="45"/>
      <c r="H2" s="45"/>
      <c r="I2" s="45"/>
      <c r="J2" s="4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1" t="s">
        <v>519</v>
      </c>
      <c r="B4" s="11" t="s">
        <v>520</v>
      </c>
      <c r="C4" s="11" t="s">
        <v>521</v>
      </c>
      <c r="D4" s="11" t="s">
        <v>522</v>
      </c>
      <c r="E4" s="11" t="s">
        <v>523</v>
      </c>
      <c r="F4" s="11" t="s">
        <v>524</v>
      </c>
      <c r="G4" s="11" t="s">
        <v>525</v>
      </c>
      <c r="H4" s="11" t="s">
        <v>526</v>
      </c>
      <c r="I4" s="11" t="s">
        <v>188</v>
      </c>
      <c r="J4" s="11" t="s">
        <v>61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5" t="s">
        <v>527</v>
      </c>
      <c r="B5" s="5" t="s">
        <v>528</v>
      </c>
      <c r="C5" s="5" t="s">
        <v>529</v>
      </c>
      <c r="D5" s="5" t="s">
        <v>209</v>
      </c>
      <c r="E5" s="5" t="s">
        <v>530</v>
      </c>
      <c r="F5" s="5" t="s">
        <v>531</v>
      </c>
      <c r="G5" s="5" t="s">
        <v>532</v>
      </c>
      <c r="H5" s="5" t="s">
        <v>41</v>
      </c>
      <c r="I5" s="5" t="s">
        <v>2490</v>
      </c>
      <c r="J5" s="5" t="s">
        <v>533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534</v>
      </c>
      <c r="B6" s="5" t="s">
        <v>535</v>
      </c>
      <c r="C6" s="5" t="s">
        <v>44</v>
      </c>
      <c r="D6" s="5" t="s">
        <v>536</v>
      </c>
      <c r="E6" s="5" t="s">
        <v>537</v>
      </c>
      <c r="F6" s="5" t="s">
        <v>538</v>
      </c>
      <c r="G6" s="5" t="s">
        <v>532</v>
      </c>
      <c r="H6" s="5" t="s">
        <v>41</v>
      </c>
      <c r="I6" s="5" t="s">
        <v>2490</v>
      </c>
      <c r="J6" s="5" t="s">
        <v>539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540</v>
      </c>
      <c r="B7" s="5" t="s">
        <v>541</v>
      </c>
      <c r="C7" s="5" t="s">
        <v>44</v>
      </c>
      <c r="D7" s="5" t="s">
        <v>542</v>
      </c>
      <c r="E7" s="5" t="s">
        <v>537</v>
      </c>
      <c r="F7" s="5" t="s">
        <v>543</v>
      </c>
      <c r="G7" s="5" t="s">
        <v>532</v>
      </c>
      <c r="H7" s="5" t="s">
        <v>41</v>
      </c>
      <c r="I7" s="5" t="s">
        <v>2490</v>
      </c>
      <c r="J7" s="5" t="s">
        <v>544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5" t="s">
        <v>545</v>
      </c>
      <c r="B8" s="5" t="s">
        <v>546</v>
      </c>
      <c r="C8" s="5" t="s">
        <v>44</v>
      </c>
      <c r="D8" s="5" t="s">
        <v>547</v>
      </c>
      <c r="E8" s="5" t="s">
        <v>537</v>
      </c>
      <c r="F8" s="5" t="s">
        <v>543</v>
      </c>
      <c r="G8" s="5" t="s">
        <v>532</v>
      </c>
      <c r="H8" s="5" t="s">
        <v>41</v>
      </c>
      <c r="I8" s="5" t="s">
        <v>2490</v>
      </c>
      <c r="J8" s="5" t="s">
        <v>548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" customHeight="1">
      <c r="A9" s="5" t="s">
        <v>549</v>
      </c>
      <c r="B9" s="5" t="s">
        <v>550</v>
      </c>
      <c r="C9" s="5" t="s">
        <v>44</v>
      </c>
      <c r="D9" s="5" t="s">
        <v>551</v>
      </c>
      <c r="E9" s="5" t="s">
        <v>552</v>
      </c>
      <c r="F9" s="5" t="s">
        <v>553</v>
      </c>
      <c r="G9" s="5" t="s">
        <v>532</v>
      </c>
      <c r="H9" s="5" t="s">
        <v>41</v>
      </c>
      <c r="I9" s="5" t="s">
        <v>2490</v>
      </c>
      <c r="J9" s="5" t="s">
        <v>435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5" t="s">
        <v>554</v>
      </c>
      <c r="B10" s="5" t="s">
        <v>555</v>
      </c>
      <c r="C10" s="5" t="s">
        <v>44</v>
      </c>
      <c r="D10" s="5" t="s">
        <v>556</v>
      </c>
      <c r="E10" s="5" t="s">
        <v>537</v>
      </c>
      <c r="F10" s="5" t="s">
        <v>543</v>
      </c>
      <c r="G10" s="5" t="s">
        <v>532</v>
      </c>
      <c r="H10" s="5" t="s">
        <v>41</v>
      </c>
      <c r="I10" s="5" t="s">
        <v>2490</v>
      </c>
      <c r="J10" s="5" t="s">
        <v>557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5" t="s">
        <v>558</v>
      </c>
      <c r="B11" s="5" t="s">
        <v>559</v>
      </c>
      <c r="C11" s="5" t="s">
        <v>44</v>
      </c>
      <c r="D11" s="5" t="s">
        <v>560</v>
      </c>
      <c r="E11" s="5" t="s">
        <v>552</v>
      </c>
      <c r="F11" s="5" t="s">
        <v>561</v>
      </c>
      <c r="G11" s="5" t="s">
        <v>532</v>
      </c>
      <c r="H11" s="5" t="s">
        <v>41</v>
      </c>
      <c r="I11" s="5" t="s">
        <v>2490</v>
      </c>
      <c r="J11" s="5" t="s">
        <v>562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5" t="s">
        <v>563</v>
      </c>
      <c r="B12" s="5" t="s">
        <v>564</v>
      </c>
      <c r="C12" s="5" t="s">
        <v>44</v>
      </c>
      <c r="D12" s="5" t="s">
        <v>565</v>
      </c>
      <c r="E12" s="5" t="s">
        <v>552</v>
      </c>
      <c r="F12" s="5" t="s">
        <v>566</v>
      </c>
      <c r="G12" s="5" t="s">
        <v>532</v>
      </c>
      <c r="H12" s="5" t="s">
        <v>41</v>
      </c>
      <c r="I12" s="5" t="s">
        <v>2490</v>
      </c>
      <c r="J12" s="5" t="s">
        <v>567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5" t="s">
        <v>568</v>
      </c>
      <c r="B13" s="5" t="s">
        <v>569</v>
      </c>
      <c r="C13" s="5" t="s">
        <v>44</v>
      </c>
      <c r="D13" s="5" t="s">
        <v>570</v>
      </c>
      <c r="E13" s="5" t="s">
        <v>571</v>
      </c>
      <c r="F13" s="5" t="s">
        <v>572</v>
      </c>
      <c r="G13" s="5" t="s">
        <v>532</v>
      </c>
      <c r="H13" s="5" t="s">
        <v>41</v>
      </c>
      <c r="I13" s="5" t="s">
        <v>2490</v>
      </c>
      <c r="J13" s="5" t="s">
        <v>573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workbookViewId="0"/>
  </sheetViews>
  <sheetFormatPr baseColWidth="10" defaultColWidth="9" defaultRowHeight="14.25"/>
  <cols>
    <col min="1" max="1" width="14" customWidth="1"/>
    <col min="2" max="2" width="30" customWidth="1"/>
    <col min="3" max="3" width="56" customWidth="1"/>
    <col min="4" max="4" width="14" customWidth="1"/>
    <col min="5" max="5" width="28" customWidth="1"/>
    <col min="6" max="6" width="42" customWidth="1"/>
    <col min="7" max="7" width="34" customWidth="1"/>
    <col min="8" max="8" width="52" customWidth="1"/>
    <col min="9" max="9" width="14" customWidth="1"/>
  </cols>
  <sheetData>
    <row r="1" spans="1:26" ht="84" customHeight="1">
      <c r="A1" s="42" t="s">
        <v>574</v>
      </c>
      <c r="B1" s="43"/>
      <c r="C1" s="43"/>
      <c r="D1" s="43"/>
      <c r="E1" s="43"/>
      <c r="F1" s="43"/>
      <c r="G1" s="43"/>
      <c r="H1" s="43"/>
      <c r="I1" s="4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96" customHeight="1">
      <c r="A2" s="45" t="s">
        <v>575</v>
      </c>
      <c r="B2" s="45"/>
      <c r="C2" s="45"/>
      <c r="D2" s="45"/>
      <c r="E2" s="45"/>
      <c r="F2" s="45"/>
      <c r="G2" s="45"/>
      <c r="H2" s="45"/>
      <c r="I2" s="4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1" t="s">
        <v>576</v>
      </c>
      <c r="B4" s="11" t="s">
        <v>577</v>
      </c>
      <c r="C4" s="11" t="s">
        <v>578</v>
      </c>
      <c r="D4" s="11" t="s">
        <v>579</v>
      </c>
      <c r="E4" s="11" t="s">
        <v>580</v>
      </c>
      <c r="F4" s="11" t="s">
        <v>581</v>
      </c>
      <c r="G4" s="11" t="s">
        <v>146</v>
      </c>
      <c r="H4" s="11" t="s">
        <v>582</v>
      </c>
      <c r="I4" s="11" t="s">
        <v>177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 customHeight="1">
      <c r="A5" s="5" t="s">
        <v>583</v>
      </c>
      <c r="B5" s="5" t="s">
        <v>584</v>
      </c>
      <c r="C5" s="5" t="s">
        <v>585</v>
      </c>
      <c r="D5" s="5" t="s">
        <v>504</v>
      </c>
      <c r="E5" s="5" t="s">
        <v>586</v>
      </c>
      <c r="F5" s="5" t="s">
        <v>587</v>
      </c>
      <c r="G5" s="5" t="s">
        <v>588</v>
      </c>
      <c r="H5" s="5" t="s">
        <v>589</v>
      </c>
      <c r="I5" s="5" t="s">
        <v>590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591</v>
      </c>
      <c r="B6" s="5" t="s">
        <v>592</v>
      </c>
      <c r="C6" s="5" t="s">
        <v>593</v>
      </c>
      <c r="D6" s="5" t="s">
        <v>504</v>
      </c>
      <c r="E6" s="5" t="s">
        <v>586</v>
      </c>
      <c r="F6" s="5" t="s">
        <v>594</v>
      </c>
      <c r="G6" s="5" t="s">
        <v>595</v>
      </c>
      <c r="H6" s="5" t="s">
        <v>596</v>
      </c>
      <c r="I6" s="5" t="s">
        <v>590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597</v>
      </c>
      <c r="B7" s="5" t="s">
        <v>598</v>
      </c>
      <c r="C7" s="5" t="s">
        <v>599</v>
      </c>
      <c r="D7" s="5" t="s">
        <v>425</v>
      </c>
      <c r="E7" s="5" t="s">
        <v>586</v>
      </c>
      <c r="F7" s="5" t="s">
        <v>600</v>
      </c>
      <c r="G7" s="5" t="s">
        <v>601</v>
      </c>
      <c r="H7" s="5" t="s">
        <v>602</v>
      </c>
      <c r="I7" s="5" t="s">
        <v>590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5" t="s">
        <v>603</v>
      </c>
      <c r="B8" s="5" t="s">
        <v>604</v>
      </c>
      <c r="C8" s="5" t="s">
        <v>605</v>
      </c>
      <c r="D8" s="5" t="s">
        <v>417</v>
      </c>
      <c r="E8" s="5" t="s">
        <v>606</v>
      </c>
      <c r="F8" s="5" t="s">
        <v>607</v>
      </c>
      <c r="G8" s="5" t="s">
        <v>44</v>
      </c>
      <c r="H8" s="5" t="s">
        <v>608</v>
      </c>
      <c r="I8" s="5" t="s">
        <v>609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5" t="s">
        <v>610</v>
      </c>
      <c r="B9" s="5" t="s">
        <v>611</v>
      </c>
      <c r="C9" s="5" t="s">
        <v>612</v>
      </c>
      <c r="D9" s="5" t="s">
        <v>417</v>
      </c>
      <c r="E9" s="5" t="s">
        <v>613</v>
      </c>
      <c r="F9" s="5" t="s">
        <v>614</v>
      </c>
      <c r="G9" s="5" t="s">
        <v>209</v>
      </c>
      <c r="H9" s="5" t="s">
        <v>615</v>
      </c>
      <c r="I9" s="5" t="s">
        <v>590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>
      <c r="A10" s="5" t="s">
        <v>616</v>
      </c>
      <c r="B10" s="5" t="s">
        <v>617</v>
      </c>
      <c r="C10" s="5" t="s">
        <v>618</v>
      </c>
      <c r="D10" s="5" t="s">
        <v>417</v>
      </c>
      <c r="E10" s="5" t="s">
        <v>619</v>
      </c>
      <c r="F10" s="5" t="s">
        <v>620</v>
      </c>
      <c r="G10" s="5" t="s">
        <v>44</v>
      </c>
      <c r="H10" s="5" t="s">
        <v>621</v>
      </c>
      <c r="I10" s="5" t="s">
        <v>590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0"/>
  <sheetViews>
    <sheetView workbookViewId="0"/>
  </sheetViews>
  <sheetFormatPr baseColWidth="10" defaultColWidth="9" defaultRowHeight="14.25"/>
  <cols>
    <col min="1" max="8" width="22" customWidth="1"/>
  </cols>
  <sheetData>
    <row r="1" spans="1:26" ht="21">
      <c r="A1" s="7" t="s">
        <v>183</v>
      </c>
      <c r="B1" s="4" t="s">
        <v>188</v>
      </c>
      <c r="C1" s="4" t="s">
        <v>176</v>
      </c>
      <c r="D1" s="4" t="s">
        <v>177</v>
      </c>
      <c r="E1" s="4" t="s">
        <v>141</v>
      </c>
      <c r="F1" s="4" t="s">
        <v>622</v>
      </c>
      <c r="G1" s="4" t="s">
        <v>623</v>
      </c>
      <c r="H1" s="4" t="s">
        <v>624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" t="s">
        <v>2494</v>
      </c>
      <c r="B2" s="5" t="s">
        <v>2478</v>
      </c>
      <c r="C2" s="5" t="s">
        <v>200</v>
      </c>
      <c r="D2" s="5" t="s">
        <v>201</v>
      </c>
      <c r="E2" s="5" t="s">
        <v>203</v>
      </c>
      <c r="F2" s="5" t="s">
        <v>625</v>
      </c>
      <c r="G2" s="5" t="s">
        <v>44</v>
      </c>
      <c r="H2" s="5" t="s">
        <v>626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5" t="s">
        <v>44</v>
      </c>
      <c r="B3" s="5" t="s">
        <v>627</v>
      </c>
      <c r="C3" s="5" t="s">
        <v>259</v>
      </c>
      <c r="D3" s="5" t="s">
        <v>317</v>
      </c>
      <c r="E3" s="5" t="s">
        <v>628</v>
      </c>
      <c r="F3" s="5" t="s">
        <v>629</v>
      </c>
      <c r="G3" s="5" t="s">
        <v>529</v>
      </c>
      <c r="H3" s="5" t="s">
        <v>630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5" t="s">
        <v>69</v>
      </c>
      <c r="B4" s="5" t="s">
        <v>212</v>
      </c>
      <c r="C4" s="5" t="s">
        <v>316</v>
      </c>
      <c r="D4" s="5" t="s">
        <v>631</v>
      </c>
      <c r="E4" s="5" t="s">
        <v>632</v>
      </c>
      <c r="F4" s="5" t="s">
        <v>633</v>
      </c>
      <c r="G4" s="5" t="s">
        <v>69</v>
      </c>
      <c r="H4" s="5" t="s">
        <v>634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529</v>
      </c>
      <c r="B5" s="5" t="s">
        <v>635</v>
      </c>
      <c r="C5" s="5" t="s">
        <v>636</v>
      </c>
      <c r="D5" s="5" t="s">
        <v>637</v>
      </c>
      <c r="E5" s="5" t="s">
        <v>261</v>
      </c>
      <c r="F5" s="5" t="s">
        <v>638</v>
      </c>
      <c r="G5" s="5" t="s">
        <v>2065</v>
      </c>
      <c r="H5" s="5" t="s">
        <v>639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209</v>
      </c>
      <c r="B6" s="5"/>
      <c r="C6" s="5" t="s">
        <v>640</v>
      </c>
      <c r="D6" s="5"/>
      <c r="E6" s="5" t="s">
        <v>403</v>
      </c>
      <c r="F6" s="5" t="s">
        <v>641</v>
      </c>
      <c r="G6" s="5"/>
      <c r="H6" s="5" t="s">
        <v>642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/>
      <c r="B7" s="5"/>
      <c r="C7" s="5"/>
      <c r="D7" s="5"/>
      <c r="E7" s="5" t="s">
        <v>325</v>
      </c>
      <c r="F7" s="5"/>
      <c r="G7" s="5"/>
      <c r="H7" s="5" t="s">
        <v>209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/>
      <c r="B8" s="5"/>
      <c r="C8" s="5"/>
      <c r="D8" s="5"/>
      <c r="E8" s="5"/>
      <c r="F8" s="5"/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workbookViewId="0"/>
  </sheetViews>
  <sheetFormatPr baseColWidth="10" defaultColWidth="9" defaultRowHeight="14.25"/>
  <cols>
    <col min="1" max="1" width="28" customWidth="1"/>
    <col min="2" max="2" width="58" customWidth="1"/>
    <col min="3" max="3" width="40" customWidth="1"/>
    <col min="4" max="4" width="26" customWidth="1"/>
    <col min="5" max="5" width="38" customWidth="1"/>
    <col min="6" max="7" width="45" customWidth="1"/>
  </cols>
  <sheetData>
    <row r="1" spans="1:7" ht="54">
      <c r="A1" s="8" t="s">
        <v>643</v>
      </c>
      <c r="B1" s="8"/>
      <c r="C1" s="8"/>
      <c r="D1" s="8"/>
      <c r="E1" s="8"/>
      <c r="F1" s="8"/>
      <c r="G1" s="8"/>
    </row>
    <row r="2" spans="1:7">
      <c r="A2" t="s">
        <v>2519</v>
      </c>
    </row>
    <row r="4" spans="1:7" ht="15">
      <c r="A4" s="9" t="s">
        <v>644</v>
      </c>
      <c r="B4" s="9" t="s">
        <v>645</v>
      </c>
      <c r="C4" s="9" t="s">
        <v>646</v>
      </c>
      <c r="D4" s="9" t="s">
        <v>647</v>
      </c>
      <c r="E4" s="9" t="s">
        <v>648</v>
      </c>
      <c r="F4" s="9"/>
      <c r="G4" s="9"/>
    </row>
    <row r="5" spans="1:7" ht="28.5">
      <c r="A5" s="1" t="s">
        <v>192</v>
      </c>
      <c r="B5" s="1" t="s">
        <v>649</v>
      </c>
      <c r="C5" s="1" t="s">
        <v>650</v>
      </c>
      <c r="D5" s="1" t="s">
        <v>529</v>
      </c>
      <c r="E5" s="1" t="s">
        <v>651</v>
      </c>
      <c r="F5" s="1"/>
      <c r="G5" s="1"/>
    </row>
    <row r="6" spans="1:7">
      <c r="A6" s="1" t="s">
        <v>652</v>
      </c>
      <c r="B6" s="1" t="s">
        <v>653</v>
      </c>
      <c r="C6" s="1" t="s">
        <v>654</v>
      </c>
      <c r="D6" s="1" t="s">
        <v>69</v>
      </c>
      <c r="E6" s="1" t="s">
        <v>655</v>
      </c>
      <c r="F6" s="1"/>
      <c r="G6" s="1"/>
    </row>
    <row r="7" spans="1:7" ht="28.5">
      <c r="A7" s="1" t="s">
        <v>656</v>
      </c>
      <c r="B7" s="1" t="s">
        <v>657</v>
      </c>
      <c r="C7" s="1" t="s">
        <v>658</v>
      </c>
      <c r="D7" s="1" t="s">
        <v>44</v>
      </c>
      <c r="E7" s="1" t="s">
        <v>659</v>
      </c>
      <c r="F7" s="1"/>
      <c r="G7" s="1"/>
    </row>
    <row r="8" spans="1:7" ht="28.5">
      <c r="A8" s="1" t="s">
        <v>2520</v>
      </c>
      <c r="B8" s="1" t="s">
        <v>2521</v>
      </c>
      <c r="C8" s="1" t="s">
        <v>2522</v>
      </c>
      <c r="D8" s="1" t="s">
        <v>2523</v>
      </c>
      <c r="E8" s="1" t="s">
        <v>2524</v>
      </c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 t="s">
        <v>395</v>
      </c>
      <c r="B10" s="1" t="s">
        <v>396</v>
      </c>
      <c r="C10" s="1" t="s">
        <v>660</v>
      </c>
      <c r="D10" s="1" t="s">
        <v>661</v>
      </c>
      <c r="E10" s="1" t="s">
        <v>662</v>
      </c>
      <c r="F10" s="1" t="s">
        <v>663</v>
      </c>
      <c r="G10" s="1" t="s">
        <v>664</v>
      </c>
    </row>
    <row r="11" spans="1:7" ht="28.5">
      <c r="A11" s="1" t="s">
        <v>295</v>
      </c>
      <c r="B11" s="1" t="s">
        <v>203</v>
      </c>
      <c r="C11" s="1" t="s">
        <v>665</v>
      </c>
      <c r="D11" s="1" t="s">
        <v>666</v>
      </c>
      <c r="E11" s="1" t="s">
        <v>667</v>
      </c>
      <c r="F11" s="1" t="s">
        <v>668</v>
      </c>
      <c r="G11" s="1" t="s">
        <v>669</v>
      </c>
    </row>
    <row r="12" spans="1:7" ht="28.5">
      <c r="A12" s="1" t="s">
        <v>260</v>
      </c>
      <c r="B12" s="1" t="s">
        <v>628</v>
      </c>
      <c r="C12" s="1" t="s">
        <v>670</v>
      </c>
      <c r="D12" s="1" t="s">
        <v>666</v>
      </c>
      <c r="E12" s="1" t="s">
        <v>529</v>
      </c>
      <c r="F12" s="1" t="s">
        <v>671</v>
      </c>
      <c r="G12" s="1" t="s">
        <v>672</v>
      </c>
    </row>
    <row r="13" spans="1:7" ht="28.5">
      <c r="A13" s="1" t="s">
        <v>202</v>
      </c>
      <c r="B13" s="1" t="s">
        <v>203</v>
      </c>
      <c r="C13" s="1" t="s">
        <v>673</v>
      </c>
      <c r="D13" s="1" t="s">
        <v>529</v>
      </c>
      <c r="E13" s="1" t="s">
        <v>674</v>
      </c>
      <c r="F13" s="1" t="s">
        <v>675</v>
      </c>
      <c r="G13" s="1" t="s">
        <v>676</v>
      </c>
    </row>
    <row r="14" spans="1:7" ht="28.5">
      <c r="A14" s="1" t="s">
        <v>238</v>
      </c>
      <c r="B14" s="1" t="s">
        <v>203</v>
      </c>
      <c r="C14" s="1" t="s">
        <v>677</v>
      </c>
      <c r="D14" s="1" t="s">
        <v>678</v>
      </c>
      <c r="E14" s="1" t="s">
        <v>69</v>
      </c>
      <c r="F14" s="1" t="s">
        <v>679</v>
      </c>
      <c r="G14" s="1" t="s">
        <v>680</v>
      </c>
    </row>
    <row r="15" spans="1:7" ht="28.5">
      <c r="A15" s="1" t="s">
        <v>244</v>
      </c>
      <c r="B15" s="1" t="s">
        <v>203</v>
      </c>
      <c r="C15" s="1" t="s">
        <v>681</v>
      </c>
      <c r="D15" s="1" t="s">
        <v>529</v>
      </c>
      <c r="E15" s="1" t="s">
        <v>674</v>
      </c>
      <c r="F15" s="1" t="s">
        <v>682</v>
      </c>
      <c r="G15" s="1" t="s">
        <v>683</v>
      </c>
    </row>
    <row r="16" spans="1:7" ht="28.5">
      <c r="A16" s="1" t="s">
        <v>684</v>
      </c>
      <c r="B16" s="1" t="s">
        <v>628</v>
      </c>
      <c r="C16" s="1" t="s">
        <v>685</v>
      </c>
      <c r="D16" s="1" t="s">
        <v>529</v>
      </c>
      <c r="E16" s="1" t="s">
        <v>529</v>
      </c>
      <c r="F16" s="1" t="s">
        <v>686</v>
      </c>
      <c r="G16" s="1" t="s">
        <v>687</v>
      </c>
    </row>
    <row r="17" spans="1:7" ht="28.5">
      <c r="A17" s="1" t="s">
        <v>688</v>
      </c>
      <c r="B17" s="1" t="s">
        <v>632</v>
      </c>
      <c r="C17" s="1" t="s">
        <v>689</v>
      </c>
      <c r="D17" s="1" t="s">
        <v>209</v>
      </c>
      <c r="E17" s="1" t="s">
        <v>690</v>
      </c>
      <c r="F17" s="1" t="s">
        <v>691</v>
      </c>
      <c r="G17" s="1" t="s">
        <v>2525</v>
      </c>
    </row>
    <row r="18" spans="1:7">
      <c r="A18" s="1"/>
      <c r="B18" s="1"/>
      <c r="C18" s="1"/>
      <c r="D18" s="1"/>
      <c r="E18" s="1"/>
      <c r="F18" s="1"/>
      <c r="G18" s="1"/>
    </row>
    <row r="19" spans="1:7">
      <c r="A19" s="1" t="s">
        <v>692</v>
      </c>
      <c r="B19" s="1" t="s">
        <v>693</v>
      </c>
      <c r="C19" s="1"/>
      <c r="D19" s="1"/>
      <c r="E19" s="1"/>
      <c r="F19" s="1"/>
      <c r="G19" s="1"/>
    </row>
    <row r="20" spans="1:7" ht="42.75">
      <c r="A20" s="1" t="s">
        <v>694</v>
      </c>
      <c r="B20" s="1" t="s">
        <v>695</v>
      </c>
      <c r="C20" s="1"/>
      <c r="D20" s="1"/>
      <c r="E20" s="1"/>
      <c r="F20" s="1"/>
      <c r="G20" s="1"/>
    </row>
    <row r="21" spans="1:7" ht="57">
      <c r="A21" s="1" t="s">
        <v>696</v>
      </c>
      <c r="B21" s="1" t="s">
        <v>2526</v>
      </c>
      <c r="C21" s="1"/>
      <c r="D21" s="1"/>
      <c r="E21" s="1"/>
      <c r="F21" s="1"/>
      <c r="G21" s="1"/>
    </row>
    <row r="22" spans="1:7" ht="57">
      <c r="A22" s="1" t="s">
        <v>697</v>
      </c>
      <c r="B22" s="1" t="s">
        <v>2527</v>
      </c>
      <c r="C22" s="1"/>
      <c r="D22" s="1"/>
      <c r="E22" s="1"/>
      <c r="F22" s="1"/>
      <c r="G2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2"/>
  <sheetViews>
    <sheetView workbookViewId="0"/>
  </sheetViews>
  <sheetFormatPr baseColWidth="10" defaultColWidth="9" defaultRowHeight="14.25"/>
  <cols>
    <col min="1" max="1" width="10" customWidth="1"/>
    <col min="2" max="2" width="34" customWidth="1"/>
    <col min="3" max="3" width="38" customWidth="1"/>
    <col min="4" max="4" width="16" customWidth="1"/>
    <col min="5" max="6" width="40" customWidth="1"/>
    <col min="7" max="7" width="24" customWidth="1"/>
    <col min="8" max="8" width="20" customWidth="1"/>
  </cols>
  <sheetData>
    <row r="1" spans="1:8" ht="144">
      <c r="A1" s="8" t="s">
        <v>698</v>
      </c>
      <c r="B1" s="8"/>
      <c r="C1" s="8"/>
      <c r="D1" s="8"/>
      <c r="E1" s="8"/>
      <c r="F1" s="8"/>
      <c r="G1" s="8"/>
      <c r="H1" s="8"/>
    </row>
    <row r="2" spans="1:8">
      <c r="A2" t="s">
        <v>699</v>
      </c>
    </row>
    <row r="4" spans="1:8" ht="15">
      <c r="A4" s="9" t="s">
        <v>700</v>
      </c>
      <c r="B4" s="9" t="s">
        <v>701</v>
      </c>
      <c r="C4" s="9" t="s">
        <v>33</v>
      </c>
      <c r="D4" s="9" t="s">
        <v>344</v>
      </c>
      <c r="E4" s="9" t="s">
        <v>702</v>
      </c>
      <c r="F4" s="9" t="s">
        <v>703</v>
      </c>
      <c r="G4" s="9" t="s">
        <v>467</v>
      </c>
      <c r="H4" s="9" t="s">
        <v>704</v>
      </c>
    </row>
    <row r="5" spans="1:8">
      <c r="A5" s="1">
        <v>1</v>
      </c>
      <c r="B5" s="1" t="s">
        <v>705</v>
      </c>
      <c r="C5" s="1" t="s">
        <v>706</v>
      </c>
      <c r="D5" s="1" t="s">
        <v>62</v>
      </c>
      <c r="E5" s="1" t="s">
        <v>707</v>
      </c>
      <c r="F5" s="1" t="s">
        <v>708</v>
      </c>
      <c r="G5" s="1" t="s">
        <v>709</v>
      </c>
      <c r="H5" s="1" t="s">
        <v>194</v>
      </c>
    </row>
    <row r="6" spans="1:8">
      <c r="A6" s="1">
        <v>2</v>
      </c>
      <c r="B6" s="1" t="s">
        <v>705</v>
      </c>
      <c r="C6" s="1" t="s">
        <v>710</v>
      </c>
      <c r="D6" s="1" t="s">
        <v>95</v>
      </c>
      <c r="E6" s="1" t="s">
        <v>711</v>
      </c>
      <c r="F6" s="1" t="s">
        <v>712</v>
      </c>
      <c r="G6" s="1" t="s">
        <v>69</v>
      </c>
      <c r="H6" s="1" t="s">
        <v>194</v>
      </c>
    </row>
    <row r="7" spans="1:8">
      <c r="A7" s="1">
        <v>3</v>
      </c>
      <c r="B7" s="1" t="s">
        <v>705</v>
      </c>
      <c r="C7" s="1" t="s">
        <v>713</v>
      </c>
      <c r="D7" s="1" t="s">
        <v>117</v>
      </c>
      <c r="E7" s="1" t="s">
        <v>714</v>
      </c>
      <c r="F7" s="1" t="s">
        <v>715</v>
      </c>
      <c r="G7" s="1" t="s">
        <v>716</v>
      </c>
      <c r="H7" s="1" t="s">
        <v>194</v>
      </c>
    </row>
    <row r="8" spans="1:8" ht="28.5">
      <c r="A8" s="1">
        <v>4</v>
      </c>
      <c r="B8" s="1" t="s">
        <v>717</v>
      </c>
      <c r="C8" s="1" t="s">
        <v>718</v>
      </c>
      <c r="D8" s="1" t="s">
        <v>95</v>
      </c>
      <c r="E8" s="1" t="s">
        <v>346</v>
      </c>
      <c r="F8" s="1" t="s">
        <v>719</v>
      </c>
      <c r="G8" s="1" t="s">
        <v>720</v>
      </c>
      <c r="H8" s="1" t="s">
        <v>652</v>
      </c>
    </row>
    <row r="9" spans="1:8">
      <c r="A9" s="1">
        <v>5</v>
      </c>
      <c r="B9" s="1" t="s">
        <v>721</v>
      </c>
      <c r="C9" s="1" t="s">
        <v>722</v>
      </c>
      <c r="D9" s="1" t="s">
        <v>723</v>
      </c>
      <c r="E9" s="1" t="s">
        <v>724</v>
      </c>
      <c r="F9" s="1" t="s">
        <v>725</v>
      </c>
      <c r="G9" s="1" t="s">
        <v>69</v>
      </c>
      <c r="H9" s="1" t="s">
        <v>726</v>
      </c>
    </row>
    <row r="10" spans="1:8">
      <c r="A10" s="1">
        <v>6</v>
      </c>
      <c r="B10" s="1" t="s">
        <v>347</v>
      </c>
      <c r="C10" s="1" t="s">
        <v>727</v>
      </c>
      <c r="D10" s="1" t="s">
        <v>728</v>
      </c>
      <c r="E10" s="1" t="s">
        <v>729</v>
      </c>
      <c r="F10" s="1" t="s">
        <v>730</v>
      </c>
      <c r="G10" s="1" t="s">
        <v>731</v>
      </c>
      <c r="H10" s="1" t="s">
        <v>192</v>
      </c>
    </row>
    <row r="11" spans="1:8" ht="57">
      <c r="A11" s="1">
        <v>7</v>
      </c>
      <c r="B11" s="1" t="s">
        <v>732</v>
      </c>
      <c r="C11" s="1" t="s">
        <v>733</v>
      </c>
      <c r="D11" s="1" t="s">
        <v>734</v>
      </c>
      <c r="E11" s="1" t="s">
        <v>735</v>
      </c>
      <c r="F11" s="1" t="s">
        <v>736</v>
      </c>
      <c r="G11" s="1" t="s">
        <v>2493</v>
      </c>
      <c r="H11" s="1" t="s">
        <v>196</v>
      </c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 ht="28.5">
      <c r="A13" s="1" t="s">
        <v>52</v>
      </c>
      <c r="B13" s="1" t="s">
        <v>737</v>
      </c>
      <c r="C13" s="1" t="s">
        <v>738</v>
      </c>
      <c r="D13" s="1" t="s">
        <v>739</v>
      </c>
      <c r="E13" s="1" t="s">
        <v>740</v>
      </c>
      <c r="F13" s="1"/>
      <c r="G13" s="1"/>
      <c r="H13" s="1"/>
    </row>
    <row r="14" spans="1:8" ht="28.5">
      <c r="A14" s="1" t="s">
        <v>62</v>
      </c>
      <c r="B14" s="1" t="s">
        <v>741</v>
      </c>
      <c r="C14" s="1" t="s">
        <v>742</v>
      </c>
      <c r="D14" s="1" t="s">
        <v>743</v>
      </c>
      <c r="E14" s="1" t="s">
        <v>744</v>
      </c>
      <c r="F14" s="1"/>
      <c r="G14" s="1"/>
      <c r="H14" s="1"/>
    </row>
    <row r="15" spans="1:8">
      <c r="A15" s="1" t="s">
        <v>71</v>
      </c>
      <c r="B15" s="1" t="s">
        <v>666</v>
      </c>
      <c r="C15" s="1" t="s">
        <v>742</v>
      </c>
      <c r="D15" s="1" t="s">
        <v>69</v>
      </c>
      <c r="E15" s="1" t="s">
        <v>44</v>
      </c>
      <c r="F15" s="1"/>
      <c r="G15" s="1"/>
      <c r="H15" s="1"/>
    </row>
    <row r="16" spans="1:8" ht="28.5">
      <c r="A16" s="1" t="s">
        <v>78</v>
      </c>
      <c r="B16" s="1" t="s">
        <v>745</v>
      </c>
      <c r="C16" s="1" t="s">
        <v>746</v>
      </c>
      <c r="D16" s="1" t="s">
        <v>69</v>
      </c>
      <c r="E16" s="1" t="s">
        <v>361</v>
      </c>
      <c r="F16" s="1"/>
      <c r="G16" s="1"/>
      <c r="H16" s="1"/>
    </row>
    <row r="17" spans="1:8" ht="28.5">
      <c r="A17" s="1" t="s">
        <v>86</v>
      </c>
      <c r="B17" s="1" t="s">
        <v>747</v>
      </c>
      <c r="C17" s="1" t="s">
        <v>748</v>
      </c>
      <c r="D17" s="1" t="s">
        <v>69</v>
      </c>
      <c r="E17" s="1" t="s">
        <v>44</v>
      </c>
      <c r="F17" s="1"/>
      <c r="G17" s="1"/>
      <c r="H17" s="1"/>
    </row>
    <row r="18" spans="1:8" ht="28.5">
      <c r="A18" s="1" t="s">
        <v>95</v>
      </c>
      <c r="B18" s="1" t="s">
        <v>749</v>
      </c>
      <c r="C18" s="1" t="s">
        <v>750</v>
      </c>
      <c r="D18" s="1" t="s">
        <v>361</v>
      </c>
      <c r="E18" s="1" t="s">
        <v>751</v>
      </c>
      <c r="F18" s="1"/>
      <c r="G18" s="1"/>
      <c r="H18" s="1"/>
    </row>
    <row r="19" spans="1:8">
      <c r="A19" s="1" t="s">
        <v>102</v>
      </c>
      <c r="B19" s="1" t="s">
        <v>666</v>
      </c>
      <c r="C19" s="1" t="s">
        <v>752</v>
      </c>
      <c r="D19" s="1" t="s">
        <v>69</v>
      </c>
      <c r="E19" s="1" t="s">
        <v>44</v>
      </c>
      <c r="F19" s="1"/>
      <c r="G19" s="1"/>
      <c r="H19" s="1"/>
    </row>
    <row r="20" spans="1:8">
      <c r="A20" s="1" t="s">
        <v>109</v>
      </c>
      <c r="B20" s="1" t="s">
        <v>362</v>
      </c>
      <c r="C20" s="1" t="s">
        <v>753</v>
      </c>
      <c r="D20" s="1" t="s">
        <v>69</v>
      </c>
      <c r="E20" s="1" t="s">
        <v>363</v>
      </c>
      <c r="F20" s="1"/>
      <c r="G20" s="1"/>
      <c r="H20" s="1"/>
    </row>
    <row r="21" spans="1:8">
      <c r="A21" s="1" t="s">
        <v>117</v>
      </c>
      <c r="B21" s="1" t="s">
        <v>754</v>
      </c>
      <c r="C21" s="1" t="s">
        <v>755</v>
      </c>
      <c r="D21" s="1" t="s">
        <v>364</v>
      </c>
      <c r="E21" s="1" t="s">
        <v>363</v>
      </c>
      <c r="F21" s="1"/>
      <c r="G21" s="1"/>
      <c r="H21" s="1"/>
    </row>
    <row r="22" spans="1:8">
      <c r="A22" s="1" t="s">
        <v>48</v>
      </c>
      <c r="B22" s="1" t="s">
        <v>756</v>
      </c>
      <c r="C22" s="1" t="s">
        <v>757</v>
      </c>
      <c r="D22" s="1" t="s">
        <v>69</v>
      </c>
      <c r="E22" s="1" t="s">
        <v>363</v>
      </c>
      <c r="F22" s="1"/>
      <c r="G22" s="1"/>
      <c r="H22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5"/>
  <sheetViews>
    <sheetView workbookViewId="0">
      <selection activeCell="A21" sqref="A21:D35"/>
    </sheetView>
  </sheetViews>
  <sheetFormatPr baseColWidth="10" defaultColWidth="9" defaultRowHeight="14.25"/>
  <cols>
    <col min="1" max="1" width="34" customWidth="1"/>
    <col min="2" max="2" width="38.625" customWidth="1"/>
    <col min="3" max="3" width="25.625" customWidth="1"/>
    <col min="4" max="4" width="58.625" customWidth="1"/>
  </cols>
  <sheetData>
    <row r="1" spans="1:4" ht="54">
      <c r="A1" s="8" t="s">
        <v>758</v>
      </c>
      <c r="B1" s="8"/>
      <c r="C1" s="8"/>
      <c r="D1" s="8"/>
    </row>
    <row r="2" spans="1:4">
      <c r="A2" t="s">
        <v>759</v>
      </c>
    </row>
    <row r="4" spans="1:4" ht="15">
      <c r="A4" s="9" t="s">
        <v>760</v>
      </c>
      <c r="B4" s="9" t="s">
        <v>32</v>
      </c>
      <c r="C4" s="9"/>
      <c r="D4" s="9"/>
    </row>
    <row r="5" spans="1:4">
      <c r="A5" s="1" t="s">
        <v>761</v>
      </c>
      <c r="B5" s="1">
        <v>3157</v>
      </c>
      <c r="C5" s="1"/>
      <c r="D5" s="1"/>
    </row>
    <row r="6" spans="1:4">
      <c r="A6" s="1" t="s">
        <v>762</v>
      </c>
      <c r="B6" s="1">
        <v>2</v>
      </c>
      <c r="C6" s="1"/>
      <c r="D6" s="1"/>
    </row>
    <row r="7" spans="1:4">
      <c r="A7" s="1" t="s">
        <v>763</v>
      </c>
      <c r="B7" s="1" t="s">
        <v>764</v>
      </c>
      <c r="C7" s="1"/>
      <c r="D7" s="1"/>
    </row>
    <row r="8" spans="1:4">
      <c r="A8" s="1" t="s">
        <v>765</v>
      </c>
      <c r="B8" s="1" t="s">
        <v>766</v>
      </c>
      <c r="C8" s="1"/>
      <c r="D8" s="1"/>
    </row>
    <row r="9" spans="1:4" ht="28.5">
      <c r="A9" s="1" t="s">
        <v>767</v>
      </c>
      <c r="B9" s="1" t="s">
        <v>768</v>
      </c>
      <c r="C9" s="1"/>
      <c r="D9" s="1"/>
    </row>
    <row r="10" spans="1:4">
      <c r="A10" s="1"/>
      <c r="B10" s="1"/>
      <c r="C10" s="1"/>
      <c r="D10" s="1"/>
    </row>
    <row r="11" spans="1:4">
      <c r="A11" s="1" t="s">
        <v>769</v>
      </c>
      <c r="B11" s="1" t="s">
        <v>770</v>
      </c>
      <c r="C11" s="1" t="s">
        <v>771</v>
      </c>
      <c r="D11" s="1" t="s">
        <v>767</v>
      </c>
    </row>
    <row r="12" spans="1:4">
      <c r="A12" s="1" t="s">
        <v>766</v>
      </c>
      <c r="B12" s="1">
        <v>3000</v>
      </c>
      <c r="C12" s="1" t="s">
        <v>772</v>
      </c>
      <c r="D12" s="1" t="s">
        <v>773</v>
      </c>
    </row>
    <row r="13" spans="1:4">
      <c r="A13" s="1" t="s">
        <v>774</v>
      </c>
      <c r="B13" s="1">
        <v>157</v>
      </c>
      <c r="C13" s="1" t="s">
        <v>775</v>
      </c>
      <c r="D13" s="1" t="s">
        <v>776</v>
      </c>
    </row>
    <row r="14" spans="1:4">
      <c r="A14" s="1"/>
      <c r="B14" s="1"/>
      <c r="C14" s="1"/>
      <c r="D14" s="1"/>
    </row>
    <row r="15" spans="1:4">
      <c r="A15" s="1" t="s">
        <v>777</v>
      </c>
      <c r="B15" s="1" t="s">
        <v>778</v>
      </c>
      <c r="C15" s="1"/>
      <c r="D15" s="1"/>
    </row>
    <row r="16" spans="1:4" ht="28.5">
      <c r="A16" s="1" t="s">
        <v>779</v>
      </c>
      <c r="B16" s="1" t="s">
        <v>780</v>
      </c>
      <c r="C16" s="1"/>
      <c r="D16" s="1"/>
    </row>
    <row r="17" spans="1:4" ht="28.5">
      <c r="A17" s="1" t="s">
        <v>781</v>
      </c>
      <c r="B17" s="1" t="s">
        <v>2528</v>
      </c>
      <c r="C17" s="1"/>
      <c r="D17" s="1"/>
    </row>
    <row r="18" spans="1:4" ht="28.5">
      <c r="A18" s="1" t="s">
        <v>782</v>
      </c>
      <c r="B18" s="1" t="s">
        <v>783</v>
      </c>
      <c r="C18" s="1"/>
      <c r="D18" s="1"/>
    </row>
    <row r="19" spans="1:4" ht="28.5">
      <c r="A19" s="1" t="s">
        <v>784</v>
      </c>
      <c r="B19" s="1" t="s">
        <v>785</v>
      </c>
      <c r="C19" s="1"/>
      <c r="D19" s="1"/>
    </row>
    <row r="21" spans="1:4" ht="15">
      <c r="A21" s="48" t="s">
        <v>2073</v>
      </c>
      <c r="B21" s="49"/>
      <c r="C21" s="49"/>
      <c r="D21" s="49"/>
    </row>
    <row r="22" spans="1:4">
      <c r="A22" s="1" t="s">
        <v>1833</v>
      </c>
      <c r="B22" s="1" t="s">
        <v>2074</v>
      </c>
      <c r="C22" s="1"/>
      <c r="D22" s="1"/>
    </row>
    <row r="23" spans="1:4">
      <c r="A23" s="1" t="s">
        <v>2075</v>
      </c>
      <c r="B23" s="1">
        <v>185</v>
      </c>
      <c r="C23" s="1" t="s">
        <v>2076</v>
      </c>
      <c r="D23" s="1" t="s">
        <v>2077</v>
      </c>
    </row>
    <row r="24" spans="1:4" ht="28.5">
      <c r="A24" s="1" t="s">
        <v>2078</v>
      </c>
      <c r="B24" s="1" t="s">
        <v>2079</v>
      </c>
      <c r="C24" s="1"/>
      <c r="D24" s="1" t="s">
        <v>2080</v>
      </c>
    </row>
    <row r="25" spans="1:4">
      <c r="A25" s="1" t="s">
        <v>2081</v>
      </c>
      <c r="B25" s="39" t="s">
        <v>1815</v>
      </c>
      <c r="C25" s="1" t="s">
        <v>2082</v>
      </c>
      <c r="D25" s="1" t="s">
        <v>2083</v>
      </c>
    </row>
    <row r="26" spans="1:4">
      <c r="A26" s="1" t="s">
        <v>1834</v>
      </c>
      <c r="B26" s="1" t="s">
        <v>2084</v>
      </c>
      <c r="C26" s="1"/>
      <c r="D26" s="1"/>
    </row>
    <row r="27" spans="1:4">
      <c r="A27" s="1" t="s">
        <v>2085</v>
      </c>
      <c r="B27" s="1">
        <v>73</v>
      </c>
      <c r="C27" s="1"/>
      <c r="D27" s="1" t="s">
        <v>2086</v>
      </c>
    </row>
    <row r="28" spans="1:4">
      <c r="A28" s="1" t="s">
        <v>2087</v>
      </c>
      <c r="B28" s="1" t="s">
        <v>2088</v>
      </c>
      <c r="C28" s="1" t="s">
        <v>2089</v>
      </c>
      <c r="D28" s="1" t="s">
        <v>2090</v>
      </c>
    </row>
    <row r="29" spans="1:4" ht="28.5">
      <c r="A29" s="1" t="s">
        <v>2091</v>
      </c>
      <c r="B29" s="1" t="s">
        <v>1907</v>
      </c>
      <c r="C29" s="1"/>
      <c r="D29" s="1" t="s">
        <v>2529</v>
      </c>
    </row>
    <row r="30" spans="1:4" ht="28.5">
      <c r="A30" s="1" t="s">
        <v>2092</v>
      </c>
      <c r="B30" s="1" t="s">
        <v>2093</v>
      </c>
      <c r="C30" s="1"/>
      <c r="D30" s="1"/>
    </row>
    <row r="31" spans="1:4" ht="28.5">
      <c r="A31" s="1" t="s">
        <v>2094</v>
      </c>
      <c r="B31" s="1" t="s">
        <v>2095</v>
      </c>
      <c r="C31" s="1"/>
      <c r="D31" s="1"/>
    </row>
    <row r="32" spans="1:4" ht="28.5">
      <c r="A32" s="1" t="s">
        <v>470</v>
      </c>
      <c r="B32" s="1" t="s">
        <v>2096</v>
      </c>
      <c r="C32" s="1"/>
      <c r="D32" s="1" t="s">
        <v>2530</v>
      </c>
    </row>
    <row r="33" spans="1:4" ht="28.5">
      <c r="A33" s="1" t="s">
        <v>2097</v>
      </c>
      <c r="B33" s="1" t="s">
        <v>2098</v>
      </c>
      <c r="C33" s="1"/>
      <c r="D33" s="1" t="s">
        <v>2531</v>
      </c>
    </row>
    <row r="34" spans="1:4" ht="28.5">
      <c r="A34" s="1" t="s">
        <v>663</v>
      </c>
      <c r="B34" s="1" t="s">
        <v>2099</v>
      </c>
      <c r="C34" s="1"/>
      <c r="D34" s="1" t="s">
        <v>2100</v>
      </c>
    </row>
    <row r="35" spans="1:4">
      <c r="A35" s="1" t="s">
        <v>188</v>
      </c>
      <c r="B35" s="1" t="s">
        <v>2101</v>
      </c>
      <c r="C35" s="1"/>
      <c r="D35" s="1" t="s">
        <v>2102</v>
      </c>
    </row>
  </sheetData>
  <mergeCells count="1">
    <mergeCell ref="A21:D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1"/>
  <sheetViews>
    <sheetView workbookViewId="0"/>
  </sheetViews>
  <sheetFormatPr baseColWidth="10" defaultColWidth="9" defaultRowHeight="14.25"/>
  <cols>
    <col min="1" max="1" width="18" customWidth="1"/>
    <col min="2" max="2" width="40" customWidth="1"/>
    <col min="3" max="3" width="36" customWidth="1"/>
    <col min="4" max="4" width="58" customWidth="1"/>
    <col min="5" max="5" width="18" customWidth="1"/>
    <col min="6" max="6" width="26" customWidth="1"/>
    <col min="7" max="7" width="58" customWidth="1"/>
  </cols>
  <sheetData>
    <row r="1" spans="1:7" ht="50.45" customHeight="1">
      <c r="A1" s="16" t="s">
        <v>786</v>
      </c>
      <c r="B1" s="16"/>
      <c r="C1" s="16"/>
      <c r="D1" s="16"/>
      <c r="E1" s="16"/>
      <c r="F1" s="16"/>
      <c r="G1" s="16"/>
    </row>
    <row r="2" spans="1:7" ht="79.150000000000006" customHeight="1">
      <c r="A2" s="17" t="s">
        <v>787</v>
      </c>
      <c r="B2" s="17"/>
      <c r="C2" s="17"/>
      <c r="D2" s="17"/>
      <c r="E2" s="17"/>
      <c r="F2" s="17"/>
      <c r="G2" s="17"/>
    </row>
    <row r="3" spans="1:7" ht="15" customHeight="1"/>
    <row r="4" spans="1:7" ht="15" customHeight="1">
      <c r="A4" s="18" t="s">
        <v>176</v>
      </c>
      <c r="B4" s="18" t="s">
        <v>788</v>
      </c>
      <c r="C4" s="18" t="s">
        <v>789</v>
      </c>
      <c r="D4" s="18" t="s">
        <v>790</v>
      </c>
      <c r="E4" s="18" t="s">
        <v>791</v>
      </c>
      <c r="F4" s="18" t="s">
        <v>146</v>
      </c>
      <c r="G4" s="18" t="s">
        <v>582</v>
      </c>
    </row>
    <row r="5" spans="1:7" ht="15" customHeight="1">
      <c r="A5" s="2" t="s">
        <v>200</v>
      </c>
      <c r="B5" s="2" t="s">
        <v>556</v>
      </c>
      <c r="C5" s="2" t="s">
        <v>792</v>
      </c>
      <c r="D5" s="2" t="s">
        <v>793</v>
      </c>
      <c r="E5" s="2" t="s">
        <v>211</v>
      </c>
      <c r="F5" s="2" t="s">
        <v>794</v>
      </c>
      <c r="G5" s="2" t="s">
        <v>795</v>
      </c>
    </row>
    <row r="6" spans="1:7" ht="15" customHeight="1">
      <c r="A6" s="2" t="s">
        <v>259</v>
      </c>
      <c r="B6" s="2" t="s">
        <v>560</v>
      </c>
      <c r="C6" s="2" t="s">
        <v>796</v>
      </c>
      <c r="D6" s="2" t="s">
        <v>797</v>
      </c>
      <c r="E6" s="2" t="s">
        <v>417</v>
      </c>
      <c r="F6" s="2" t="s">
        <v>798</v>
      </c>
      <c r="G6" s="2" t="s">
        <v>799</v>
      </c>
    </row>
    <row r="7" spans="1:7" ht="15" customHeight="1">
      <c r="A7" s="2" t="s">
        <v>316</v>
      </c>
      <c r="B7" s="2" t="s">
        <v>565</v>
      </c>
      <c r="C7" s="2" t="s">
        <v>800</v>
      </c>
      <c r="D7" s="2" t="s">
        <v>801</v>
      </c>
      <c r="E7" s="2" t="s">
        <v>425</v>
      </c>
      <c r="F7" s="2" t="s">
        <v>802</v>
      </c>
      <c r="G7" s="2" t="s">
        <v>803</v>
      </c>
    </row>
    <row r="8" spans="1:7" ht="15" customHeight="1">
      <c r="A8" s="2" t="s">
        <v>636</v>
      </c>
      <c r="B8" s="2" t="s">
        <v>570</v>
      </c>
      <c r="C8" s="2" t="s">
        <v>804</v>
      </c>
      <c r="D8" s="2" t="s">
        <v>805</v>
      </c>
      <c r="E8" s="2" t="s">
        <v>504</v>
      </c>
      <c r="F8" s="2" t="s">
        <v>806</v>
      </c>
      <c r="G8" s="2" t="s">
        <v>807</v>
      </c>
    </row>
    <row r="9" spans="1:7" ht="15" customHeight="1">
      <c r="A9" s="2" t="s">
        <v>808</v>
      </c>
      <c r="B9" s="2" t="s">
        <v>809</v>
      </c>
      <c r="C9" s="2" t="s">
        <v>810</v>
      </c>
      <c r="D9" s="2" t="s">
        <v>811</v>
      </c>
      <c r="E9" s="2" t="s">
        <v>812</v>
      </c>
      <c r="F9" s="2" t="s">
        <v>529</v>
      </c>
      <c r="G9" s="2" t="s">
        <v>813</v>
      </c>
    </row>
    <row r="10" spans="1:7" ht="15" customHeight="1"/>
    <row r="11" spans="1:7" ht="15" customHeight="1">
      <c r="A11" s="18" t="s">
        <v>814</v>
      </c>
      <c r="B11" s="18" t="s">
        <v>815</v>
      </c>
      <c r="C11" s="18" t="s">
        <v>816</v>
      </c>
      <c r="D11" s="18" t="s">
        <v>817</v>
      </c>
      <c r="E11" s="18" t="s">
        <v>818</v>
      </c>
    </row>
    <row r="12" spans="1:7" ht="26.45" customHeight="1">
      <c r="A12" s="2" t="s">
        <v>819</v>
      </c>
      <c r="B12" s="2" t="s">
        <v>62</v>
      </c>
      <c r="C12" s="2" t="s">
        <v>820</v>
      </c>
      <c r="D12" s="2" t="s">
        <v>821</v>
      </c>
      <c r="E12" s="2" t="s">
        <v>822</v>
      </c>
    </row>
    <row r="13" spans="1:7" ht="15" customHeight="1">
      <c r="A13" s="2" t="s">
        <v>823</v>
      </c>
      <c r="B13" s="2" t="s">
        <v>71</v>
      </c>
      <c r="C13" s="2" t="s">
        <v>820</v>
      </c>
      <c r="D13" s="2" t="s">
        <v>824</v>
      </c>
      <c r="E13" s="2" t="s">
        <v>822</v>
      </c>
    </row>
    <row r="14" spans="1:7" ht="26.45" customHeight="1">
      <c r="A14" s="2" t="s">
        <v>825</v>
      </c>
      <c r="B14" s="2" t="s">
        <v>78</v>
      </c>
      <c r="C14" s="2" t="s">
        <v>826</v>
      </c>
      <c r="D14" s="2" t="s">
        <v>827</v>
      </c>
      <c r="E14" s="2" t="s">
        <v>217</v>
      </c>
    </row>
    <row r="15" spans="1:7" ht="26.45" customHeight="1">
      <c r="A15" s="2" t="s">
        <v>828</v>
      </c>
      <c r="B15" s="2" t="s">
        <v>86</v>
      </c>
      <c r="C15" s="2" t="s">
        <v>243</v>
      </c>
      <c r="D15" s="2" t="s">
        <v>829</v>
      </c>
      <c r="E15" s="2" t="s">
        <v>89</v>
      </c>
    </row>
    <row r="16" spans="1:7" ht="26.45" customHeight="1">
      <c r="A16" s="2" t="s">
        <v>830</v>
      </c>
      <c r="B16" s="2" t="s">
        <v>95</v>
      </c>
      <c r="C16" s="2" t="s">
        <v>820</v>
      </c>
      <c r="D16" s="2" t="s">
        <v>831</v>
      </c>
      <c r="E16" s="2" t="s">
        <v>832</v>
      </c>
    </row>
    <row r="17" spans="1:5" ht="26.45" customHeight="1">
      <c r="A17" s="2" t="s">
        <v>833</v>
      </c>
      <c r="B17" s="2" t="s">
        <v>102</v>
      </c>
      <c r="C17" s="2" t="s">
        <v>606</v>
      </c>
      <c r="D17" s="2" t="s">
        <v>834</v>
      </c>
      <c r="E17" s="2" t="s">
        <v>835</v>
      </c>
    </row>
    <row r="18" spans="1:5" ht="26.45" customHeight="1">
      <c r="A18" s="2" t="s">
        <v>836</v>
      </c>
      <c r="B18" s="2" t="s">
        <v>109</v>
      </c>
      <c r="C18" s="2" t="s">
        <v>586</v>
      </c>
      <c r="D18" s="2" t="s">
        <v>837</v>
      </c>
      <c r="E18" s="2" t="s">
        <v>838</v>
      </c>
    </row>
    <row r="19" spans="1:5" ht="26.45" customHeight="1">
      <c r="A19" s="2" t="s">
        <v>839</v>
      </c>
      <c r="B19" s="2" t="s">
        <v>117</v>
      </c>
      <c r="C19" s="2" t="s">
        <v>586</v>
      </c>
      <c r="D19" s="2" t="s">
        <v>840</v>
      </c>
      <c r="E19" s="2" t="s">
        <v>841</v>
      </c>
    </row>
    <row r="20" spans="1:5" ht="26.45" customHeight="1">
      <c r="A20" s="2" t="s">
        <v>842</v>
      </c>
      <c r="B20" s="2" t="s">
        <v>48</v>
      </c>
      <c r="C20" s="2" t="s">
        <v>586</v>
      </c>
      <c r="D20" s="2" t="s">
        <v>843</v>
      </c>
      <c r="E20" s="2" t="s">
        <v>844</v>
      </c>
    </row>
    <row r="21" spans="1:5" ht="15" customHeight="1">
      <c r="A21" s="2"/>
      <c r="B21" s="2"/>
      <c r="C21" s="2"/>
      <c r="D21" s="2"/>
      <c r="E21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15"/>
  <sheetViews>
    <sheetView zoomScale="80" zoomScaleNormal="80" workbookViewId="0">
      <pane xSplit="2" ySplit="4" topLeftCell="C5" activePane="bottomRight" state="frozenSplit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9" defaultRowHeight="14.25"/>
  <cols>
    <col min="1" max="1" width="38.625" customWidth="1"/>
    <col min="2" max="2" width="17.625" customWidth="1"/>
    <col min="3" max="3" width="12.625" customWidth="1"/>
    <col min="4" max="4" width="21.625" customWidth="1"/>
    <col min="5" max="5" width="29.625" customWidth="1"/>
    <col min="6" max="6" width="20.625" customWidth="1"/>
    <col min="7" max="7" width="14.625" customWidth="1"/>
    <col min="8" max="8" width="34.625" customWidth="1"/>
    <col min="9" max="9" width="24.625" customWidth="1"/>
    <col min="10" max="10" width="34.625" customWidth="1"/>
    <col min="11" max="11" width="30.625" customWidth="1"/>
    <col min="12" max="13" width="27.625" customWidth="1"/>
    <col min="14" max="15" width="12.625" customWidth="1"/>
    <col min="16" max="16" width="14.625" customWidth="1"/>
    <col min="17" max="17" width="12.625" customWidth="1"/>
    <col min="18" max="18" width="46.625" customWidth="1"/>
    <col min="19" max="19" width="20.625" customWidth="1"/>
    <col min="20" max="20" width="48.625" customWidth="1"/>
  </cols>
  <sheetData>
    <row r="1" spans="1:20" ht="33.6" customHeight="1">
      <c r="A1" s="50" t="s">
        <v>2495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</row>
    <row r="2" spans="1:20" ht="39.6" customHeight="1">
      <c r="A2" s="51" t="s">
        <v>2496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</row>
    <row r="3" spans="1:20" ht="15" customHeight="1"/>
    <row r="4" spans="1:20" ht="15" customHeight="1">
      <c r="A4" s="32" t="s">
        <v>395</v>
      </c>
      <c r="B4" s="32" t="s">
        <v>396</v>
      </c>
      <c r="C4" s="32" t="s">
        <v>845</v>
      </c>
      <c r="D4" s="32" t="s">
        <v>192</v>
      </c>
      <c r="E4" s="32" t="s">
        <v>652</v>
      </c>
      <c r="F4" s="32" t="s">
        <v>846</v>
      </c>
      <c r="G4" s="32" t="s">
        <v>146</v>
      </c>
      <c r="H4" s="32" t="s">
        <v>2497</v>
      </c>
      <c r="I4" s="32" t="s">
        <v>847</v>
      </c>
      <c r="J4" s="32" t="s">
        <v>470</v>
      </c>
      <c r="K4" s="2" t="s">
        <v>1832</v>
      </c>
      <c r="L4" s="2" t="s">
        <v>1833</v>
      </c>
      <c r="M4" s="2" t="s">
        <v>1834</v>
      </c>
      <c r="N4" s="2" t="s">
        <v>1835</v>
      </c>
      <c r="O4" s="2" t="s">
        <v>1836</v>
      </c>
      <c r="P4" s="2" t="s">
        <v>1837</v>
      </c>
      <c r="Q4" s="2" t="s">
        <v>1838</v>
      </c>
      <c r="R4" s="2" t="s">
        <v>1839</v>
      </c>
      <c r="S4" s="2" t="s">
        <v>1840</v>
      </c>
      <c r="T4" s="2" t="s">
        <v>1841</v>
      </c>
    </row>
    <row r="5" spans="1:20" ht="78" customHeight="1">
      <c r="A5" s="2" t="s">
        <v>295</v>
      </c>
      <c r="B5" s="2" t="s">
        <v>203</v>
      </c>
      <c r="C5" s="2" t="s">
        <v>44</v>
      </c>
      <c r="D5" s="2" t="s">
        <v>44</v>
      </c>
      <c r="E5" s="2" t="s">
        <v>1842</v>
      </c>
      <c r="F5" s="2" t="s">
        <v>44</v>
      </c>
      <c r="G5" s="2" t="s">
        <v>529</v>
      </c>
      <c r="H5" s="2" t="s">
        <v>529</v>
      </c>
      <c r="I5" s="2" t="s">
        <v>1844</v>
      </c>
      <c r="J5" s="2" t="s">
        <v>1845</v>
      </c>
      <c r="K5" s="2" t="s">
        <v>1846</v>
      </c>
      <c r="L5" s="2" t="s">
        <v>1847</v>
      </c>
      <c r="M5" s="2" t="s">
        <v>1848</v>
      </c>
      <c r="N5" s="34">
        <v>185</v>
      </c>
      <c r="O5" s="34">
        <v>73</v>
      </c>
      <c r="P5" s="34">
        <v>4</v>
      </c>
      <c r="Q5" s="34">
        <v>1</v>
      </c>
      <c r="R5" s="2" t="s">
        <v>1849</v>
      </c>
      <c r="S5" s="2" t="s">
        <v>1850</v>
      </c>
      <c r="T5" s="2" t="s">
        <v>1851</v>
      </c>
    </row>
    <row r="6" spans="1:20" ht="78" customHeight="1">
      <c r="A6" s="2" t="s">
        <v>238</v>
      </c>
      <c r="B6" s="2" t="s">
        <v>203</v>
      </c>
      <c r="C6" s="2" t="s">
        <v>44</v>
      </c>
      <c r="D6" s="2" t="s">
        <v>1852</v>
      </c>
      <c r="E6" s="2" t="s">
        <v>1853</v>
      </c>
      <c r="F6" s="2" t="s">
        <v>529</v>
      </c>
      <c r="G6" s="2" t="s">
        <v>529</v>
      </c>
      <c r="H6" s="2" t="s">
        <v>529</v>
      </c>
      <c r="I6" s="2" t="s">
        <v>95</v>
      </c>
      <c r="J6" s="2" t="s">
        <v>1854</v>
      </c>
      <c r="K6" s="2" t="s">
        <v>1855</v>
      </c>
      <c r="L6" s="2" t="s">
        <v>1856</v>
      </c>
      <c r="M6" s="2" t="s">
        <v>1857</v>
      </c>
      <c r="N6" s="34">
        <v>1</v>
      </c>
      <c r="O6" s="34">
        <v>0</v>
      </c>
      <c r="P6" s="34">
        <v>0</v>
      </c>
      <c r="Q6" s="34">
        <v>0</v>
      </c>
      <c r="R6" s="2" t="s">
        <v>1858</v>
      </c>
      <c r="S6" s="2" t="s">
        <v>1850</v>
      </c>
      <c r="T6" s="2" t="s">
        <v>1859</v>
      </c>
    </row>
    <row r="7" spans="1:20" ht="78" customHeight="1">
      <c r="A7" s="2" t="s">
        <v>202</v>
      </c>
      <c r="B7" s="2" t="s">
        <v>203</v>
      </c>
      <c r="C7" s="2" t="s">
        <v>44</v>
      </c>
      <c r="D7" s="2" t="s">
        <v>44</v>
      </c>
      <c r="E7" s="2" t="s">
        <v>674</v>
      </c>
      <c r="F7" s="2" t="s">
        <v>674</v>
      </c>
      <c r="G7" s="2" t="s">
        <v>529</v>
      </c>
      <c r="H7" s="2" t="s">
        <v>529</v>
      </c>
      <c r="I7" s="2" t="s">
        <v>379</v>
      </c>
      <c r="J7" s="2" t="s">
        <v>1860</v>
      </c>
      <c r="K7" s="2" t="s">
        <v>1861</v>
      </c>
      <c r="L7" s="2" t="s">
        <v>1862</v>
      </c>
      <c r="M7" s="2" t="s">
        <v>1863</v>
      </c>
      <c r="N7" s="34">
        <v>89</v>
      </c>
      <c r="O7" s="34">
        <v>18</v>
      </c>
      <c r="P7" s="34">
        <v>0</v>
      </c>
      <c r="Q7" s="34">
        <v>0</v>
      </c>
      <c r="R7" s="2" t="s">
        <v>1864</v>
      </c>
      <c r="S7" s="2" t="s">
        <v>1850</v>
      </c>
      <c r="T7" s="2" t="s">
        <v>1865</v>
      </c>
    </row>
    <row r="8" spans="1:20" ht="78" customHeight="1">
      <c r="A8" s="2" t="s">
        <v>244</v>
      </c>
      <c r="B8" s="2" t="s">
        <v>203</v>
      </c>
      <c r="C8" s="2" t="s">
        <v>44</v>
      </c>
      <c r="D8" s="2" t="s">
        <v>44</v>
      </c>
      <c r="E8" s="2" t="s">
        <v>674</v>
      </c>
      <c r="F8" s="2" t="s">
        <v>674</v>
      </c>
      <c r="G8" s="2" t="s">
        <v>529</v>
      </c>
      <c r="H8" s="2" t="s">
        <v>529</v>
      </c>
      <c r="I8" s="2" t="s">
        <v>1866</v>
      </c>
      <c r="J8" s="2" t="s">
        <v>1867</v>
      </c>
      <c r="K8" s="2" t="s">
        <v>1868</v>
      </c>
      <c r="L8" s="2" t="s">
        <v>1869</v>
      </c>
      <c r="M8" s="2" t="s">
        <v>1870</v>
      </c>
      <c r="N8" s="34">
        <v>113</v>
      </c>
      <c r="O8" s="34">
        <v>24</v>
      </c>
      <c r="P8" s="34">
        <v>0</v>
      </c>
      <c r="Q8" s="34">
        <v>0</v>
      </c>
      <c r="R8" s="2" t="s">
        <v>1871</v>
      </c>
      <c r="S8" s="2" t="s">
        <v>1850</v>
      </c>
      <c r="T8" s="2" t="s">
        <v>1872</v>
      </c>
    </row>
    <row r="9" spans="1:20" ht="78" customHeight="1">
      <c r="A9" s="2" t="s">
        <v>422</v>
      </c>
      <c r="B9" s="2" t="s">
        <v>203</v>
      </c>
      <c r="C9" s="2" t="s">
        <v>44</v>
      </c>
      <c r="D9" s="2" t="s">
        <v>1873</v>
      </c>
      <c r="E9" s="2" t="s">
        <v>1874</v>
      </c>
      <c r="F9" s="2" t="s">
        <v>529</v>
      </c>
      <c r="G9" s="2" t="s">
        <v>529</v>
      </c>
      <c r="H9" s="2" t="s">
        <v>529</v>
      </c>
      <c r="I9" s="2" t="s">
        <v>1875</v>
      </c>
      <c r="J9" s="2" t="s">
        <v>1876</v>
      </c>
      <c r="K9" s="2" t="s">
        <v>1877</v>
      </c>
      <c r="L9" s="2" t="s">
        <v>1878</v>
      </c>
      <c r="M9" s="2" t="s">
        <v>1879</v>
      </c>
      <c r="N9" s="34">
        <v>0</v>
      </c>
      <c r="O9" s="34">
        <v>0</v>
      </c>
      <c r="P9" s="34">
        <v>0</v>
      </c>
      <c r="Q9" s="34">
        <v>0</v>
      </c>
      <c r="R9" s="2" t="s">
        <v>1880</v>
      </c>
      <c r="S9" s="2" t="s">
        <v>1881</v>
      </c>
      <c r="T9" s="2" t="s">
        <v>1882</v>
      </c>
    </row>
    <row r="10" spans="1:20" ht="78" customHeight="1">
      <c r="A10" s="2" t="s">
        <v>431</v>
      </c>
      <c r="B10" s="2" t="s">
        <v>203</v>
      </c>
      <c r="C10" s="2" t="s">
        <v>44</v>
      </c>
      <c r="D10" s="2" t="s">
        <v>1883</v>
      </c>
      <c r="E10" s="2" t="s">
        <v>674</v>
      </c>
      <c r="F10" s="2" t="s">
        <v>674</v>
      </c>
      <c r="G10" s="2" t="s">
        <v>529</v>
      </c>
      <c r="H10" s="2" t="s">
        <v>2498</v>
      </c>
      <c r="I10" s="2" t="s">
        <v>435</v>
      </c>
      <c r="J10" s="2" t="s">
        <v>2499</v>
      </c>
      <c r="K10" s="2" t="s">
        <v>1884</v>
      </c>
      <c r="L10" s="2" t="s">
        <v>1885</v>
      </c>
      <c r="M10" s="2" t="s">
        <v>1886</v>
      </c>
      <c r="N10" s="34">
        <v>128</v>
      </c>
      <c r="O10" s="34">
        <v>12</v>
      </c>
      <c r="P10" s="34">
        <v>0</v>
      </c>
      <c r="Q10" s="34">
        <v>0</v>
      </c>
      <c r="R10" s="2" t="s">
        <v>1887</v>
      </c>
      <c r="S10" s="2" t="s">
        <v>1850</v>
      </c>
      <c r="T10" s="2" t="s">
        <v>2500</v>
      </c>
    </row>
    <row r="11" spans="1:20" ht="42" customHeight="1">
      <c r="A11" s="2" t="s">
        <v>1888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4">
        <f>SUM(N5:N10)</f>
        <v>516</v>
      </c>
      <c r="O11" s="34">
        <f>SUM(O5:O10)</f>
        <v>127</v>
      </c>
      <c r="P11" s="34">
        <f>SUM(P5:P10)</f>
        <v>4</v>
      </c>
      <c r="Q11" s="34">
        <f>SUM(Q5:Q10)</f>
        <v>1</v>
      </c>
      <c r="R11" s="2" t="s">
        <v>1889</v>
      </c>
      <c r="S11" s="2" t="str">
        <f>COUNTIF(S5:S10,"POSITIVO")&amp;" positivos; "&amp;COUNTIF(S5:S10,"NEGATIVO VÁLIDO")&amp;" negativos válidos; "&amp;COUNTIF(S5:S10,"NO CONCLUYENTE")&amp;" no concluyentes"</f>
        <v>5 positivos; 0 negativos válidos; 1 no concluyentes</v>
      </c>
      <c r="T11" s="2" t="s">
        <v>2501</v>
      </c>
    </row>
    <row r="12" spans="1:20" ht="33.950000000000003" customHeight="1">
      <c r="A12" s="52" t="s">
        <v>2502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</row>
    <row r="13" spans="1:20" ht="62.1" customHeight="1">
      <c r="A13" s="2" t="s">
        <v>260</v>
      </c>
      <c r="B13" s="2" t="s">
        <v>2503</v>
      </c>
      <c r="C13" s="2" t="s">
        <v>529</v>
      </c>
      <c r="D13" s="2" t="s">
        <v>2504</v>
      </c>
      <c r="E13" s="2" t="s">
        <v>2505</v>
      </c>
      <c r="F13" s="2" t="s">
        <v>529</v>
      </c>
      <c r="G13" s="2" t="s">
        <v>529</v>
      </c>
      <c r="H13" s="2" t="s">
        <v>529</v>
      </c>
      <c r="I13" s="2" t="s">
        <v>2506</v>
      </c>
      <c r="J13" s="2" t="s">
        <v>2507</v>
      </c>
      <c r="K13" s="2" t="s">
        <v>2508</v>
      </c>
      <c r="L13" s="2"/>
      <c r="M13" s="2"/>
      <c r="N13" s="34"/>
      <c r="O13" s="34"/>
      <c r="P13" s="34"/>
      <c r="Q13" s="34"/>
      <c r="R13" s="2"/>
      <c r="S13" s="2" t="s">
        <v>1923</v>
      </c>
      <c r="T13" s="2" t="s">
        <v>2509</v>
      </c>
    </row>
    <row r="14" spans="1:20" ht="62.1" customHeight="1">
      <c r="A14" s="2" t="s">
        <v>445</v>
      </c>
      <c r="B14" s="2" t="s">
        <v>632</v>
      </c>
      <c r="C14" s="2" t="s">
        <v>849</v>
      </c>
      <c r="D14" s="2" t="s">
        <v>2510</v>
      </c>
      <c r="E14" s="2" t="s">
        <v>2510</v>
      </c>
      <c r="F14" s="2" t="s">
        <v>448</v>
      </c>
      <c r="G14" s="2" t="s">
        <v>529</v>
      </c>
      <c r="H14" s="2" t="s">
        <v>529</v>
      </c>
      <c r="I14" s="2" t="s">
        <v>849</v>
      </c>
      <c r="J14" s="2" t="s">
        <v>2511</v>
      </c>
      <c r="K14" s="2" t="s">
        <v>2512</v>
      </c>
      <c r="L14" s="2"/>
      <c r="M14" s="2"/>
      <c r="N14" s="34"/>
      <c r="O14" s="34"/>
      <c r="P14" s="34"/>
      <c r="Q14" s="34"/>
      <c r="R14" s="2"/>
      <c r="S14" s="2" t="s">
        <v>1922</v>
      </c>
      <c r="T14" s="2" t="s">
        <v>2513</v>
      </c>
    </row>
    <row r="15" spans="1:20" ht="62.1" customHeight="1">
      <c r="A15" s="2" t="s">
        <v>850</v>
      </c>
      <c r="B15" s="2" t="s">
        <v>632</v>
      </c>
      <c r="C15" s="2" t="s">
        <v>849</v>
      </c>
      <c r="D15" s="2" t="s">
        <v>2510</v>
      </c>
      <c r="E15" s="2" t="s">
        <v>2510</v>
      </c>
      <c r="F15" s="2" t="s">
        <v>2514</v>
      </c>
      <c r="G15" s="2" t="s">
        <v>44</v>
      </c>
      <c r="H15" s="2" t="s">
        <v>529</v>
      </c>
      <c r="I15" s="2" t="s">
        <v>849</v>
      </c>
      <c r="J15" s="2" t="s">
        <v>2515</v>
      </c>
      <c r="K15" s="2" t="s">
        <v>2512</v>
      </c>
      <c r="L15" s="2"/>
      <c r="M15" s="2"/>
      <c r="N15" s="34"/>
      <c r="O15" s="34"/>
      <c r="P15" s="34"/>
      <c r="Q15" s="34"/>
      <c r="R15" s="2"/>
      <c r="S15" s="2" t="s">
        <v>1922</v>
      </c>
      <c r="T15" s="2" t="s">
        <v>2516</v>
      </c>
    </row>
  </sheetData>
  <autoFilter ref="A4:T10" xr:uid="{00000000-0001-0000-1000-000000000000}"/>
  <mergeCells count="3">
    <mergeCell ref="A1:T1"/>
    <mergeCell ref="A2:T2"/>
    <mergeCell ref="A12:T12"/>
  </mergeCells>
  <pageMargins left="0.7" right="0.7" top="0.75" bottom="0.75" header="0.3" footer="0.3"/>
  <pageSetup paperSize="9" scale="24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workbookViewId="0"/>
  </sheetViews>
  <sheetFormatPr baseColWidth="10" defaultColWidth="9" defaultRowHeight="14.25"/>
  <cols>
    <col min="1" max="1" width="34" customWidth="1"/>
    <col min="2" max="2" width="28" customWidth="1"/>
    <col min="3" max="5" width="58" customWidth="1"/>
  </cols>
  <sheetData>
    <row r="1" spans="1:5" ht="16.7" customHeight="1">
      <c r="A1" s="16" t="s">
        <v>851</v>
      </c>
      <c r="B1" s="16"/>
      <c r="C1" s="16"/>
      <c r="D1" s="16"/>
      <c r="E1" s="16"/>
    </row>
    <row r="2" spans="1:5" ht="52.7" customHeight="1">
      <c r="A2" s="17" t="s">
        <v>852</v>
      </c>
      <c r="B2" s="17"/>
      <c r="C2" s="17"/>
      <c r="D2" s="17"/>
      <c r="E2" s="17"/>
    </row>
    <row r="3" spans="1:5" ht="15" customHeight="1"/>
    <row r="4" spans="1:5" ht="15" customHeight="1">
      <c r="A4" s="18" t="s">
        <v>853</v>
      </c>
      <c r="B4" s="18" t="s">
        <v>854</v>
      </c>
      <c r="C4" s="18" t="s">
        <v>855</v>
      </c>
      <c r="D4" s="18" t="s">
        <v>58</v>
      </c>
      <c r="E4" s="18" t="s">
        <v>856</v>
      </c>
    </row>
    <row r="5" spans="1:5" ht="26.45" customHeight="1">
      <c r="A5" s="2" t="s">
        <v>857</v>
      </c>
      <c r="B5" s="2" t="s">
        <v>858</v>
      </c>
      <c r="C5" s="2" t="s">
        <v>859</v>
      </c>
      <c r="D5" s="2" t="s">
        <v>860</v>
      </c>
      <c r="E5" s="2" t="s">
        <v>861</v>
      </c>
    </row>
    <row r="6" spans="1:5" ht="15" customHeight="1">
      <c r="A6" s="2" t="s">
        <v>862</v>
      </c>
      <c r="B6" s="2" t="s">
        <v>863</v>
      </c>
      <c r="C6" s="2" t="s">
        <v>864</v>
      </c>
      <c r="D6" s="2" t="s">
        <v>865</v>
      </c>
      <c r="E6" s="2" t="s">
        <v>866</v>
      </c>
    </row>
    <row r="7" spans="1:5" ht="26.45" customHeight="1">
      <c r="A7" s="2" t="s">
        <v>867</v>
      </c>
      <c r="B7" s="2" t="s">
        <v>868</v>
      </c>
      <c r="C7" s="2" t="s">
        <v>869</v>
      </c>
      <c r="D7" s="2" t="s">
        <v>870</v>
      </c>
      <c r="E7" s="2" t="s">
        <v>871</v>
      </c>
    </row>
    <row r="8" spans="1:5" ht="15" customHeight="1">
      <c r="A8" s="2" t="s">
        <v>872</v>
      </c>
      <c r="B8" s="2" t="s">
        <v>873</v>
      </c>
      <c r="C8" s="2" t="s">
        <v>874</v>
      </c>
      <c r="D8" s="2" t="s">
        <v>875</v>
      </c>
      <c r="E8" s="2" t="s">
        <v>876</v>
      </c>
    </row>
    <row r="9" spans="1:5" ht="26.45" customHeight="1">
      <c r="A9" s="2" t="s">
        <v>877</v>
      </c>
      <c r="B9" s="2" t="s">
        <v>878</v>
      </c>
      <c r="C9" s="2" t="s">
        <v>879</v>
      </c>
      <c r="D9" s="2" t="s">
        <v>880</v>
      </c>
      <c r="E9" s="2" t="s">
        <v>881</v>
      </c>
    </row>
    <row r="10" spans="1:5" ht="26.45" customHeight="1">
      <c r="A10" s="2" t="s">
        <v>882</v>
      </c>
      <c r="B10" s="2" t="s">
        <v>883</v>
      </c>
      <c r="C10" s="2" t="s">
        <v>884</v>
      </c>
      <c r="D10" s="2" t="s">
        <v>885</v>
      </c>
      <c r="E10" s="2" t="s">
        <v>886</v>
      </c>
    </row>
    <row r="11" spans="1:5" ht="26.45" customHeight="1">
      <c r="A11" s="2" t="s">
        <v>887</v>
      </c>
      <c r="B11" s="2" t="s">
        <v>888</v>
      </c>
      <c r="C11" s="2" t="s">
        <v>889</v>
      </c>
      <c r="D11" s="2" t="s">
        <v>890</v>
      </c>
      <c r="E11" s="2" t="s">
        <v>891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9"/>
  <sheetViews>
    <sheetView workbookViewId="0">
      <selection activeCell="A15" sqref="A15:D19"/>
    </sheetView>
  </sheetViews>
  <sheetFormatPr baseColWidth="10" defaultColWidth="9" defaultRowHeight="14.25"/>
  <cols>
    <col min="1" max="1" width="14" customWidth="1"/>
    <col min="2" max="2" width="28" customWidth="1"/>
    <col min="3" max="3" width="72" customWidth="1"/>
    <col min="4" max="4" width="48" customWidth="1"/>
  </cols>
  <sheetData>
    <row r="1" spans="1:4" ht="67.150000000000006" customHeight="1">
      <c r="A1" s="16" t="s">
        <v>892</v>
      </c>
      <c r="B1" s="16"/>
      <c r="C1" s="16"/>
      <c r="D1" s="16"/>
    </row>
    <row r="2" spans="1:4" ht="66" customHeight="1">
      <c r="A2" s="17" t="s">
        <v>893</v>
      </c>
      <c r="B2" s="17"/>
      <c r="C2" s="17"/>
      <c r="D2" s="17"/>
    </row>
    <row r="3" spans="1:4" ht="15" customHeight="1"/>
    <row r="4" spans="1:4" ht="15" customHeight="1">
      <c r="A4" s="18" t="s">
        <v>894</v>
      </c>
      <c r="B4" s="18" t="s">
        <v>895</v>
      </c>
      <c r="C4" s="18" t="s">
        <v>896</v>
      </c>
      <c r="D4" s="18" t="s">
        <v>33</v>
      </c>
    </row>
    <row r="5" spans="1:4" ht="26.45" customHeight="1">
      <c r="A5" s="2" t="s">
        <v>897</v>
      </c>
      <c r="B5" s="2" t="s">
        <v>898</v>
      </c>
      <c r="C5" s="2" t="s">
        <v>899</v>
      </c>
      <c r="D5" s="2" t="s">
        <v>900</v>
      </c>
    </row>
    <row r="6" spans="1:4" ht="26.45" customHeight="1">
      <c r="A6" s="2" t="s">
        <v>901</v>
      </c>
      <c r="B6" s="2" t="s">
        <v>902</v>
      </c>
      <c r="C6" s="2" t="s">
        <v>2103</v>
      </c>
      <c r="D6" s="2" t="s">
        <v>2104</v>
      </c>
    </row>
    <row r="7" spans="1:4" ht="26.45" customHeight="1">
      <c r="A7" s="2" t="s">
        <v>903</v>
      </c>
      <c r="B7" s="2" t="s">
        <v>904</v>
      </c>
      <c r="C7" s="2" t="s">
        <v>905</v>
      </c>
      <c r="D7" s="2" t="s">
        <v>906</v>
      </c>
    </row>
    <row r="8" spans="1:4" ht="15" customHeight="1">
      <c r="A8" s="2" t="s">
        <v>907</v>
      </c>
      <c r="B8" s="2" t="s">
        <v>613</v>
      </c>
      <c r="C8" s="2" t="s">
        <v>908</v>
      </c>
      <c r="D8" s="2" t="s">
        <v>909</v>
      </c>
    </row>
    <row r="9" spans="1:4" ht="26.45" customHeight="1">
      <c r="A9" s="2" t="s">
        <v>910</v>
      </c>
      <c r="B9" s="2" t="s">
        <v>911</v>
      </c>
      <c r="C9" s="2" t="s">
        <v>912</v>
      </c>
      <c r="D9" s="2" t="s">
        <v>913</v>
      </c>
    </row>
    <row r="10" spans="1:4" ht="15" customHeight="1">
      <c r="A10" s="2" t="s">
        <v>914</v>
      </c>
      <c r="B10" s="2" t="s">
        <v>915</v>
      </c>
      <c r="C10" s="2" t="s">
        <v>916</v>
      </c>
      <c r="D10" s="2" t="s">
        <v>917</v>
      </c>
    </row>
    <row r="11" spans="1:4" ht="15" customHeight="1">
      <c r="A11" s="2" t="s">
        <v>918</v>
      </c>
      <c r="B11" s="2" t="s">
        <v>919</v>
      </c>
      <c r="C11" s="2" t="s">
        <v>920</v>
      </c>
      <c r="D11" s="2" t="s">
        <v>921</v>
      </c>
    </row>
    <row r="12" spans="1:4" ht="15" customHeight="1">
      <c r="A12" s="2" t="s">
        <v>922</v>
      </c>
      <c r="B12" s="2" t="s">
        <v>923</v>
      </c>
      <c r="C12" s="2" t="s">
        <v>924</v>
      </c>
      <c r="D12" s="2" t="s">
        <v>925</v>
      </c>
    </row>
    <row r="13" spans="1:4" ht="15" customHeight="1">
      <c r="A13" s="2" t="s">
        <v>926</v>
      </c>
      <c r="B13" s="2" t="s">
        <v>721</v>
      </c>
      <c r="C13" s="2" t="s">
        <v>927</v>
      </c>
      <c r="D13" s="2" t="s">
        <v>928</v>
      </c>
    </row>
    <row r="14" spans="1:4" ht="15" customHeight="1">
      <c r="A14" s="2" t="s">
        <v>929</v>
      </c>
      <c r="B14" s="2" t="s">
        <v>930</v>
      </c>
      <c r="C14" s="2" t="s">
        <v>931</v>
      </c>
      <c r="D14" s="2" t="s">
        <v>932</v>
      </c>
    </row>
    <row r="15" spans="1:4" ht="15" customHeight="1">
      <c r="A15" s="2" t="s">
        <v>2105</v>
      </c>
      <c r="B15" s="2" t="s">
        <v>2057</v>
      </c>
      <c r="C15" s="2" t="s">
        <v>2106</v>
      </c>
      <c r="D15" s="2" t="s">
        <v>2107</v>
      </c>
    </row>
    <row r="16" spans="1:4" ht="15" customHeight="1">
      <c r="A16" s="2" t="s">
        <v>2108</v>
      </c>
      <c r="B16" s="2" t="s">
        <v>2109</v>
      </c>
      <c r="C16" s="2" t="s">
        <v>2110</v>
      </c>
      <c r="D16" s="2" t="s">
        <v>2111</v>
      </c>
    </row>
    <row r="17" spans="1:4" ht="15" customHeight="1">
      <c r="A17" s="2" t="s">
        <v>2112</v>
      </c>
      <c r="B17" s="2" t="s">
        <v>2041</v>
      </c>
      <c r="C17" s="2" t="s">
        <v>2113</v>
      </c>
      <c r="D17" s="2" t="s">
        <v>2114</v>
      </c>
    </row>
    <row r="18" spans="1:4" ht="15" customHeight="1">
      <c r="A18" s="2" t="s">
        <v>2115</v>
      </c>
      <c r="B18" s="2" t="s">
        <v>2116</v>
      </c>
      <c r="C18" s="2" t="s">
        <v>2117</v>
      </c>
      <c r="D18" s="2" t="s">
        <v>2118</v>
      </c>
    </row>
    <row r="19" spans="1:4" ht="15" customHeight="1">
      <c r="A19" s="2" t="s">
        <v>2119</v>
      </c>
      <c r="B19" s="2" t="s">
        <v>2120</v>
      </c>
      <c r="C19" s="2" t="s">
        <v>2532</v>
      </c>
      <c r="D19" s="2" t="s">
        <v>2533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094A-CA41-4AB2-A08D-B553716A0FE6}">
  <dimension ref="A1:B15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19" customWidth="1"/>
    <col min="2" max="2" width="12.625" style="19" customWidth="1"/>
    <col min="3" max="16384" width="11" style="19"/>
  </cols>
  <sheetData>
    <row r="1" spans="1:2" ht="27.95" customHeight="1">
      <c r="A1" s="21" t="s">
        <v>933</v>
      </c>
    </row>
    <row r="2" spans="1:2" ht="36" customHeight="1">
      <c r="A2" s="22" t="s">
        <v>1826</v>
      </c>
    </row>
    <row r="4" spans="1:2">
      <c r="A4" s="23" t="s">
        <v>934</v>
      </c>
      <c r="B4" s="23" t="s">
        <v>935</v>
      </c>
    </row>
    <row r="5" spans="1:2">
      <c r="A5" s="24" t="s">
        <v>520</v>
      </c>
      <c r="B5" s="24" t="s">
        <v>936</v>
      </c>
    </row>
    <row r="6" spans="1:2">
      <c r="A6" s="24" t="s">
        <v>1827</v>
      </c>
      <c r="B6" s="24" t="s">
        <v>1828</v>
      </c>
    </row>
    <row r="7" spans="1:2">
      <c r="A7" s="24" t="s">
        <v>937</v>
      </c>
      <c r="B7" s="24" t="s">
        <v>938</v>
      </c>
    </row>
    <row r="8" spans="1:2">
      <c r="A8" s="24" t="s">
        <v>939</v>
      </c>
      <c r="B8" s="24" t="s">
        <v>940</v>
      </c>
    </row>
    <row r="9" spans="1:2">
      <c r="A9" s="24" t="s">
        <v>941</v>
      </c>
      <c r="B9" s="24" t="s">
        <v>942</v>
      </c>
    </row>
    <row r="10" spans="1:2">
      <c r="A10" s="24" t="s">
        <v>943</v>
      </c>
      <c r="B10" s="24" t="s">
        <v>944</v>
      </c>
    </row>
    <row r="11" spans="1:2">
      <c r="A11" s="24" t="s">
        <v>945</v>
      </c>
      <c r="B11" s="24" t="s">
        <v>946</v>
      </c>
    </row>
    <row r="12" spans="1:2">
      <c r="A12" s="24" t="s">
        <v>947</v>
      </c>
      <c r="B12" s="24" t="s">
        <v>948</v>
      </c>
    </row>
    <row r="13" spans="1:2">
      <c r="A13" s="24" t="s">
        <v>949</v>
      </c>
      <c r="B13" s="24" t="s">
        <v>2537</v>
      </c>
    </row>
    <row r="14" spans="1:2" ht="76.5">
      <c r="A14" s="31" t="s">
        <v>1829</v>
      </c>
      <c r="B14" s="31" t="s">
        <v>1830</v>
      </c>
    </row>
    <row r="15" spans="1:2" ht="140.25">
      <c r="A15" s="31" t="s">
        <v>1831</v>
      </c>
      <c r="B15" s="31" t="s">
        <v>2538</v>
      </c>
    </row>
  </sheetData>
  <autoFilter ref="A4:B15" xr:uid="{0DA0094A-CA41-4AB2-A08D-B553716A0FE6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24E7-58F0-439B-A60E-C703606ADF37}">
  <dimension ref="A1:C33"/>
  <sheetViews>
    <sheetView showGridLines="0" workbookViewId="0">
      <pane ySplit="4" topLeftCell="A5" activePane="bottomLeft" state="frozenSplit"/>
      <selection pane="bottomLeft" activeCell="A25" sqref="A25:C33"/>
    </sheetView>
  </sheetViews>
  <sheetFormatPr baseColWidth="10" defaultRowHeight="12.75"/>
  <cols>
    <col min="1" max="1" width="37.625" style="19" customWidth="1"/>
    <col min="2" max="2" width="18.625" style="19" customWidth="1"/>
    <col min="3" max="3" width="66.625" style="19" customWidth="1"/>
    <col min="4" max="16384" width="11" style="19"/>
  </cols>
  <sheetData>
    <row r="1" spans="1:3" ht="32.1" customHeight="1">
      <c r="A1" s="21" t="s">
        <v>950</v>
      </c>
    </row>
    <row r="2" spans="1:3" ht="36" customHeight="1">
      <c r="A2" s="22" t="s">
        <v>951</v>
      </c>
    </row>
    <row r="4" spans="1:3">
      <c r="A4" s="23" t="s">
        <v>31</v>
      </c>
      <c r="B4" s="23" t="s">
        <v>935</v>
      </c>
      <c r="C4" s="23" t="s">
        <v>952</v>
      </c>
    </row>
    <row r="5" spans="1:3">
      <c r="A5" s="24" t="s">
        <v>953</v>
      </c>
      <c r="B5" s="24">
        <v>9</v>
      </c>
      <c r="C5" s="24" t="s">
        <v>379</v>
      </c>
    </row>
    <row r="6" spans="1:3">
      <c r="A6" s="24" t="s">
        <v>954</v>
      </c>
      <c r="B6" s="24">
        <v>9</v>
      </c>
      <c r="C6" s="24" t="s">
        <v>955</v>
      </c>
    </row>
    <row r="7" spans="1:3">
      <c r="A7" s="24" t="s">
        <v>956</v>
      </c>
      <c r="B7" s="24">
        <v>9</v>
      </c>
      <c r="C7" s="24"/>
    </row>
    <row r="8" spans="1:3">
      <c r="A8" s="24" t="s">
        <v>957</v>
      </c>
      <c r="B8" s="24">
        <v>0</v>
      </c>
      <c r="C8" s="24"/>
    </row>
    <row r="9" spans="1:3">
      <c r="A9" s="24" t="s">
        <v>958</v>
      </c>
      <c r="B9" s="24">
        <v>0</v>
      </c>
      <c r="C9" s="24"/>
    </row>
    <row r="10" spans="1:3">
      <c r="A10" s="24" t="s">
        <v>959</v>
      </c>
      <c r="B10" s="24">
        <v>10</v>
      </c>
      <c r="C10" s="24" t="s">
        <v>960</v>
      </c>
    </row>
    <row r="11" spans="1:3">
      <c r="A11" s="24" t="s">
        <v>961</v>
      </c>
      <c r="B11" s="24">
        <v>10</v>
      </c>
      <c r="C11" s="24"/>
    </row>
    <row r="12" spans="1:3">
      <c r="A12" s="24" t="s">
        <v>962</v>
      </c>
      <c r="B12" s="24">
        <v>0</v>
      </c>
      <c r="C12" s="24"/>
    </row>
    <row r="13" spans="1:3">
      <c r="A13" s="24" t="s">
        <v>963</v>
      </c>
      <c r="B13" s="24">
        <v>0</v>
      </c>
      <c r="C13" s="24"/>
    </row>
    <row r="14" spans="1:3">
      <c r="A14" s="24" t="s">
        <v>964</v>
      </c>
      <c r="B14" s="24">
        <v>0</v>
      </c>
      <c r="C14" s="24"/>
    </row>
    <row r="15" spans="1:3">
      <c r="A15" s="24" t="s">
        <v>965</v>
      </c>
      <c r="B15" s="24">
        <v>379</v>
      </c>
      <c r="C15" s="24" t="s">
        <v>966</v>
      </c>
    </row>
    <row r="16" spans="1:3">
      <c r="A16" s="24" t="s">
        <v>967</v>
      </c>
      <c r="B16" s="24">
        <v>19</v>
      </c>
      <c r="C16" s="24"/>
    </row>
    <row r="17" spans="1:3">
      <c r="A17" s="24" t="s">
        <v>968</v>
      </c>
      <c r="B17" s="24">
        <v>118</v>
      </c>
      <c r="C17" s="24"/>
    </row>
    <row r="18" spans="1:3">
      <c r="A18" s="24" t="s">
        <v>969</v>
      </c>
      <c r="B18" s="24">
        <v>109</v>
      </c>
      <c r="C18" s="24"/>
    </row>
    <row r="19" spans="1:3">
      <c r="A19" s="24" t="s">
        <v>970</v>
      </c>
      <c r="B19" s="24">
        <v>133</v>
      </c>
      <c r="C19" s="24"/>
    </row>
    <row r="20" spans="1:3">
      <c r="A20" s="24" t="s">
        <v>971</v>
      </c>
      <c r="B20" s="24">
        <v>0</v>
      </c>
      <c r="C20" s="24" t="s">
        <v>972</v>
      </c>
    </row>
    <row r="21" spans="1:3">
      <c r="A21" s="24" t="s">
        <v>973</v>
      </c>
      <c r="B21" s="24">
        <v>58</v>
      </c>
      <c r="C21" s="24"/>
    </row>
    <row r="22" spans="1:3">
      <c r="A22" s="24" t="s">
        <v>974</v>
      </c>
      <c r="B22" s="24">
        <v>110</v>
      </c>
      <c r="C22" s="24"/>
    </row>
    <row r="23" spans="1:3">
      <c r="A23" s="24" t="s">
        <v>975</v>
      </c>
      <c r="B23" s="24">
        <v>5</v>
      </c>
      <c r="C23" s="24" t="s">
        <v>976</v>
      </c>
    </row>
    <row r="24" spans="1:3">
      <c r="A24" s="24" t="s">
        <v>977</v>
      </c>
      <c r="B24" s="24">
        <v>1</v>
      </c>
      <c r="C24" s="24" t="s">
        <v>978</v>
      </c>
    </row>
    <row r="25" spans="1:3">
      <c r="A25" s="37" t="s">
        <v>1796</v>
      </c>
      <c r="B25" s="37">
        <v>6</v>
      </c>
      <c r="C25" s="37" t="s">
        <v>2031</v>
      </c>
    </row>
    <row r="26" spans="1:3">
      <c r="A26" s="37" t="s">
        <v>2032</v>
      </c>
      <c r="B26" s="37">
        <v>5</v>
      </c>
      <c r="C26" s="37" t="s">
        <v>2033</v>
      </c>
    </row>
    <row r="27" spans="1:3">
      <c r="A27" s="37" t="s">
        <v>2034</v>
      </c>
      <c r="B27" s="37">
        <v>1</v>
      </c>
      <c r="C27" s="37" t="s">
        <v>2035</v>
      </c>
    </row>
    <row r="28" spans="1:3">
      <c r="A28" s="37" t="s">
        <v>1804</v>
      </c>
      <c r="B28" s="37">
        <v>516</v>
      </c>
      <c r="C28" s="37" t="s">
        <v>2036</v>
      </c>
    </row>
    <row r="29" spans="1:3">
      <c r="A29" s="37" t="s">
        <v>1806</v>
      </c>
      <c r="B29" s="37">
        <v>127</v>
      </c>
      <c r="C29" s="37" t="s">
        <v>2037</v>
      </c>
    </row>
    <row r="30" spans="1:3">
      <c r="A30" s="37" t="s">
        <v>2038</v>
      </c>
      <c r="B30" s="37">
        <v>3</v>
      </c>
      <c r="C30" s="37" t="s">
        <v>2039</v>
      </c>
    </row>
    <row r="31" spans="1:3">
      <c r="A31" s="37" t="s">
        <v>1808</v>
      </c>
      <c r="B31" s="37">
        <v>4</v>
      </c>
      <c r="C31" s="37" t="s">
        <v>2040</v>
      </c>
    </row>
    <row r="32" spans="1:3" ht="25.5">
      <c r="A32" s="37" t="s">
        <v>2041</v>
      </c>
      <c r="B32" s="37">
        <v>3</v>
      </c>
      <c r="C32" s="37" t="s">
        <v>2517</v>
      </c>
    </row>
    <row r="33" spans="1:3" ht="25.5">
      <c r="A33" s="37" t="s">
        <v>2042</v>
      </c>
      <c r="B33" s="37" t="s">
        <v>2043</v>
      </c>
      <c r="C33" s="37" t="s">
        <v>2518</v>
      </c>
    </row>
  </sheetData>
  <autoFilter ref="A4:C33" xr:uid="{CAFD24E7-58F0-439B-A60E-C703606ADF37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4CA7-196B-4F70-8E59-A6FAF778872F}">
  <dimension ref="A1:T1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5" width="18.625" style="19" customWidth="1"/>
    <col min="6" max="7" width="22.625" style="19" customWidth="1"/>
    <col min="8" max="8" width="12.625" style="19" customWidth="1"/>
    <col min="9" max="9" width="18.625" style="19" customWidth="1"/>
    <col min="10" max="10" width="12.625" style="19" customWidth="1"/>
    <col min="11" max="17" width="18.625" style="19" customWidth="1"/>
    <col min="18" max="20" width="42.625" style="19" customWidth="1"/>
    <col min="21" max="16384" width="11" style="19"/>
  </cols>
  <sheetData>
    <row r="1" spans="1:20" ht="27.95" customHeight="1">
      <c r="A1" s="21" t="s">
        <v>979</v>
      </c>
    </row>
    <row r="2" spans="1:20" ht="36" customHeight="1">
      <c r="A2" s="22" t="s">
        <v>980</v>
      </c>
    </row>
    <row r="4" spans="1:20" ht="25.5">
      <c r="A4" s="23" t="s">
        <v>981</v>
      </c>
      <c r="B4" s="23" t="s">
        <v>136</v>
      </c>
      <c r="C4" s="23" t="s">
        <v>982</v>
      </c>
      <c r="D4" s="23" t="s">
        <v>983</v>
      </c>
      <c r="E4" s="23" t="s">
        <v>984</v>
      </c>
      <c r="F4" s="23" t="s">
        <v>985</v>
      </c>
      <c r="G4" s="23" t="s">
        <v>986</v>
      </c>
      <c r="H4" s="23" t="s">
        <v>987</v>
      </c>
      <c r="I4" s="23" t="s">
        <v>988</v>
      </c>
      <c r="J4" s="23" t="s">
        <v>989</v>
      </c>
      <c r="K4" s="23" t="s">
        <v>990</v>
      </c>
      <c r="L4" s="23" t="s">
        <v>991</v>
      </c>
      <c r="M4" s="23" t="s">
        <v>992</v>
      </c>
      <c r="N4" s="23" t="s">
        <v>993</v>
      </c>
      <c r="O4" s="23" t="s">
        <v>994</v>
      </c>
      <c r="P4" s="23" t="s">
        <v>995</v>
      </c>
      <c r="Q4" s="23" t="s">
        <v>996</v>
      </c>
      <c r="R4" s="23" t="s">
        <v>997</v>
      </c>
      <c r="S4" s="23" t="s">
        <v>998</v>
      </c>
      <c r="T4" s="23" t="s">
        <v>999</v>
      </c>
    </row>
    <row r="5" spans="1:20">
      <c r="A5" s="24" t="s">
        <v>62</v>
      </c>
      <c r="B5" s="24" t="s">
        <v>63</v>
      </c>
      <c r="C5" s="24" t="s">
        <v>64</v>
      </c>
      <c r="D5" s="24" t="s">
        <v>65</v>
      </c>
      <c r="E5" s="24" t="s">
        <v>1000</v>
      </c>
      <c r="F5" s="24" t="s">
        <v>1001</v>
      </c>
      <c r="G5" s="24" t="s">
        <v>1002</v>
      </c>
      <c r="H5" s="24">
        <v>7.13</v>
      </c>
      <c r="I5" s="24" t="s">
        <v>955</v>
      </c>
      <c r="J5" s="24">
        <v>4</v>
      </c>
      <c r="K5" s="24">
        <v>3</v>
      </c>
      <c r="L5" s="24">
        <v>0</v>
      </c>
      <c r="M5" s="24" t="s">
        <v>1003</v>
      </c>
      <c r="N5" s="24" t="s">
        <v>1003</v>
      </c>
      <c r="O5" s="24" t="s">
        <v>1004</v>
      </c>
      <c r="P5" s="24" t="s">
        <v>1005</v>
      </c>
      <c r="Q5" s="24" t="s">
        <v>1006</v>
      </c>
      <c r="R5" s="24" t="s">
        <v>1007</v>
      </c>
      <c r="S5" s="24" t="s">
        <v>1008</v>
      </c>
      <c r="T5" s="24"/>
    </row>
    <row r="6" spans="1:20">
      <c r="A6" s="24" t="s">
        <v>71</v>
      </c>
      <c r="B6" s="24" t="s">
        <v>72</v>
      </c>
      <c r="C6" s="24" t="s">
        <v>73</v>
      </c>
      <c r="D6" s="24" t="s">
        <v>65</v>
      </c>
      <c r="E6" s="24" t="s">
        <v>1000</v>
      </c>
      <c r="F6" s="24" t="s">
        <v>1009</v>
      </c>
      <c r="G6" s="24" t="s">
        <v>1010</v>
      </c>
      <c r="H6" s="24">
        <v>2.72</v>
      </c>
      <c r="I6" s="24" t="s">
        <v>955</v>
      </c>
      <c r="J6" s="24">
        <v>4</v>
      </c>
      <c r="K6" s="24">
        <v>1</v>
      </c>
      <c r="L6" s="24">
        <v>0</v>
      </c>
      <c r="M6" s="24" t="s">
        <v>1003</v>
      </c>
      <c r="N6" s="24" t="s">
        <v>1003</v>
      </c>
      <c r="O6" s="24" t="s">
        <v>1004</v>
      </c>
      <c r="P6" s="24" t="s">
        <v>1005</v>
      </c>
      <c r="Q6" s="24" t="s">
        <v>1006</v>
      </c>
      <c r="R6" s="24" t="s">
        <v>1011</v>
      </c>
      <c r="S6" s="24" t="s">
        <v>1012</v>
      </c>
      <c r="T6" s="24"/>
    </row>
    <row r="7" spans="1:20">
      <c r="A7" s="24" t="s">
        <v>78</v>
      </c>
      <c r="B7" s="24" t="s">
        <v>79</v>
      </c>
      <c r="C7" s="24" t="s">
        <v>80</v>
      </c>
      <c r="D7" s="24" t="s">
        <v>1013</v>
      </c>
      <c r="E7" s="24" t="s">
        <v>1000</v>
      </c>
      <c r="F7" s="24" t="s">
        <v>1014</v>
      </c>
      <c r="G7" s="24" t="s">
        <v>1015</v>
      </c>
      <c r="H7" s="24">
        <v>7.23</v>
      </c>
      <c r="I7" s="24" t="s">
        <v>955</v>
      </c>
      <c r="J7" s="24">
        <v>6</v>
      </c>
      <c r="K7" s="24">
        <v>0</v>
      </c>
      <c r="L7" s="24">
        <v>0</v>
      </c>
      <c r="M7" s="24" t="s">
        <v>1003</v>
      </c>
      <c r="N7" s="24" t="s">
        <v>1003</v>
      </c>
      <c r="O7" s="24" t="s">
        <v>1004</v>
      </c>
      <c r="P7" s="24" t="s">
        <v>1005</v>
      </c>
      <c r="Q7" s="24" t="s">
        <v>1006</v>
      </c>
      <c r="R7" s="24" t="s">
        <v>1016</v>
      </c>
      <c r="S7" s="24" t="s">
        <v>1017</v>
      </c>
      <c r="T7" s="24"/>
    </row>
    <row r="8" spans="1:20">
      <c r="A8" s="24" t="s">
        <v>86</v>
      </c>
      <c r="B8" s="24" t="s">
        <v>87</v>
      </c>
      <c r="C8" s="24" t="s">
        <v>1018</v>
      </c>
      <c r="D8" s="24" t="s">
        <v>1019</v>
      </c>
      <c r="E8" s="24" t="s">
        <v>1000</v>
      </c>
      <c r="F8" s="24" t="s">
        <v>1020</v>
      </c>
      <c r="G8" s="24" t="s">
        <v>1021</v>
      </c>
      <c r="H8" s="24">
        <v>5.0999999999999996</v>
      </c>
      <c r="I8" s="24" t="s">
        <v>955</v>
      </c>
      <c r="J8" s="24">
        <v>5</v>
      </c>
      <c r="K8" s="24">
        <v>0</v>
      </c>
      <c r="L8" s="24">
        <v>0</v>
      </c>
      <c r="M8" s="24" t="s">
        <v>1003</v>
      </c>
      <c r="N8" s="24" t="s">
        <v>1003</v>
      </c>
      <c r="O8" s="24" t="s">
        <v>1004</v>
      </c>
      <c r="P8" s="24" t="s">
        <v>1022</v>
      </c>
      <c r="Q8" s="24" t="s">
        <v>1006</v>
      </c>
      <c r="R8" s="24" t="s">
        <v>1023</v>
      </c>
      <c r="S8" s="24" t="s">
        <v>1024</v>
      </c>
      <c r="T8" s="24"/>
    </row>
    <row r="9" spans="1:20">
      <c r="A9" s="24" t="s">
        <v>95</v>
      </c>
      <c r="B9" s="24" t="s">
        <v>96</v>
      </c>
      <c r="C9" s="24" t="s">
        <v>97</v>
      </c>
      <c r="D9" s="24" t="s">
        <v>1013</v>
      </c>
      <c r="E9" s="24" t="s">
        <v>1000</v>
      </c>
      <c r="F9" s="24" t="s">
        <v>1025</v>
      </c>
      <c r="G9" s="24" t="s">
        <v>1026</v>
      </c>
      <c r="H9" s="24">
        <v>9.26</v>
      </c>
      <c r="I9" s="24" t="s">
        <v>955</v>
      </c>
      <c r="J9" s="24">
        <v>6</v>
      </c>
      <c r="K9" s="24">
        <v>0</v>
      </c>
      <c r="L9" s="24">
        <v>4</v>
      </c>
      <c r="M9" s="24" t="s">
        <v>1003</v>
      </c>
      <c r="N9" s="24" t="s">
        <v>1003</v>
      </c>
      <c r="O9" s="24" t="s">
        <v>1004</v>
      </c>
      <c r="P9" s="24" t="s">
        <v>1022</v>
      </c>
      <c r="Q9" s="24" t="s">
        <v>1006</v>
      </c>
      <c r="R9" s="24" t="s">
        <v>1027</v>
      </c>
      <c r="S9" s="24" t="s">
        <v>1028</v>
      </c>
      <c r="T9" s="24"/>
    </row>
    <row r="10" spans="1:20">
      <c r="A10" s="24" t="s">
        <v>102</v>
      </c>
      <c r="B10" s="24" t="s">
        <v>103</v>
      </c>
      <c r="C10" s="24" t="s">
        <v>104</v>
      </c>
      <c r="D10" s="24" t="s">
        <v>105</v>
      </c>
      <c r="E10" s="24" t="s">
        <v>1000</v>
      </c>
      <c r="F10" s="24" t="s">
        <v>1029</v>
      </c>
      <c r="G10" s="24" t="s">
        <v>1030</v>
      </c>
      <c r="H10" s="24">
        <v>5.51</v>
      </c>
      <c r="I10" s="24" t="s">
        <v>955</v>
      </c>
      <c r="J10" s="24">
        <v>2</v>
      </c>
      <c r="K10" s="24">
        <v>2</v>
      </c>
      <c r="L10" s="24">
        <v>0</v>
      </c>
      <c r="M10" s="24" t="s">
        <v>1003</v>
      </c>
      <c r="N10" s="24" t="s">
        <v>1003</v>
      </c>
      <c r="O10" s="24" t="s">
        <v>1004</v>
      </c>
      <c r="P10" s="24" t="s">
        <v>1005</v>
      </c>
      <c r="Q10" s="24" t="s">
        <v>1006</v>
      </c>
      <c r="R10" s="24" t="s">
        <v>1031</v>
      </c>
      <c r="S10" s="24" t="s">
        <v>1032</v>
      </c>
      <c r="T10" s="24"/>
    </row>
    <row r="11" spans="1:20">
      <c r="A11" s="24" t="s">
        <v>109</v>
      </c>
      <c r="B11" s="24" t="s">
        <v>110</v>
      </c>
      <c r="C11" s="24" t="s">
        <v>111</v>
      </c>
      <c r="D11" s="24" t="s">
        <v>112</v>
      </c>
      <c r="E11" s="24" t="s">
        <v>1000</v>
      </c>
      <c r="F11" s="24" t="s">
        <v>1033</v>
      </c>
      <c r="G11" s="24" t="s">
        <v>1034</v>
      </c>
      <c r="H11" s="24">
        <v>39.17</v>
      </c>
      <c r="I11" s="24" t="s">
        <v>955</v>
      </c>
      <c r="J11" s="24">
        <v>9</v>
      </c>
      <c r="K11" s="24">
        <v>4</v>
      </c>
      <c r="L11" s="24">
        <v>0</v>
      </c>
      <c r="M11" s="24" t="s">
        <v>1003</v>
      </c>
      <c r="N11" s="24" t="s">
        <v>1003</v>
      </c>
      <c r="O11" s="24" t="s">
        <v>1004</v>
      </c>
      <c r="P11" s="24" t="s">
        <v>1022</v>
      </c>
      <c r="Q11" s="24" t="s">
        <v>1006</v>
      </c>
      <c r="R11" s="24" t="s">
        <v>1035</v>
      </c>
      <c r="S11" s="24" t="s">
        <v>1036</v>
      </c>
      <c r="T11" s="24"/>
    </row>
    <row r="12" spans="1:20">
      <c r="A12" s="24" t="s">
        <v>117</v>
      </c>
      <c r="B12" s="24" t="s">
        <v>118</v>
      </c>
      <c r="C12" s="24" t="s">
        <v>119</v>
      </c>
      <c r="D12" s="24" t="s">
        <v>112</v>
      </c>
      <c r="E12" s="24" t="s">
        <v>1000</v>
      </c>
      <c r="F12" s="24" t="s">
        <v>1037</v>
      </c>
      <c r="G12" s="24" t="s">
        <v>1038</v>
      </c>
      <c r="H12" s="24">
        <v>29.32</v>
      </c>
      <c r="I12" s="24" t="s">
        <v>955</v>
      </c>
      <c r="J12" s="24">
        <v>4</v>
      </c>
      <c r="K12" s="24">
        <v>3</v>
      </c>
      <c r="L12" s="24">
        <v>0</v>
      </c>
      <c r="M12" s="24" t="s">
        <v>1003</v>
      </c>
      <c r="N12" s="24" t="s">
        <v>1003</v>
      </c>
      <c r="O12" s="24" t="s">
        <v>1004</v>
      </c>
      <c r="P12" s="24" t="s">
        <v>1022</v>
      </c>
      <c r="Q12" s="24" t="s">
        <v>1006</v>
      </c>
      <c r="R12" s="24" t="s">
        <v>1039</v>
      </c>
      <c r="S12" s="24" t="s">
        <v>1040</v>
      </c>
      <c r="T12" s="24"/>
    </row>
    <row r="13" spans="1:20">
      <c r="A13" s="24" t="s">
        <v>48</v>
      </c>
      <c r="B13" s="24" t="s">
        <v>1041</v>
      </c>
      <c r="C13" s="24" t="s">
        <v>1042</v>
      </c>
      <c r="D13" s="24" t="s">
        <v>1043</v>
      </c>
      <c r="E13" s="24" t="s">
        <v>1000</v>
      </c>
      <c r="F13" s="24" t="s">
        <v>1044</v>
      </c>
      <c r="G13" s="24" t="s">
        <v>1045</v>
      </c>
      <c r="H13" s="24">
        <v>48.14</v>
      </c>
      <c r="I13" s="24" t="s">
        <v>955</v>
      </c>
      <c r="J13" s="24">
        <v>7</v>
      </c>
      <c r="K13" s="24">
        <v>1</v>
      </c>
      <c r="L13" s="24">
        <v>0</v>
      </c>
      <c r="M13" s="24" t="s">
        <v>1003</v>
      </c>
      <c r="N13" s="24" t="s">
        <v>1003</v>
      </c>
      <c r="O13" s="24" t="s">
        <v>1004</v>
      </c>
      <c r="P13" s="24" t="s">
        <v>1022</v>
      </c>
      <c r="Q13" s="24" t="s">
        <v>1006</v>
      </c>
      <c r="R13" s="24" t="s">
        <v>1046</v>
      </c>
      <c r="S13" s="24" t="s">
        <v>1047</v>
      </c>
      <c r="T13" s="24" t="s">
        <v>1048</v>
      </c>
    </row>
  </sheetData>
  <autoFilter ref="A4:T13" xr:uid="{3CDD4CA7-196B-4F70-8E59-A6FAF778872F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FFD7-6F8D-468B-8CC6-9388AD2B7033}">
  <dimension ref="A1:K12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19" customWidth="1"/>
    <col min="11" max="11" width="42.625" style="19" customWidth="1"/>
    <col min="12" max="16384" width="11" style="19"/>
  </cols>
  <sheetData>
    <row r="1" spans="1:11" ht="27.95" customHeight="1">
      <c r="A1" s="21" t="s">
        <v>1049</v>
      </c>
    </row>
    <row r="2" spans="1:11" ht="36" customHeight="1">
      <c r="A2" s="22" t="s">
        <v>1050</v>
      </c>
    </row>
    <row r="4" spans="1:11">
      <c r="A4" s="23" t="s">
        <v>1051</v>
      </c>
      <c r="B4" s="23" t="s">
        <v>62</v>
      </c>
      <c r="C4" s="23" t="s">
        <v>71</v>
      </c>
      <c r="D4" s="23" t="s">
        <v>78</v>
      </c>
      <c r="E4" s="23" t="s">
        <v>86</v>
      </c>
      <c r="F4" s="23" t="s">
        <v>95</v>
      </c>
      <c r="G4" s="23" t="s">
        <v>102</v>
      </c>
      <c r="H4" s="23" t="s">
        <v>109</v>
      </c>
      <c r="I4" s="23" t="s">
        <v>117</v>
      </c>
      <c r="J4" s="23" t="s">
        <v>48</v>
      </c>
      <c r="K4" s="23" t="s">
        <v>998</v>
      </c>
    </row>
    <row r="5" spans="1:11">
      <c r="A5" s="24" t="s">
        <v>1052</v>
      </c>
      <c r="B5" s="24">
        <v>38</v>
      </c>
      <c r="C5" s="24">
        <v>214</v>
      </c>
      <c r="D5" s="24">
        <v>30</v>
      </c>
      <c r="E5" s="24">
        <v>32</v>
      </c>
      <c r="F5" s="24">
        <v>10</v>
      </c>
      <c r="G5" s="24">
        <v>14</v>
      </c>
      <c r="H5" s="24">
        <v>0</v>
      </c>
      <c r="I5" s="24">
        <v>2</v>
      </c>
      <c r="J5" s="24">
        <v>6</v>
      </c>
      <c r="K5" s="24"/>
    </row>
    <row r="6" spans="1:11">
      <c r="A6" s="24" t="s">
        <v>1053</v>
      </c>
      <c r="B6" s="24">
        <v>0</v>
      </c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v>8</v>
      </c>
      <c r="K6" s="24"/>
    </row>
    <row r="7" spans="1:11">
      <c r="A7" s="24" t="s">
        <v>1054</v>
      </c>
      <c r="B7" s="24">
        <v>0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/>
    </row>
    <row r="8" spans="1:11">
      <c r="A8" s="24" t="s">
        <v>1055</v>
      </c>
      <c r="B8" s="24">
        <v>0</v>
      </c>
      <c r="C8" s="24">
        <v>0</v>
      </c>
      <c r="D8" s="24">
        <v>0</v>
      </c>
      <c r="E8" s="24">
        <v>5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/>
    </row>
    <row r="9" spans="1:11">
      <c r="A9" s="24" t="s">
        <v>1056</v>
      </c>
      <c r="B9" s="24">
        <v>0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 t="s">
        <v>1057</v>
      </c>
    </row>
    <row r="10" spans="1:11">
      <c r="A10" s="24" t="s">
        <v>1058</v>
      </c>
      <c r="B10" s="24">
        <v>4</v>
      </c>
      <c r="C10" s="24">
        <v>0</v>
      </c>
      <c r="D10" s="24">
        <v>0</v>
      </c>
      <c r="E10" s="24">
        <v>0</v>
      </c>
      <c r="F10" s="24">
        <v>0</v>
      </c>
      <c r="G10" s="24">
        <v>4</v>
      </c>
      <c r="H10" s="24">
        <v>5</v>
      </c>
      <c r="I10" s="24">
        <v>2</v>
      </c>
      <c r="J10" s="24">
        <v>1</v>
      </c>
      <c r="K10" s="24"/>
    </row>
    <row r="11" spans="1:11">
      <c r="A11" s="24" t="s">
        <v>1059</v>
      </c>
      <c r="B11" s="24">
        <v>0</v>
      </c>
      <c r="C11" s="24">
        <v>0</v>
      </c>
      <c r="D11" s="24">
        <v>0</v>
      </c>
      <c r="E11" s="24">
        <v>0</v>
      </c>
      <c r="F11" s="24">
        <v>4</v>
      </c>
      <c r="G11" s="24">
        <v>0</v>
      </c>
      <c r="H11" s="24">
        <v>0</v>
      </c>
      <c r="I11" s="24">
        <v>0</v>
      </c>
      <c r="J11" s="24">
        <v>0</v>
      </c>
      <c r="K11" s="24"/>
    </row>
    <row r="12" spans="1:11">
      <c r="A12" s="24" t="s">
        <v>1060</v>
      </c>
      <c r="B12" s="24">
        <v>0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1</v>
      </c>
      <c r="K12" s="24"/>
    </row>
  </sheetData>
  <autoFilter ref="A4:K12" xr:uid="{5434FFD7-6F8D-468B-8CC6-9388AD2B7033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B506-843E-4B29-AF1A-4939A602E9AE}">
  <dimension ref="A1:O38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22.625" style="19" customWidth="1"/>
    <col min="2" max="5" width="18.625" style="19" customWidth="1"/>
    <col min="6" max="6" width="42.625" style="19" customWidth="1"/>
    <col min="7" max="8" width="18.625" style="19" customWidth="1"/>
    <col min="9" max="9" width="42.625" style="19" customWidth="1"/>
    <col min="10" max="15" width="18.625" style="19" customWidth="1"/>
    <col min="16" max="16384" width="11" style="19"/>
  </cols>
  <sheetData>
    <row r="1" spans="1:15" ht="27.95" customHeight="1">
      <c r="A1" s="21" t="s">
        <v>1061</v>
      </c>
    </row>
    <row r="2" spans="1:15" ht="36" customHeight="1">
      <c r="A2" s="22" t="s">
        <v>1062</v>
      </c>
    </row>
    <row r="4" spans="1:15">
      <c r="A4" s="23" t="s">
        <v>1063</v>
      </c>
      <c r="B4" s="23" t="s">
        <v>1064</v>
      </c>
      <c r="C4" s="23" t="s">
        <v>52</v>
      </c>
      <c r="D4" s="23" t="s">
        <v>136</v>
      </c>
      <c r="E4" s="23" t="s">
        <v>1065</v>
      </c>
      <c r="F4" s="23" t="s">
        <v>395</v>
      </c>
      <c r="G4" s="23" t="s">
        <v>1066</v>
      </c>
      <c r="H4" s="23" t="s">
        <v>1067</v>
      </c>
      <c r="I4" s="23" t="s">
        <v>1068</v>
      </c>
      <c r="J4" s="23" t="s">
        <v>1069</v>
      </c>
      <c r="K4" s="23" t="s">
        <v>1070</v>
      </c>
      <c r="L4" s="23" t="s">
        <v>1071</v>
      </c>
      <c r="M4" s="23" t="s">
        <v>1072</v>
      </c>
      <c r="N4" s="23" t="s">
        <v>1073</v>
      </c>
      <c r="O4" s="23" t="s">
        <v>1074</v>
      </c>
    </row>
    <row r="5" spans="1:15">
      <c r="A5" s="24" t="s">
        <v>1075</v>
      </c>
      <c r="B5" s="24" t="s">
        <v>820</v>
      </c>
      <c r="C5" s="24" t="s">
        <v>62</v>
      </c>
      <c r="D5" s="24" t="s">
        <v>63</v>
      </c>
      <c r="E5" s="24" t="s">
        <v>1076</v>
      </c>
      <c r="F5" s="24" t="s">
        <v>1077</v>
      </c>
      <c r="G5" s="24" t="s">
        <v>1078</v>
      </c>
      <c r="H5" s="24" t="s">
        <v>1079</v>
      </c>
      <c r="I5" s="24" t="s">
        <v>1080</v>
      </c>
      <c r="J5" s="24" t="s">
        <v>1081</v>
      </c>
      <c r="K5" s="24" t="s">
        <v>1082</v>
      </c>
      <c r="L5" s="24" t="s">
        <v>1083</v>
      </c>
      <c r="M5" s="24">
        <v>1</v>
      </c>
      <c r="N5" s="24" t="s">
        <v>345</v>
      </c>
      <c r="O5" s="24" t="s">
        <v>1084</v>
      </c>
    </row>
    <row r="6" spans="1:15">
      <c r="A6" s="24" t="s">
        <v>1075</v>
      </c>
      <c r="B6" s="24" t="s">
        <v>820</v>
      </c>
      <c r="C6" s="24" t="s">
        <v>62</v>
      </c>
      <c r="D6" s="24" t="s">
        <v>63</v>
      </c>
      <c r="E6" s="24" t="s">
        <v>1076</v>
      </c>
      <c r="F6" s="24" t="s">
        <v>1077</v>
      </c>
      <c r="G6" s="24" t="s">
        <v>1078</v>
      </c>
      <c r="H6" s="24" t="s">
        <v>1079</v>
      </c>
      <c r="I6" s="24" t="s">
        <v>1080</v>
      </c>
      <c r="J6" s="24" t="s">
        <v>1081</v>
      </c>
      <c r="K6" s="24" t="s">
        <v>1082</v>
      </c>
      <c r="L6" s="24" t="s">
        <v>1083</v>
      </c>
      <c r="M6" s="24">
        <v>1</v>
      </c>
      <c r="N6" s="24" t="s">
        <v>345</v>
      </c>
      <c r="O6" s="24" t="s">
        <v>1084</v>
      </c>
    </row>
    <row r="7" spans="1:15">
      <c r="A7" s="24" t="s">
        <v>1085</v>
      </c>
      <c r="B7" s="24" t="s">
        <v>820</v>
      </c>
      <c r="C7" s="24" t="s">
        <v>62</v>
      </c>
      <c r="D7" s="24" t="s">
        <v>63</v>
      </c>
      <c r="E7" s="24" t="s">
        <v>1076</v>
      </c>
      <c r="F7" s="24" t="s">
        <v>1077</v>
      </c>
      <c r="G7" s="24" t="s">
        <v>1078</v>
      </c>
      <c r="H7" s="24" t="s">
        <v>1079</v>
      </c>
      <c r="I7" s="24" t="s">
        <v>1086</v>
      </c>
      <c r="J7" s="24" t="s">
        <v>1081</v>
      </c>
      <c r="K7" s="24" t="s">
        <v>1082</v>
      </c>
      <c r="L7" s="24" t="s">
        <v>1083</v>
      </c>
      <c r="M7" s="24">
        <v>1</v>
      </c>
      <c r="N7" s="24" t="s">
        <v>345</v>
      </c>
      <c r="O7" s="24" t="s">
        <v>1084</v>
      </c>
    </row>
    <row r="8" spans="1:15">
      <c r="A8" s="24" t="s">
        <v>1087</v>
      </c>
      <c r="B8" s="24" t="s">
        <v>820</v>
      </c>
      <c r="C8" s="24" t="s">
        <v>62</v>
      </c>
      <c r="D8" s="24" t="s">
        <v>63</v>
      </c>
      <c r="E8" s="24" t="s">
        <v>1076</v>
      </c>
      <c r="F8" s="24" t="s">
        <v>1077</v>
      </c>
      <c r="G8" s="24" t="s">
        <v>1078</v>
      </c>
      <c r="H8" s="24" t="s">
        <v>1079</v>
      </c>
      <c r="I8" s="24" t="s">
        <v>1088</v>
      </c>
      <c r="J8" s="24" t="s">
        <v>1081</v>
      </c>
      <c r="K8" s="24" t="s">
        <v>1082</v>
      </c>
      <c r="L8" s="24" t="s">
        <v>1083</v>
      </c>
      <c r="M8" s="24">
        <v>1</v>
      </c>
      <c r="N8" s="24" t="s">
        <v>345</v>
      </c>
      <c r="O8" s="24" t="s">
        <v>1084</v>
      </c>
    </row>
    <row r="9" spans="1:15">
      <c r="A9" s="24" t="s">
        <v>1085</v>
      </c>
      <c r="B9" s="24" t="s">
        <v>820</v>
      </c>
      <c r="C9" s="24" t="s">
        <v>62</v>
      </c>
      <c r="D9" s="24" t="s">
        <v>63</v>
      </c>
      <c r="E9" s="24" t="s">
        <v>1076</v>
      </c>
      <c r="F9" s="24" t="s">
        <v>1077</v>
      </c>
      <c r="G9" s="24" t="s">
        <v>1078</v>
      </c>
      <c r="H9" s="24" t="s">
        <v>1079</v>
      </c>
      <c r="I9" s="24" t="s">
        <v>1086</v>
      </c>
      <c r="J9" s="24" t="s">
        <v>1081</v>
      </c>
      <c r="K9" s="24" t="s">
        <v>1082</v>
      </c>
      <c r="L9" s="24" t="s">
        <v>1083</v>
      </c>
      <c r="M9" s="24">
        <v>1</v>
      </c>
      <c r="N9" s="24" t="s">
        <v>345</v>
      </c>
      <c r="O9" s="24" t="s">
        <v>1084</v>
      </c>
    </row>
    <row r="10" spans="1:15">
      <c r="A10" s="24" t="s">
        <v>1087</v>
      </c>
      <c r="B10" s="24" t="s">
        <v>820</v>
      </c>
      <c r="C10" s="24" t="s">
        <v>62</v>
      </c>
      <c r="D10" s="24" t="s">
        <v>63</v>
      </c>
      <c r="E10" s="24" t="s">
        <v>1076</v>
      </c>
      <c r="F10" s="24" t="s">
        <v>1077</v>
      </c>
      <c r="G10" s="24" t="s">
        <v>1078</v>
      </c>
      <c r="H10" s="24" t="s">
        <v>1079</v>
      </c>
      <c r="I10" s="24" t="s">
        <v>1088</v>
      </c>
      <c r="J10" s="24" t="s">
        <v>1081</v>
      </c>
      <c r="K10" s="24" t="s">
        <v>1082</v>
      </c>
      <c r="L10" s="24" t="s">
        <v>1083</v>
      </c>
      <c r="M10" s="24">
        <v>1</v>
      </c>
      <c r="N10" s="24" t="s">
        <v>345</v>
      </c>
      <c r="O10" s="24" t="s">
        <v>1084</v>
      </c>
    </row>
    <row r="11" spans="1:15">
      <c r="A11" s="24" t="s">
        <v>1089</v>
      </c>
      <c r="B11" s="24" t="s">
        <v>820</v>
      </c>
      <c r="C11" s="24" t="s">
        <v>62</v>
      </c>
      <c r="D11" s="24" t="s">
        <v>63</v>
      </c>
      <c r="E11" s="24" t="s">
        <v>1076</v>
      </c>
      <c r="F11" s="24" t="s">
        <v>1077</v>
      </c>
      <c r="G11" s="24" t="s">
        <v>1078</v>
      </c>
      <c r="H11" s="24" t="s">
        <v>1079</v>
      </c>
      <c r="I11" s="24" t="s">
        <v>1090</v>
      </c>
      <c r="J11" s="24" t="s">
        <v>1081</v>
      </c>
      <c r="K11" s="24" t="s">
        <v>1082</v>
      </c>
      <c r="L11" s="24" t="s">
        <v>1083</v>
      </c>
      <c r="M11" s="24">
        <v>1</v>
      </c>
      <c r="N11" s="24" t="s">
        <v>345</v>
      </c>
      <c r="O11" s="24" t="s">
        <v>1084</v>
      </c>
    </row>
    <row r="12" spans="1:15">
      <c r="A12" s="24" t="s">
        <v>1091</v>
      </c>
      <c r="B12" s="24" t="s">
        <v>820</v>
      </c>
      <c r="C12" s="24" t="s">
        <v>62</v>
      </c>
      <c r="D12" s="24" t="s">
        <v>63</v>
      </c>
      <c r="E12" s="24" t="s">
        <v>1076</v>
      </c>
      <c r="F12" s="24" t="s">
        <v>1077</v>
      </c>
      <c r="G12" s="24" t="s">
        <v>1078</v>
      </c>
      <c r="H12" s="24" t="s">
        <v>1079</v>
      </c>
      <c r="I12" s="24" t="s">
        <v>1092</v>
      </c>
      <c r="J12" s="24" t="s">
        <v>1081</v>
      </c>
      <c r="K12" s="24" t="s">
        <v>1082</v>
      </c>
      <c r="L12" s="24" t="s">
        <v>1083</v>
      </c>
      <c r="M12" s="24">
        <v>1</v>
      </c>
      <c r="N12" s="24" t="s">
        <v>345</v>
      </c>
      <c r="O12" s="24" t="s">
        <v>1084</v>
      </c>
    </row>
    <row r="13" spans="1:15">
      <c r="A13" s="24" t="s">
        <v>1089</v>
      </c>
      <c r="B13" s="24" t="s">
        <v>820</v>
      </c>
      <c r="C13" s="24" t="s">
        <v>62</v>
      </c>
      <c r="D13" s="24" t="s">
        <v>63</v>
      </c>
      <c r="E13" s="24" t="s">
        <v>1076</v>
      </c>
      <c r="F13" s="24" t="s">
        <v>1077</v>
      </c>
      <c r="G13" s="24" t="s">
        <v>1078</v>
      </c>
      <c r="H13" s="24" t="s">
        <v>1079</v>
      </c>
      <c r="I13" s="24" t="s">
        <v>1090</v>
      </c>
      <c r="J13" s="24" t="s">
        <v>1081</v>
      </c>
      <c r="K13" s="24" t="s">
        <v>1082</v>
      </c>
      <c r="L13" s="24" t="s">
        <v>1083</v>
      </c>
      <c r="M13" s="24">
        <v>1</v>
      </c>
      <c r="N13" s="24" t="s">
        <v>345</v>
      </c>
      <c r="O13" s="24" t="s">
        <v>1084</v>
      </c>
    </row>
    <row r="14" spans="1:15">
      <c r="A14" s="24" t="s">
        <v>1091</v>
      </c>
      <c r="B14" s="24" t="s">
        <v>820</v>
      </c>
      <c r="C14" s="24" t="s">
        <v>62</v>
      </c>
      <c r="D14" s="24" t="s">
        <v>63</v>
      </c>
      <c r="E14" s="24" t="s">
        <v>1076</v>
      </c>
      <c r="F14" s="24" t="s">
        <v>1077</v>
      </c>
      <c r="G14" s="24" t="s">
        <v>1078</v>
      </c>
      <c r="H14" s="24" t="s">
        <v>1079</v>
      </c>
      <c r="I14" s="24" t="s">
        <v>1092</v>
      </c>
      <c r="J14" s="24" t="s">
        <v>1081</v>
      </c>
      <c r="K14" s="24" t="s">
        <v>1082</v>
      </c>
      <c r="L14" s="24" t="s">
        <v>1083</v>
      </c>
      <c r="M14" s="24">
        <v>1</v>
      </c>
      <c r="N14" s="24" t="s">
        <v>345</v>
      </c>
      <c r="O14" s="24" t="s">
        <v>1084</v>
      </c>
    </row>
    <row r="15" spans="1:15">
      <c r="A15" s="24" t="s">
        <v>1093</v>
      </c>
      <c r="B15" s="24" t="s">
        <v>820</v>
      </c>
      <c r="C15" s="24" t="s">
        <v>62</v>
      </c>
      <c r="D15" s="24" t="s">
        <v>63</v>
      </c>
      <c r="E15" s="24" t="s">
        <v>1076</v>
      </c>
      <c r="F15" s="24" t="s">
        <v>1077</v>
      </c>
      <c r="G15" s="24" t="s">
        <v>1078</v>
      </c>
      <c r="H15" s="24" t="s">
        <v>1079</v>
      </c>
      <c r="I15" s="24" t="s">
        <v>1094</v>
      </c>
      <c r="J15" s="24" t="s">
        <v>1081</v>
      </c>
      <c r="K15" s="24" t="s">
        <v>1082</v>
      </c>
      <c r="L15" s="24" t="s">
        <v>1083</v>
      </c>
      <c r="M15" s="24">
        <v>1</v>
      </c>
      <c r="N15" s="24" t="s">
        <v>345</v>
      </c>
      <c r="O15" s="24" t="s">
        <v>1084</v>
      </c>
    </row>
    <row r="16" spans="1:15">
      <c r="A16" s="24" t="s">
        <v>1095</v>
      </c>
      <c r="B16" s="24" t="s">
        <v>820</v>
      </c>
      <c r="C16" s="24" t="s">
        <v>62</v>
      </c>
      <c r="D16" s="24" t="s">
        <v>63</v>
      </c>
      <c r="E16" s="24" t="s">
        <v>1076</v>
      </c>
      <c r="F16" s="24" t="s">
        <v>1077</v>
      </c>
      <c r="G16" s="24" t="s">
        <v>1078</v>
      </c>
      <c r="H16" s="24" t="s">
        <v>1079</v>
      </c>
      <c r="I16" s="24" t="s">
        <v>1080</v>
      </c>
      <c r="J16" s="24" t="s">
        <v>1081</v>
      </c>
      <c r="K16" s="24" t="s">
        <v>1082</v>
      </c>
      <c r="L16" s="24" t="s">
        <v>1083</v>
      </c>
      <c r="M16" s="24">
        <v>1</v>
      </c>
      <c r="N16" s="24" t="s">
        <v>345</v>
      </c>
      <c r="O16" s="24" t="s">
        <v>1084</v>
      </c>
    </row>
    <row r="17" spans="1:15">
      <c r="A17" s="24" t="s">
        <v>1096</v>
      </c>
      <c r="B17" s="24" t="s">
        <v>820</v>
      </c>
      <c r="C17" s="24" t="s">
        <v>62</v>
      </c>
      <c r="D17" s="24" t="s">
        <v>63</v>
      </c>
      <c r="E17" s="24" t="s">
        <v>1076</v>
      </c>
      <c r="F17" s="24" t="s">
        <v>1077</v>
      </c>
      <c r="G17" s="24" t="s">
        <v>1078</v>
      </c>
      <c r="H17" s="24" t="s">
        <v>1079</v>
      </c>
      <c r="I17" s="24" t="s">
        <v>1097</v>
      </c>
      <c r="J17" s="24" t="s">
        <v>1081</v>
      </c>
      <c r="K17" s="24" t="s">
        <v>1082</v>
      </c>
      <c r="L17" s="24" t="s">
        <v>1083</v>
      </c>
      <c r="M17" s="24">
        <v>1</v>
      </c>
      <c r="N17" s="24" t="s">
        <v>345</v>
      </c>
      <c r="O17" s="24" t="s">
        <v>1084</v>
      </c>
    </row>
    <row r="18" spans="1:15">
      <c r="A18" s="24" t="s">
        <v>1098</v>
      </c>
      <c r="B18" s="24" t="s">
        <v>820</v>
      </c>
      <c r="C18" s="24" t="s">
        <v>62</v>
      </c>
      <c r="D18" s="24" t="s">
        <v>63</v>
      </c>
      <c r="E18" s="24" t="s">
        <v>1076</v>
      </c>
      <c r="F18" s="24" t="s">
        <v>1077</v>
      </c>
      <c r="G18" s="24" t="s">
        <v>1078</v>
      </c>
      <c r="H18" s="24" t="s">
        <v>1079</v>
      </c>
      <c r="I18" s="24" t="s">
        <v>1099</v>
      </c>
      <c r="J18" s="24" t="s">
        <v>1081</v>
      </c>
      <c r="K18" s="24" t="s">
        <v>1082</v>
      </c>
      <c r="L18" s="24" t="s">
        <v>1083</v>
      </c>
      <c r="M18" s="24">
        <v>1</v>
      </c>
      <c r="N18" s="24" t="s">
        <v>345</v>
      </c>
      <c r="O18" s="24" t="s">
        <v>1084</v>
      </c>
    </row>
    <row r="19" spans="1:15">
      <c r="A19" s="24" t="s">
        <v>1093</v>
      </c>
      <c r="B19" s="24" t="s">
        <v>820</v>
      </c>
      <c r="C19" s="24" t="s">
        <v>62</v>
      </c>
      <c r="D19" s="24" t="s">
        <v>63</v>
      </c>
      <c r="E19" s="24" t="s">
        <v>1076</v>
      </c>
      <c r="F19" s="24" t="s">
        <v>1077</v>
      </c>
      <c r="G19" s="24" t="s">
        <v>1078</v>
      </c>
      <c r="H19" s="24" t="s">
        <v>1079</v>
      </c>
      <c r="I19" s="24" t="s">
        <v>1094</v>
      </c>
      <c r="J19" s="24" t="s">
        <v>1081</v>
      </c>
      <c r="K19" s="24" t="s">
        <v>1082</v>
      </c>
      <c r="L19" s="24" t="s">
        <v>1083</v>
      </c>
      <c r="M19" s="24">
        <v>1</v>
      </c>
      <c r="N19" s="24" t="s">
        <v>345</v>
      </c>
      <c r="O19" s="24" t="s">
        <v>1084</v>
      </c>
    </row>
    <row r="20" spans="1:15">
      <c r="A20" s="24" t="s">
        <v>1095</v>
      </c>
      <c r="B20" s="24" t="s">
        <v>820</v>
      </c>
      <c r="C20" s="24" t="s">
        <v>62</v>
      </c>
      <c r="D20" s="24" t="s">
        <v>63</v>
      </c>
      <c r="E20" s="24" t="s">
        <v>1076</v>
      </c>
      <c r="F20" s="24" t="s">
        <v>1077</v>
      </c>
      <c r="G20" s="24" t="s">
        <v>1078</v>
      </c>
      <c r="H20" s="24" t="s">
        <v>1079</v>
      </c>
      <c r="I20" s="24" t="s">
        <v>1080</v>
      </c>
      <c r="J20" s="24" t="s">
        <v>1081</v>
      </c>
      <c r="K20" s="24" t="s">
        <v>1082</v>
      </c>
      <c r="L20" s="24" t="s">
        <v>1083</v>
      </c>
      <c r="M20" s="24">
        <v>1</v>
      </c>
      <c r="N20" s="24" t="s">
        <v>345</v>
      </c>
      <c r="O20" s="24" t="s">
        <v>1084</v>
      </c>
    </row>
    <row r="21" spans="1:15">
      <c r="A21" s="24" t="s">
        <v>1096</v>
      </c>
      <c r="B21" s="24" t="s">
        <v>820</v>
      </c>
      <c r="C21" s="24" t="s">
        <v>62</v>
      </c>
      <c r="D21" s="24" t="s">
        <v>63</v>
      </c>
      <c r="E21" s="24" t="s">
        <v>1076</v>
      </c>
      <c r="F21" s="24" t="s">
        <v>1077</v>
      </c>
      <c r="G21" s="24" t="s">
        <v>1078</v>
      </c>
      <c r="H21" s="24" t="s">
        <v>1079</v>
      </c>
      <c r="I21" s="24" t="s">
        <v>1097</v>
      </c>
      <c r="J21" s="24" t="s">
        <v>1081</v>
      </c>
      <c r="K21" s="24" t="s">
        <v>1082</v>
      </c>
      <c r="L21" s="24" t="s">
        <v>1083</v>
      </c>
      <c r="M21" s="24">
        <v>1</v>
      </c>
      <c r="N21" s="24" t="s">
        <v>345</v>
      </c>
      <c r="O21" s="24" t="s">
        <v>1084</v>
      </c>
    </row>
    <row r="22" spans="1:15">
      <c r="A22" s="24" t="s">
        <v>1098</v>
      </c>
      <c r="B22" s="24" t="s">
        <v>820</v>
      </c>
      <c r="C22" s="24" t="s">
        <v>62</v>
      </c>
      <c r="D22" s="24" t="s">
        <v>63</v>
      </c>
      <c r="E22" s="24" t="s">
        <v>1076</v>
      </c>
      <c r="F22" s="24" t="s">
        <v>1077</v>
      </c>
      <c r="G22" s="24" t="s">
        <v>1078</v>
      </c>
      <c r="H22" s="24" t="s">
        <v>1079</v>
      </c>
      <c r="I22" s="24" t="s">
        <v>1099</v>
      </c>
      <c r="J22" s="24" t="s">
        <v>1081</v>
      </c>
      <c r="K22" s="24" t="s">
        <v>1082</v>
      </c>
      <c r="L22" s="24" t="s">
        <v>1083</v>
      </c>
      <c r="M22" s="24">
        <v>1</v>
      </c>
      <c r="N22" s="24" t="s">
        <v>345</v>
      </c>
      <c r="O22" s="24" t="s">
        <v>1084</v>
      </c>
    </row>
    <row r="23" spans="1:15">
      <c r="A23" s="24" t="s">
        <v>1100</v>
      </c>
      <c r="B23" s="24" t="s">
        <v>820</v>
      </c>
      <c r="C23" s="24" t="s">
        <v>62</v>
      </c>
      <c r="D23" s="24" t="s">
        <v>63</v>
      </c>
      <c r="E23" s="24" t="s">
        <v>1076</v>
      </c>
      <c r="F23" s="24" t="s">
        <v>1077</v>
      </c>
      <c r="G23" s="24" t="s">
        <v>1078</v>
      </c>
      <c r="H23" s="24" t="s">
        <v>1079</v>
      </c>
      <c r="I23" s="24" t="s">
        <v>1080</v>
      </c>
      <c r="J23" s="24" t="s">
        <v>1081</v>
      </c>
      <c r="K23" s="24" t="s">
        <v>1082</v>
      </c>
      <c r="L23" s="24" t="s">
        <v>1083</v>
      </c>
      <c r="M23" s="24">
        <v>1</v>
      </c>
      <c r="N23" s="24" t="s">
        <v>345</v>
      </c>
      <c r="O23" s="24" t="s">
        <v>1084</v>
      </c>
    </row>
    <row r="24" spans="1:15">
      <c r="A24" s="24" t="s">
        <v>1101</v>
      </c>
      <c r="B24" s="24" t="s">
        <v>820</v>
      </c>
      <c r="C24" s="24" t="s">
        <v>62</v>
      </c>
      <c r="D24" s="24" t="s">
        <v>63</v>
      </c>
      <c r="E24" s="24" t="s">
        <v>1076</v>
      </c>
      <c r="F24" s="24" t="s">
        <v>1077</v>
      </c>
      <c r="G24" s="24" t="s">
        <v>1078</v>
      </c>
      <c r="H24" s="24" t="s">
        <v>1079</v>
      </c>
      <c r="I24" s="24" t="s">
        <v>1086</v>
      </c>
      <c r="J24" s="24" t="s">
        <v>1081</v>
      </c>
      <c r="K24" s="24" t="s">
        <v>1082</v>
      </c>
      <c r="L24" s="24" t="s">
        <v>1083</v>
      </c>
      <c r="M24" s="24">
        <v>1</v>
      </c>
      <c r="N24" s="24" t="s">
        <v>345</v>
      </c>
      <c r="O24" s="24" t="s">
        <v>1084</v>
      </c>
    </row>
    <row r="25" spans="1:15">
      <c r="A25" s="24" t="s">
        <v>1100</v>
      </c>
      <c r="B25" s="24" t="s">
        <v>820</v>
      </c>
      <c r="C25" s="24" t="s">
        <v>62</v>
      </c>
      <c r="D25" s="24" t="s">
        <v>63</v>
      </c>
      <c r="E25" s="24" t="s">
        <v>1076</v>
      </c>
      <c r="F25" s="24" t="s">
        <v>1077</v>
      </c>
      <c r="G25" s="24" t="s">
        <v>1078</v>
      </c>
      <c r="H25" s="24" t="s">
        <v>1079</v>
      </c>
      <c r="I25" s="24" t="s">
        <v>1080</v>
      </c>
      <c r="J25" s="24" t="s">
        <v>1081</v>
      </c>
      <c r="K25" s="24" t="s">
        <v>1082</v>
      </c>
      <c r="L25" s="24" t="s">
        <v>1083</v>
      </c>
      <c r="M25" s="24">
        <v>1</v>
      </c>
      <c r="N25" s="24" t="s">
        <v>345</v>
      </c>
      <c r="O25" s="24" t="s">
        <v>1084</v>
      </c>
    </row>
    <row r="26" spans="1:15">
      <c r="A26" s="24" t="s">
        <v>1101</v>
      </c>
      <c r="B26" s="24" t="s">
        <v>820</v>
      </c>
      <c r="C26" s="24" t="s">
        <v>62</v>
      </c>
      <c r="D26" s="24" t="s">
        <v>63</v>
      </c>
      <c r="E26" s="24" t="s">
        <v>1076</v>
      </c>
      <c r="F26" s="24" t="s">
        <v>1077</v>
      </c>
      <c r="G26" s="24" t="s">
        <v>1078</v>
      </c>
      <c r="H26" s="24" t="s">
        <v>1079</v>
      </c>
      <c r="I26" s="24" t="s">
        <v>1086</v>
      </c>
      <c r="J26" s="24" t="s">
        <v>1081</v>
      </c>
      <c r="K26" s="24" t="s">
        <v>1082</v>
      </c>
      <c r="L26" s="24" t="s">
        <v>1083</v>
      </c>
      <c r="M26" s="24">
        <v>1</v>
      </c>
      <c r="N26" s="24" t="s">
        <v>345</v>
      </c>
      <c r="O26" s="24" t="s">
        <v>1084</v>
      </c>
    </row>
    <row r="27" spans="1:15">
      <c r="A27" s="24" t="s">
        <v>1102</v>
      </c>
      <c r="B27" s="24" t="s">
        <v>820</v>
      </c>
      <c r="C27" s="24" t="s">
        <v>62</v>
      </c>
      <c r="D27" s="24" t="s">
        <v>63</v>
      </c>
      <c r="E27" s="24" t="s">
        <v>1076</v>
      </c>
      <c r="F27" s="24" t="s">
        <v>1077</v>
      </c>
      <c r="G27" s="24" t="s">
        <v>1078</v>
      </c>
      <c r="H27" s="24" t="s">
        <v>1079</v>
      </c>
      <c r="I27" s="24" t="s">
        <v>1103</v>
      </c>
      <c r="J27" s="24" t="s">
        <v>1081</v>
      </c>
      <c r="K27" s="24" t="s">
        <v>1082</v>
      </c>
      <c r="L27" s="24" t="s">
        <v>1083</v>
      </c>
      <c r="M27" s="24">
        <v>1</v>
      </c>
      <c r="N27" s="24" t="s">
        <v>345</v>
      </c>
      <c r="O27" s="24" t="s">
        <v>1084</v>
      </c>
    </row>
    <row r="28" spans="1:15">
      <c r="A28" s="24" t="s">
        <v>1104</v>
      </c>
      <c r="B28" s="24" t="s">
        <v>820</v>
      </c>
      <c r="C28" s="24" t="s">
        <v>62</v>
      </c>
      <c r="D28" s="24" t="s">
        <v>63</v>
      </c>
      <c r="E28" s="24" t="s">
        <v>1076</v>
      </c>
      <c r="F28" s="24" t="s">
        <v>1077</v>
      </c>
      <c r="G28" s="24" t="s">
        <v>1078</v>
      </c>
      <c r="H28" s="24" t="s">
        <v>1079</v>
      </c>
      <c r="I28" s="24" t="s">
        <v>1086</v>
      </c>
      <c r="J28" s="24" t="s">
        <v>1081</v>
      </c>
      <c r="K28" s="24" t="s">
        <v>1082</v>
      </c>
      <c r="L28" s="24" t="s">
        <v>1083</v>
      </c>
      <c r="M28" s="24">
        <v>1</v>
      </c>
      <c r="N28" s="24" t="s">
        <v>345</v>
      </c>
      <c r="O28" s="24" t="s">
        <v>1084</v>
      </c>
    </row>
    <row r="29" spans="1:15">
      <c r="A29" s="24" t="s">
        <v>1102</v>
      </c>
      <c r="B29" s="24" t="s">
        <v>820</v>
      </c>
      <c r="C29" s="24" t="s">
        <v>62</v>
      </c>
      <c r="D29" s="24" t="s">
        <v>63</v>
      </c>
      <c r="E29" s="24" t="s">
        <v>1076</v>
      </c>
      <c r="F29" s="24" t="s">
        <v>1077</v>
      </c>
      <c r="G29" s="24" t="s">
        <v>1078</v>
      </c>
      <c r="H29" s="24" t="s">
        <v>1079</v>
      </c>
      <c r="I29" s="24" t="s">
        <v>1103</v>
      </c>
      <c r="J29" s="24" t="s">
        <v>1081</v>
      </c>
      <c r="K29" s="24" t="s">
        <v>1082</v>
      </c>
      <c r="L29" s="24" t="s">
        <v>1083</v>
      </c>
      <c r="M29" s="24">
        <v>1</v>
      </c>
      <c r="N29" s="24" t="s">
        <v>345</v>
      </c>
      <c r="O29" s="24" t="s">
        <v>1084</v>
      </c>
    </row>
    <row r="30" spans="1:15">
      <c r="A30" s="24" t="s">
        <v>1104</v>
      </c>
      <c r="B30" s="24" t="s">
        <v>820</v>
      </c>
      <c r="C30" s="24" t="s">
        <v>62</v>
      </c>
      <c r="D30" s="24" t="s">
        <v>63</v>
      </c>
      <c r="E30" s="24" t="s">
        <v>1076</v>
      </c>
      <c r="F30" s="24" t="s">
        <v>1077</v>
      </c>
      <c r="G30" s="24" t="s">
        <v>1078</v>
      </c>
      <c r="H30" s="24" t="s">
        <v>1079</v>
      </c>
      <c r="I30" s="24" t="s">
        <v>1086</v>
      </c>
      <c r="J30" s="24" t="s">
        <v>1081</v>
      </c>
      <c r="K30" s="24" t="s">
        <v>1082</v>
      </c>
      <c r="L30" s="24" t="s">
        <v>1083</v>
      </c>
      <c r="M30" s="24">
        <v>1</v>
      </c>
      <c r="N30" s="24" t="s">
        <v>345</v>
      </c>
      <c r="O30" s="24" t="s">
        <v>1084</v>
      </c>
    </row>
    <row r="31" spans="1:15">
      <c r="A31" s="24" t="s">
        <v>1105</v>
      </c>
      <c r="B31" s="24" t="s">
        <v>820</v>
      </c>
      <c r="C31" s="24" t="s">
        <v>62</v>
      </c>
      <c r="D31" s="24" t="s">
        <v>63</v>
      </c>
      <c r="E31" s="24" t="s">
        <v>1076</v>
      </c>
      <c r="F31" s="24" t="s">
        <v>1077</v>
      </c>
      <c r="G31" s="24" t="s">
        <v>1078</v>
      </c>
      <c r="H31" s="24" t="s">
        <v>1079</v>
      </c>
      <c r="I31" s="24" t="s">
        <v>1088</v>
      </c>
      <c r="J31" s="24" t="s">
        <v>1081</v>
      </c>
      <c r="K31" s="24" t="s">
        <v>1082</v>
      </c>
      <c r="L31" s="24" t="s">
        <v>1083</v>
      </c>
      <c r="M31" s="24">
        <v>1</v>
      </c>
      <c r="N31" s="24" t="s">
        <v>345</v>
      </c>
      <c r="O31" s="24" t="s">
        <v>1084</v>
      </c>
    </row>
    <row r="32" spans="1:15">
      <c r="A32" s="24" t="s">
        <v>1106</v>
      </c>
      <c r="B32" s="24" t="s">
        <v>820</v>
      </c>
      <c r="C32" s="24" t="s">
        <v>62</v>
      </c>
      <c r="D32" s="24" t="s">
        <v>63</v>
      </c>
      <c r="E32" s="24" t="s">
        <v>1076</v>
      </c>
      <c r="F32" s="24" t="s">
        <v>1077</v>
      </c>
      <c r="G32" s="24" t="s">
        <v>1078</v>
      </c>
      <c r="H32" s="24" t="s">
        <v>1079</v>
      </c>
      <c r="I32" s="24" t="s">
        <v>1107</v>
      </c>
      <c r="J32" s="24" t="s">
        <v>1081</v>
      </c>
      <c r="K32" s="24" t="s">
        <v>1082</v>
      </c>
      <c r="L32" s="24" t="s">
        <v>1083</v>
      </c>
      <c r="M32" s="24">
        <v>1</v>
      </c>
      <c r="N32" s="24" t="s">
        <v>345</v>
      </c>
      <c r="O32" s="24" t="s">
        <v>1084</v>
      </c>
    </row>
    <row r="33" spans="1:15">
      <c r="A33" s="24" t="s">
        <v>1105</v>
      </c>
      <c r="B33" s="24" t="s">
        <v>820</v>
      </c>
      <c r="C33" s="24" t="s">
        <v>62</v>
      </c>
      <c r="D33" s="24" t="s">
        <v>63</v>
      </c>
      <c r="E33" s="24" t="s">
        <v>1076</v>
      </c>
      <c r="F33" s="24" t="s">
        <v>1077</v>
      </c>
      <c r="G33" s="24" t="s">
        <v>1078</v>
      </c>
      <c r="H33" s="24" t="s">
        <v>1079</v>
      </c>
      <c r="I33" s="24" t="s">
        <v>1088</v>
      </c>
      <c r="J33" s="24" t="s">
        <v>1081</v>
      </c>
      <c r="K33" s="24" t="s">
        <v>1082</v>
      </c>
      <c r="L33" s="24" t="s">
        <v>1083</v>
      </c>
      <c r="M33" s="24">
        <v>1</v>
      </c>
      <c r="N33" s="24" t="s">
        <v>345</v>
      </c>
      <c r="O33" s="24" t="s">
        <v>1084</v>
      </c>
    </row>
    <row r="34" spans="1:15">
      <c r="A34" s="24" t="s">
        <v>1106</v>
      </c>
      <c r="B34" s="24" t="s">
        <v>820</v>
      </c>
      <c r="C34" s="24" t="s">
        <v>62</v>
      </c>
      <c r="D34" s="24" t="s">
        <v>63</v>
      </c>
      <c r="E34" s="24" t="s">
        <v>1076</v>
      </c>
      <c r="F34" s="24" t="s">
        <v>1077</v>
      </c>
      <c r="G34" s="24" t="s">
        <v>1078</v>
      </c>
      <c r="H34" s="24" t="s">
        <v>1079</v>
      </c>
      <c r="I34" s="24" t="s">
        <v>1107</v>
      </c>
      <c r="J34" s="24" t="s">
        <v>1081</v>
      </c>
      <c r="K34" s="24" t="s">
        <v>1082</v>
      </c>
      <c r="L34" s="24" t="s">
        <v>1083</v>
      </c>
      <c r="M34" s="24">
        <v>1</v>
      </c>
      <c r="N34" s="24" t="s">
        <v>345</v>
      </c>
      <c r="O34" s="24" t="s">
        <v>1084</v>
      </c>
    </row>
    <row r="35" spans="1:15">
      <c r="A35" s="24" t="s">
        <v>1108</v>
      </c>
      <c r="B35" s="24" t="s">
        <v>820</v>
      </c>
      <c r="C35" s="24" t="s">
        <v>62</v>
      </c>
      <c r="D35" s="24" t="s">
        <v>63</v>
      </c>
      <c r="E35" s="24" t="s">
        <v>1076</v>
      </c>
      <c r="F35" s="24" t="s">
        <v>1077</v>
      </c>
      <c r="G35" s="24" t="s">
        <v>1078</v>
      </c>
      <c r="H35" s="24" t="s">
        <v>1079</v>
      </c>
      <c r="I35" s="24" t="s">
        <v>1088</v>
      </c>
      <c r="J35" s="24" t="s">
        <v>1081</v>
      </c>
      <c r="K35" s="24" t="s">
        <v>1082</v>
      </c>
      <c r="L35" s="24" t="s">
        <v>1083</v>
      </c>
      <c r="M35" s="24">
        <v>1</v>
      </c>
      <c r="N35" s="24" t="s">
        <v>345</v>
      </c>
      <c r="O35" s="24" t="s">
        <v>1084</v>
      </c>
    </row>
    <row r="36" spans="1:15">
      <c r="A36" s="24" t="s">
        <v>1108</v>
      </c>
      <c r="B36" s="24" t="s">
        <v>820</v>
      </c>
      <c r="C36" s="24" t="s">
        <v>62</v>
      </c>
      <c r="D36" s="24" t="s">
        <v>63</v>
      </c>
      <c r="E36" s="24" t="s">
        <v>1076</v>
      </c>
      <c r="F36" s="24" t="s">
        <v>1077</v>
      </c>
      <c r="G36" s="24" t="s">
        <v>1078</v>
      </c>
      <c r="H36" s="24" t="s">
        <v>1079</v>
      </c>
      <c r="I36" s="24" t="s">
        <v>1088</v>
      </c>
      <c r="J36" s="24" t="s">
        <v>1081</v>
      </c>
      <c r="K36" s="24" t="s">
        <v>1082</v>
      </c>
      <c r="L36" s="24" t="s">
        <v>1083</v>
      </c>
      <c r="M36" s="24">
        <v>1</v>
      </c>
      <c r="N36" s="24" t="s">
        <v>345</v>
      </c>
      <c r="O36" s="24" t="s">
        <v>1084</v>
      </c>
    </row>
    <row r="37" spans="1:15">
      <c r="A37" s="24" t="s">
        <v>1109</v>
      </c>
      <c r="B37" s="24" t="s">
        <v>820</v>
      </c>
      <c r="C37" s="24" t="s">
        <v>62</v>
      </c>
      <c r="D37" s="24" t="s">
        <v>63</v>
      </c>
      <c r="E37" s="24" t="s">
        <v>1076</v>
      </c>
      <c r="F37" s="24" t="s">
        <v>1077</v>
      </c>
      <c r="G37" s="24" t="s">
        <v>1078</v>
      </c>
      <c r="H37" s="24" t="s">
        <v>1079</v>
      </c>
      <c r="I37" s="24" t="s">
        <v>1080</v>
      </c>
      <c r="J37" s="24" t="s">
        <v>1081</v>
      </c>
      <c r="K37" s="24" t="s">
        <v>1082</v>
      </c>
      <c r="L37" s="24" t="s">
        <v>1083</v>
      </c>
      <c r="M37" s="24">
        <v>1</v>
      </c>
      <c r="N37" s="24" t="s">
        <v>345</v>
      </c>
      <c r="O37" s="24" t="s">
        <v>1084</v>
      </c>
    </row>
    <row r="38" spans="1:15">
      <c r="A38" s="24" t="s">
        <v>1110</v>
      </c>
      <c r="B38" s="24" t="s">
        <v>820</v>
      </c>
      <c r="C38" s="24" t="s">
        <v>62</v>
      </c>
      <c r="D38" s="24" t="s">
        <v>63</v>
      </c>
      <c r="E38" s="24" t="s">
        <v>1076</v>
      </c>
      <c r="F38" s="24" t="s">
        <v>1077</v>
      </c>
      <c r="G38" s="24" t="s">
        <v>1078</v>
      </c>
      <c r="H38" s="24" t="s">
        <v>1079</v>
      </c>
      <c r="I38" s="24" t="s">
        <v>1086</v>
      </c>
      <c r="J38" s="24" t="s">
        <v>1081</v>
      </c>
      <c r="K38" s="24" t="s">
        <v>1082</v>
      </c>
      <c r="L38" s="24" t="s">
        <v>1083</v>
      </c>
      <c r="M38" s="24">
        <v>1</v>
      </c>
      <c r="N38" s="24" t="s">
        <v>345</v>
      </c>
      <c r="O38" s="24" t="s">
        <v>1084</v>
      </c>
    </row>
    <row r="39" spans="1:15">
      <c r="A39" s="24" t="s">
        <v>1109</v>
      </c>
      <c r="B39" s="24" t="s">
        <v>820</v>
      </c>
      <c r="C39" s="24" t="s">
        <v>62</v>
      </c>
      <c r="D39" s="24" t="s">
        <v>63</v>
      </c>
      <c r="E39" s="24" t="s">
        <v>1076</v>
      </c>
      <c r="F39" s="24" t="s">
        <v>1077</v>
      </c>
      <c r="G39" s="24" t="s">
        <v>1078</v>
      </c>
      <c r="H39" s="24" t="s">
        <v>1079</v>
      </c>
      <c r="I39" s="24" t="s">
        <v>1080</v>
      </c>
      <c r="J39" s="24" t="s">
        <v>1081</v>
      </c>
      <c r="K39" s="24" t="s">
        <v>1082</v>
      </c>
      <c r="L39" s="24" t="s">
        <v>1083</v>
      </c>
      <c r="M39" s="24">
        <v>1</v>
      </c>
      <c r="N39" s="24" t="s">
        <v>345</v>
      </c>
      <c r="O39" s="24" t="s">
        <v>1084</v>
      </c>
    </row>
    <row r="40" spans="1:15">
      <c r="A40" s="24" t="s">
        <v>1110</v>
      </c>
      <c r="B40" s="24" t="s">
        <v>820</v>
      </c>
      <c r="C40" s="24" t="s">
        <v>62</v>
      </c>
      <c r="D40" s="24" t="s">
        <v>63</v>
      </c>
      <c r="E40" s="24" t="s">
        <v>1076</v>
      </c>
      <c r="F40" s="24" t="s">
        <v>1077</v>
      </c>
      <c r="G40" s="24" t="s">
        <v>1078</v>
      </c>
      <c r="H40" s="24" t="s">
        <v>1079</v>
      </c>
      <c r="I40" s="24" t="s">
        <v>1086</v>
      </c>
      <c r="J40" s="24" t="s">
        <v>1081</v>
      </c>
      <c r="K40" s="24" t="s">
        <v>1082</v>
      </c>
      <c r="L40" s="24" t="s">
        <v>1083</v>
      </c>
      <c r="M40" s="24">
        <v>1</v>
      </c>
      <c r="N40" s="24" t="s">
        <v>345</v>
      </c>
      <c r="O40" s="24" t="s">
        <v>1084</v>
      </c>
    </row>
    <row r="41" spans="1:15">
      <c r="A41" s="24" t="s">
        <v>1111</v>
      </c>
      <c r="B41" s="24" t="s">
        <v>820</v>
      </c>
      <c r="C41" s="24" t="s">
        <v>62</v>
      </c>
      <c r="D41" s="24" t="s">
        <v>63</v>
      </c>
      <c r="E41" s="24" t="s">
        <v>1076</v>
      </c>
      <c r="F41" s="24" t="s">
        <v>1077</v>
      </c>
      <c r="G41" s="24" t="s">
        <v>1078</v>
      </c>
      <c r="H41" s="24" t="s">
        <v>1079</v>
      </c>
      <c r="I41" s="24" t="s">
        <v>1088</v>
      </c>
      <c r="J41" s="24" t="s">
        <v>1081</v>
      </c>
      <c r="K41" s="24" t="s">
        <v>1082</v>
      </c>
      <c r="L41" s="24" t="s">
        <v>1083</v>
      </c>
      <c r="M41" s="24">
        <v>1</v>
      </c>
      <c r="N41" s="24" t="s">
        <v>345</v>
      </c>
      <c r="O41" s="24" t="s">
        <v>1084</v>
      </c>
    </row>
    <row r="42" spans="1:15">
      <c r="A42" s="24" t="s">
        <v>1111</v>
      </c>
      <c r="B42" s="24" t="s">
        <v>820</v>
      </c>
      <c r="C42" s="24" t="s">
        <v>62</v>
      </c>
      <c r="D42" s="24" t="s">
        <v>63</v>
      </c>
      <c r="E42" s="24" t="s">
        <v>1076</v>
      </c>
      <c r="F42" s="24" t="s">
        <v>1077</v>
      </c>
      <c r="G42" s="24" t="s">
        <v>1078</v>
      </c>
      <c r="H42" s="24" t="s">
        <v>1079</v>
      </c>
      <c r="I42" s="24" t="s">
        <v>1088</v>
      </c>
      <c r="J42" s="24" t="s">
        <v>1081</v>
      </c>
      <c r="K42" s="24" t="s">
        <v>1082</v>
      </c>
      <c r="L42" s="24" t="s">
        <v>1083</v>
      </c>
      <c r="M42" s="24">
        <v>1</v>
      </c>
      <c r="N42" s="24" t="s">
        <v>345</v>
      </c>
      <c r="O42" s="24" t="s">
        <v>1084</v>
      </c>
    </row>
    <row r="43" spans="1:15">
      <c r="A43" s="24" t="s">
        <v>1112</v>
      </c>
      <c r="B43" s="24" t="s">
        <v>820</v>
      </c>
      <c r="C43" s="24" t="s">
        <v>71</v>
      </c>
      <c r="D43" s="24" t="s">
        <v>72</v>
      </c>
      <c r="E43" s="24" t="s">
        <v>1113</v>
      </c>
      <c r="F43" s="24" t="s">
        <v>1114</v>
      </c>
      <c r="G43" s="24" t="s">
        <v>1078</v>
      </c>
      <c r="H43" s="24" t="s">
        <v>1079</v>
      </c>
      <c r="I43" s="24" t="s">
        <v>1115</v>
      </c>
      <c r="J43" s="24" t="s">
        <v>1081</v>
      </c>
      <c r="K43" s="24" t="s">
        <v>1082</v>
      </c>
      <c r="L43" s="24" t="s">
        <v>1083</v>
      </c>
      <c r="M43" s="24">
        <v>1</v>
      </c>
      <c r="N43" s="24" t="s">
        <v>345</v>
      </c>
      <c r="O43" s="24" t="s">
        <v>1116</v>
      </c>
    </row>
    <row r="44" spans="1:15">
      <c r="A44" s="24" t="s">
        <v>1117</v>
      </c>
      <c r="B44" s="24" t="s">
        <v>820</v>
      </c>
      <c r="C44" s="24" t="s">
        <v>71</v>
      </c>
      <c r="D44" s="24" t="s">
        <v>72</v>
      </c>
      <c r="E44" s="24" t="s">
        <v>1113</v>
      </c>
      <c r="F44" s="24" t="s">
        <v>1114</v>
      </c>
      <c r="G44" s="24" t="s">
        <v>1078</v>
      </c>
      <c r="H44" s="24" t="s">
        <v>1079</v>
      </c>
      <c r="I44" s="24" t="s">
        <v>1118</v>
      </c>
      <c r="J44" s="24" t="s">
        <v>1081</v>
      </c>
      <c r="K44" s="24" t="s">
        <v>1082</v>
      </c>
      <c r="L44" s="24" t="s">
        <v>1083</v>
      </c>
      <c r="M44" s="24">
        <v>1</v>
      </c>
      <c r="N44" s="24" t="s">
        <v>345</v>
      </c>
      <c r="O44" s="24" t="s">
        <v>1116</v>
      </c>
    </row>
    <row r="45" spans="1:15">
      <c r="A45" s="24" t="s">
        <v>1119</v>
      </c>
      <c r="B45" s="24" t="s">
        <v>820</v>
      </c>
      <c r="C45" s="24" t="s">
        <v>71</v>
      </c>
      <c r="D45" s="24" t="s">
        <v>72</v>
      </c>
      <c r="E45" s="24" t="s">
        <v>1113</v>
      </c>
      <c r="F45" s="24" t="s">
        <v>1114</v>
      </c>
      <c r="G45" s="24" t="s">
        <v>1078</v>
      </c>
      <c r="H45" s="24" t="s">
        <v>1079</v>
      </c>
      <c r="I45" s="24" t="s">
        <v>1120</v>
      </c>
      <c r="J45" s="24" t="s">
        <v>1081</v>
      </c>
      <c r="K45" s="24" t="s">
        <v>1082</v>
      </c>
      <c r="L45" s="24" t="s">
        <v>1083</v>
      </c>
      <c r="M45" s="24">
        <v>1</v>
      </c>
      <c r="N45" s="24" t="s">
        <v>345</v>
      </c>
      <c r="O45" s="24" t="s">
        <v>1116</v>
      </c>
    </row>
    <row r="46" spans="1:15">
      <c r="A46" s="24" t="s">
        <v>1121</v>
      </c>
      <c r="B46" s="24" t="s">
        <v>820</v>
      </c>
      <c r="C46" s="24" t="s">
        <v>71</v>
      </c>
      <c r="D46" s="24" t="s">
        <v>72</v>
      </c>
      <c r="E46" s="24" t="s">
        <v>1113</v>
      </c>
      <c r="F46" s="24" t="s">
        <v>1114</v>
      </c>
      <c r="G46" s="24" t="s">
        <v>1078</v>
      </c>
      <c r="H46" s="24" t="s">
        <v>1079</v>
      </c>
      <c r="I46" s="24" t="s">
        <v>1122</v>
      </c>
      <c r="J46" s="24" t="s">
        <v>1081</v>
      </c>
      <c r="K46" s="24" t="s">
        <v>1082</v>
      </c>
      <c r="L46" s="24" t="s">
        <v>1083</v>
      </c>
      <c r="M46" s="24">
        <v>1</v>
      </c>
      <c r="N46" s="24" t="s">
        <v>345</v>
      </c>
      <c r="O46" s="24" t="s">
        <v>1116</v>
      </c>
    </row>
    <row r="47" spans="1:15">
      <c r="A47" s="24" t="s">
        <v>1123</v>
      </c>
      <c r="B47" s="24" t="s">
        <v>820</v>
      </c>
      <c r="C47" s="24" t="s">
        <v>71</v>
      </c>
      <c r="D47" s="24" t="s">
        <v>72</v>
      </c>
      <c r="E47" s="24" t="s">
        <v>1113</v>
      </c>
      <c r="F47" s="24" t="s">
        <v>1114</v>
      </c>
      <c r="G47" s="24" t="s">
        <v>1078</v>
      </c>
      <c r="H47" s="24" t="s">
        <v>1079</v>
      </c>
      <c r="I47" s="24" t="s">
        <v>1124</v>
      </c>
      <c r="J47" s="24" t="s">
        <v>1081</v>
      </c>
      <c r="K47" s="24" t="s">
        <v>1082</v>
      </c>
      <c r="L47" s="24" t="s">
        <v>1083</v>
      </c>
      <c r="M47" s="24">
        <v>1</v>
      </c>
      <c r="N47" s="24" t="s">
        <v>345</v>
      </c>
      <c r="O47" s="24" t="s">
        <v>1116</v>
      </c>
    </row>
    <row r="48" spans="1:15">
      <c r="A48" s="24" t="s">
        <v>1112</v>
      </c>
      <c r="B48" s="24" t="s">
        <v>820</v>
      </c>
      <c r="C48" s="24" t="s">
        <v>71</v>
      </c>
      <c r="D48" s="24" t="s">
        <v>72</v>
      </c>
      <c r="E48" s="24" t="s">
        <v>1113</v>
      </c>
      <c r="F48" s="24" t="s">
        <v>1114</v>
      </c>
      <c r="G48" s="24" t="s">
        <v>1078</v>
      </c>
      <c r="H48" s="24" t="s">
        <v>1079</v>
      </c>
      <c r="I48" s="24" t="s">
        <v>1115</v>
      </c>
      <c r="J48" s="24" t="s">
        <v>1081</v>
      </c>
      <c r="K48" s="24" t="s">
        <v>1082</v>
      </c>
      <c r="L48" s="24" t="s">
        <v>1083</v>
      </c>
      <c r="M48" s="24">
        <v>1</v>
      </c>
      <c r="N48" s="24" t="s">
        <v>345</v>
      </c>
      <c r="O48" s="24" t="s">
        <v>1116</v>
      </c>
    </row>
    <row r="49" spans="1:15">
      <c r="A49" s="24" t="s">
        <v>1117</v>
      </c>
      <c r="B49" s="24" t="s">
        <v>820</v>
      </c>
      <c r="C49" s="24" t="s">
        <v>71</v>
      </c>
      <c r="D49" s="24" t="s">
        <v>72</v>
      </c>
      <c r="E49" s="24" t="s">
        <v>1113</v>
      </c>
      <c r="F49" s="24" t="s">
        <v>1114</v>
      </c>
      <c r="G49" s="24" t="s">
        <v>1078</v>
      </c>
      <c r="H49" s="24" t="s">
        <v>1079</v>
      </c>
      <c r="I49" s="24" t="s">
        <v>1118</v>
      </c>
      <c r="J49" s="24" t="s">
        <v>1081</v>
      </c>
      <c r="K49" s="24" t="s">
        <v>1082</v>
      </c>
      <c r="L49" s="24" t="s">
        <v>1083</v>
      </c>
      <c r="M49" s="24">
        <v>1</v>
      </c>
      <c r="N49" s="24" t="s">
        <v>345</v>
      </c>
      <c r="O49" s="24" t="s">
        <v>1116</v>
      </c>
    </row>
    <row r="50" spans="1:15">
      <c r="A50" s="24" t="s">
        <v>1119</v>
      </c>
      <c r="B50" s="24" t="s">
        <v>820</v>
      </c>
      <c r="C50" s="24" t="s">
        <v>71</v>
      </c>
      <c r="D50" s="24" t="s">
        <v>72</v>
      </c>
      <c r="E50" s="24" t="s">
        <v>1113</v>
      </c>
      <c r="F50" s="24" t="s">
        <v>1114</v>
      </c>
      <c r="G50" s="24" t="s">
        <v>1078</v>
      </c>
      <c r="H50" s="24" t="s">
        <v>1079</v>
      </c>
      <c r="I50" s="24" t="s">
        <v>1120</v>
      </c>
      <c r="J50" s="24" t="s">
        <v>1081</v>
      </c>
      <c r="K50" s="24" t="s">
        <v>1082</v>
      </c>
      <c r="L50" s="24" t="s">
        <v>1083</v>
      </c>
      <c r="M50" s="24">
        <v>1</v>
      </c>
      <c r="N50" s="24" t="s">
        <v>345</v>
      </c>
      <c r="O50" s="24" t="s">
        <v>1116</v>
      </c>
    </row>
    <row r="51" spans="1:15">
      <c r="A51" s="24" t="s">
        <v>1121</v>
      </c>
      <c r="B51" s="24" t="s">
        <v>820</v>
      </c>
      <c r="C51" s="24" t="s">
        <v>71</v>
      </c>
      <c r="D51" s="24" t="s">
        <v>72</v>
      </c>
      <c r="E51" s="24" t="s">
        <v>1113</v>
      </c>
      <c r="F51" s="24" t="s">
        <v>1114</v>
      </c>
      <c r="G51" s="24" t="s">
        <v>1078</v>
      </c>
      <c r="H51" s="24" t="s">
        <v>1079</v>
      </c>
      <c r="I51" s="24" t="s">
        <v>1122</v>
      </c>
      <c r="J51" s="24" t="s">
        <v>1081</v>
      </c>
      <c r="K51" s="24" t="s">
        <v>1082</v>
      </c>
      <c r="L51" s="24" t="s">
        <v>1083</v>
      </c>
      <c r="M51" s="24">
        <v>1</v>
      </c>
      <c r="N51" s="24" t="s">
        <v>345</v>
      </c>
      <c r="O51" s="24" t="s">
        <v>1116</v>
      </c>
    </row>
    <row r="52" spans="1:15">
      <c r="A52" s="24" t="s">
        <v>1123</v>
      </c>
      <c r="B52" s="24" t="s">
        <v>820</v>
      </c>
      <c r="C52" s="24" t="s">
        <v>71</v>
      </c>
      <c r="D52" s="24" t="s">
        <v>72</v>
      </c>
      <c r="E52" s="24" t="s">
        <v>1113</v>
      </c>
      <c r="F52" s="24" t="s">
        <v>1114</v>
      </c>
      <c r="G52" s="24" t="s">
        <v>1078</v>
      </c>
      <c r="H52" s="24" t="s">
        <v>1079</v>
      </c>
      <c r="I52" s="24" t="s">
        <v>1124</v>
      </c>
      <c r="J52" s="24" t="s">
        <v>1081</v>
      </c>
      <c r="K52" s="24" t="s">
        <v>1082</v>
      </c>
      <c r="L52" s="24" t="s">
        <v>1083</v>
      </c>
      <c r="M52" s="24">
        <v>1</v>
      </c>
      <c r="N52" s="24" t="s">
        <v>345</v>
      </c>
      <c r="O52" s="24" t="s">
        <v>1116</v>
      </c>
    </row>
    <row r="53" spans="1:15">
      <c r="A53" s="24" t="s">
        <v>1125</v>
      </c>
      <c r="B53" s="24" t="s">
        <v>820</v>
      </c>
      <c r="C53" s="24" t="s">
        <v>71</v>
      </c>
      <c r="D53" s="24" t="s">
        <v>72</v>
      </c>
      <c r="E53" s="24" t="s">
        <v>1113</v>
      </c>
      <c r="F53" s="24" t="s">
        <v>1114</v>
      </c>
      <c r="G53" s="24" t="s">
        <v>1078</v>
      </c>
      <c r="H53" s="24" t="s">
        <v>1079</v>
      </c>
      <c r="I53" s="24" t="s">
        <v>1126</v>
      </c>
      <c r="J53" s="24" t="s">
        <v>1081</v>
      </c>
      <c r="K53" s="24" t="s">
        <v>1082</v>
      </c>
      <c r="L53" s="24" t="s">
        <v>1083</v>
      </c>
      <c r="M53" s="24">
        <v>1</v>
      </c>
      <c r="N53" s="24" t="s">
        <v>345</v>
      </c>
      <c r="O53" s="24" t="s">
        <v>1116</v>
      </c>
    </row>
    <row r="54" spans="1:15">
      <c r="A54" s="24" t="s">
        <v>1125</v>
      </c>
      <c r="B54" s="24" t="s">
        <v>820</v>
      </c>
      <c r="C54" s="24" t="s">
        <v>71</v>
      </c>
      <c r="D54" s="24" t="s">
        <v>72</v>
      </c>
      <c r="E54" s="24" t="s">
        <v>1113</v>
      </c>
      <c r="F54" s="24" t="s">
        <v>1114</v>
      </c>
      <c r="G54" s="24" t="s">
        <v>1078</v>
      </c>
      <c r="H54" s="24" t="s">
        <v>1079</v>
      </c>
      <c r="I54" s="24" t="s">
        <v>1126</v>
      </c>
      <c r="J54" s="24" t="s">
        <v>1081</v>
      </c>
      <c r="K54" s="24" t="s">
        <v>1082</v>
      </c>
      <c r="L54" s="24" t="s">
        <v>1083</v>
      </c>
      <c r="M54" s="24">
        <v>1</v>
      </c>
      <c r="N54" s="24" t="s">
        <v>345</v>
      </c>
      <c r="O54" s="24" t="s">
        <v>1116</v>
      </c>
    </row>
    <row r="55" spans="1:15">
      <c r="A55" s="24" t="s">
        <v>1127</v>
      </c>
      <c r="B55" s="24" t="s">
        <v>820</v>
      </c>
      <c r="C55" s="24" t="s">
        <v>71</v>
      </c>
      <c r="D55" s="24" t="s">
        <v>72</v>
      </c>
      <c r="E55" s="24" t="s">
        <v>1113</v>
      </c>
      <c r="F55" s="24" t="s">
        <v>1114</v>
      </c>
      <c r="G55" s="24" t="s">
        <v>1078</v>
      </c>
      <c r="H55" s="24" t="s">
        <v>1079</v>
      </c>
      <c r="I55" s="24" t="s">
        <v>1128</v>
      </c>
      <c r="J55" s="24" t="s">
        <v>1081</v>
      </c>
      <c r="K55" s="24" t="s">
        <v>1082</v>
      </c>
      <c r="L55" s="24" t="s">
        <v>1083</v>
      </c>
      <c r="M55" s="24">
        <v>1</v>
      </c>
      <c r="N55" s="24" t="s">
        <v>345</v>
      </c>
      <c r="O55" s="24" t="s">
        <v>1116</v>
      </c>
    </row>
    <row r="56" spans="1:15">
      <c r="A56" s="24" t="s">
        <v>1129</v>
      </c>
      <c r="B56" s="24" t="s">
        <v>820</v>
      </c>
      <c r="C56" s="24" t="s">
        <v>71</v>
      </c>
      <c r="D56" s="24" t="s">
        <v>72</v>
      </c>
      <c r="E56" s="24" t="s">
        <v>1113</v>
      </c>
      <c r="F56" s="24" t="s">
        <v>1114</v>
      </c>
      <c r="G56" s="24" t="s">
        <v>1078</v>
      </c>
      <c r="H56" s="24" t="s">
        <v>1079</v>
      </c>
      <c r="I56" s="24" t="s">
        <v>1130</v>
      </c>
      <c r="J56" s="24" t="s">
        <v>1081</v>
      </c>
      <c r="K56" s="24" t="s">
        <v>1082</v>
      </c>
      <c r="L56" s="24" t="s">
        <v>1083</v>
      </c>
      <c r="M56" s="24">
        <v>1</v>
      </c>
      <c r="N56" s="24" t="s">
        <v>345</v>
      </c>
      <c r="O56" s="24" t="s">
        <v>1116</v>
      </c>
    </row>
    <row r="57" spans="1:15">
      <c r="A57" s="24" t="s">
        <v>1131</v>
      </c>
      <c r="B57" s="24" t="s">
        <v>820</v>
      </c>
      <c r="C57" s="24" t="s">
        <v>71</v>
      </c>
      <c r="D57" s="24" t="s">
        <v>72</v>
      </c>
      <c r="E57" s="24" t="s">
        <v>1113</v>
      </c>
      <c r="F57" s="24" t="s">
        <v>1114</v>
      </c>
      <c r="G57" s="24" t="s">
        <v>1078</v>
      </c>
      <c r="H57" s="24" t="s">
        <v>1079</v>
      </c>
      <c r="I57" s="24" t="s">
        <v>1132</v>
      </c>
      <c r="J57" s="24" t="s">
        <v>1081</v>
      </c>
      <c r="K57" s="24" t="s">
        <v>1082</v>
      </c>
      <c r="L57" s="24" t="s">
        <v>1083</v>
      </c>
      <c r="M57" s="24">
        <v>1</v>
      </c>
      <c r="N57" s="24" t="s">
        <v>345</v>
      </c>
      <c r="O57" s="24" t="s">
        <v>1116</v>
      </c>
    </row>
    <row r="58" spans="1:15">
      <c r="A58" s="24" t="s">
        <v>1133</v>
      </c>
      <c r="B58" s="24" t="s">
        <v>820</v>
      </c>
      <c r="C58" s="24" t="s">
        <v>71</v>
      </c>
      <c r="D58" s="24" t="s">
        <v>72</v>
      </c>
      <c r="E58" s="24" t="s">
        <v>1113</v>
      </c>
      <c r="F58" s="24" t="s">
        <v>1114</v>
      </c>
      <c r="G58" s="24" t="s">
        <v>1078</v>
      </c>
      <c r="H58" s="24" t="s">
        <v>1079</v>
      </c>
      <c r="I58" s="24" t="s">
        <v>1134</v>
      </c>
      <c r="J58" s="24" t="s">
        <v>1081</v>
      </c>
      <c r="K58" s="24" t="s">
        <v>1082</v>
      </c>
      <c r="L58" s="24" t="s">
        <v>1083</v>
      </c>
      <c r="M58" s="24">
        <v>1</v>
      </c>
      <c r="N58" s="24" t="s">
        <v>345</v>
      </c>
      <c r="O58" s="24" t="s">
        <v>1116</v>
      </c>
    </row>
    <row r="59" spans="1:15">
      <c r="A59" s="24" t="s">
        <v>1127</v>
      </c>
      <c r="B59" s="24" t="s">
        <v>820</v>
      </c>
      <c r="C59" s="24" t="s">
        <v>71</v>
      </c>
      <c r="D59" s="24" t="s">
        <v>72</v>
      </c>
      <c r="E59" s="24" t="s">
        <v>1113</v>
      </c>
      <c r="F59" s="24" t="s">
        <v>1114</v>
      </c>
      <c r="G59" s="24" t="s">
        <v>1078</v>
      </c>
      <c r="H59" s="24" t="s">
        <v>1079</v>
      </c>
      <c r="I59" s="24" t="s">
        <v>1128</v>
      </c>
      <c r="J59" s="24" t="s">
        <v>1081</v>
      </c>
      <c r="K59" s="24" t="s">
        <v>1082</v>
      </c>
      <c r="L59" s="24" t="s">
        <v>1083</v>
      </c>
      <c r="M59" s="24">
        <v>1</v>
      </c>
      <c r="N59" s="24" t="s">
        <v>345</v>
      </c>
      <c r="O59" s="24" t="s">
        <v>1116</v>
      </c>
    </row>
    <row r="60" spans="1:15">
      <c r="A60" s="24" t="s">
        <v>1129</v>
      </c>
      <c r="B60" s="24" t="s">
        <v>820</v>
      </c>
      <c r="C60" s="24" t="s">
        <v>71</v>
      </c>
      <c r="D60" s="24" t="s">
        <v>72</v>
      </c>
      <c r="E60" s="24" t="s">
        <v>1113</v>
      </c>
      <c r="F60" s="24" t="s">
        <v>1114</v>
      </c>
      <c r="G60" s="24" t="s">
        <v>1078</v>
      </c>
      <c r="H60" s="24" t="s">
        <v>1079</v>
      </c>
      <c r="I60" s="24" t="s">
        <v>1130</v>
      </c>
      <c r="J60" s="24" t="s">
        <v>1081</v>
      </c>
      <c r="K60" s="24" t="s">
        <v>1082</v>
      </c>
      <c r="L60" s="24" t="s">
        <v>1083</v>
      </c>
      <c r="M60" s="24">
        <v>1</v>
      </c>
      <c r="N60" s="24" t="s">
        <v>345</v>
      </c>
      <c r="O60" s="24" t="s">
        <v>1116</v>
      </c>
    </row>
    <row r="61" spans="1:15">
      <c r="A61" s="24" t="s">
        <v>1131</v>
      </c>
      <c r="B61" s="24" t="s">
        <v>820</v>
      </c>
      <c r="C61" s="24" t="s">
        <v>71</v>
      </c>
      <c r="D61" s="24" t="s">
        <v>72</v>
      </c>
      <c r="E61" s="24" t="s">
        <v>1113</v>
      </c>
      <c r="F61" s="24" t="s">
        <v>1114</v>
      </c>
      <c r="G61" s="24" t="s">
        <v>1078</v>
      </c>
      <c r="H61" s="24" t="s">
        <v>1079</v>
      </c>
      <c r="I61" s="24" t="s">
        <v>1132</v>
      </c>
      <c r="J61" s="24" t="s">
        <v>1081</v>
      </c>
      <c r="K61" s="24" t="s">
        <v>1082</v>
      </c>
      <c r="L61" s="24" t="s">
        <v>1083</v>
      </c>
      <c r="M61" s="24">
        <v>1</v>
      </c>
      <c r="N61" s="24" t="s">
        <v>345</v>
      </c>
      <c r="O61" s="24" t="s">
        <v>1116</v>
      </c>
    </row>
    <row r="62" spans="1:15">
      <c r="A62" s="24" t="s">
        <v>1133</v>
      </c>
      <c r="B62" s="24" t="s">
        <v>820</v>
      </c>
      <c r="C62" s="24" t="s">
        <v>71</v>
      </c>
      <c r="D62" s="24" t="s">
        <v>72</v>
      </c>
      <c r="E62" s="24" t="s">
        <v>1113</v>
      </c>
      <c r="F62" s="24" t="s">
        <v>1114</v>
      </c>
      <c r="G62" s="24" t="s">
        <v>1078</v>
      </c>
      <c r="H62" s="24" t="s">
        <v>1079</v>
      </c>
      <c r="I62" s="24" t="s">
        <v>1134</v>
      </c>
      <c r="J62" s="24" t="s">
        <v>1081</v>
      </c>
      <c r="K62" s="24" t="s">
        <v>1082</v>
      </c>
      <c r="L62" s="24" t="s">
        <v>1083</v>
      </c>
      <c r="M62" s="24">
        <v>1</v>
      </c>
      <c r="N62" s="24" t="s">
        <v>345</v>
      </c>
      <c r="O62" s="24" t="s">
        <v>1116</v>
      </c>
    </row>
    <row r="63" spans="1:15">
      <c r="A63" s="24" t="s">
        <v>1135</v>
      </c>
      <c r="B63" s="24" t="s">
        <v>820</v>
      </c>
      <c r="C63" s="24" t="s">
        <v>71</v>
      </c>
      <c r="D63" s="24" t="s">
        <v>72</v>
      </c>
      <c r="E63" s="24" t="s">
        <v>1113</v>
      </c>
      <c r="F63" s="24" t="s">
        <v>1114</v>
      </c>
      <c r="G63" s="24" t="s">
        <v>1078</v>
      </c>
      <c r="H63" s="24" t="s">
        <v>1079</v>
      </c>
      <c r="I63" s="24" t="s">
        <v>1136</v>
      </c>
      <c r="J63" s="24" t="s">
        <v>1081</v>
      </c>
      <c r="K63" s="24" t="s">
        <v>1082</v>
      </c>
      <c r="L63" s="24" t="s">
        <v>1083</v>
      </c>
      <c r="M63" s="24">
        <v>1</v>
      </c>
      <c r="N63" s="24" t="s">
        <v>345</v>
      </c>
      <c r="O63" s="24" t="s">
        <v>1116</v>
      </c>
    </row>
    <row r="64" spans="1:15">
      <c r="A64" s="24" t="s">
        <v>1137</v>
      </c>
      <c r="B64" s="24" t="s">
        <v>820</v>
      </c>
      <c r="C64" s="24" t="s">
        <v>71</v>
      </c>
      <c r="D64" s="24" t="s">
        <v>72</v>
      </c>
      <c r="E64" s="24" t="s">
        <v>1113</v>
      </c>
      <c r="F64" s="24" t="s">
        <v>1114</v>
      </c>
      <c r="G64" s="24" t="s">
        <v>1078</v>
      </c>
      <c r="H64" s="24" t="s">
        <v>1079</v>
      </c>
      <c r="I64" s="24" t="s">
        <v>1138</v>
      </c>
      <c r="J64" s="24" t="s">
        <v>1081</v>
      </c>
      <c r="K64" s="24" t="s">
        <v>1082</v>
      </c>
      <c r="L64" s="24" t="s">
        <v>1083</v>
      </c>
      <c r="M64" s="24">
        <v>1</v>
      </c>
      <c r="N64" s="24" t="s">
        <v>345</v>
      </c>
      <c r="O64" s="24" t="s">
        <v>1116</v>
      </c>
    </row>
    <row r="65" spans="1:15">
      <c r="A65" s="24" t="s">
        <v>1139</v>
      </c>
      <c r="B65" s="24" t="s">
        <v>820</v>
      </c>
      <c r="C65" s="24" t="s">
        <v>71</v>
      </c>
      <c r="D65" s="24" t="s">
        <v>72</v>
      </c>
      <c r="E65" s="24" t="s">
        <v>1113</v>
      </c>
      <c r="F65" s="24" t="s">
        <v>1114</v>
      </c>
      <c r="G65" s="24" t="s">
        <v>1078</v>
      </c>
      <c r="H65" s="24" t="s">
        <v>1079</v>
      </c>
      <c r="I65" s="24" t="s">
        <v>1140</v>
      </c>
      <c r="J65" s="24" t="s">
        <v>1081</v>
      </c>
      <c r="K65" s="24" t="s">
        <v>1082</v>
      </c>
      <c r="L65" s="24" t="s">
        <v>1083</v>
      </c>
      <c r="M65" s="24">
        <v>1</v>
      </c>
      <c r="N65" s="24" t="s">
        <v>345</v>
      </c>
      <c r="O65" s="24" t="s">
        <v>1116</v>
      </c>
    </row>
    <row r="66" spans="1:15">
      <c r="A66" s="24" t="s">
        <v>1141</v>
      </c>
      <c r="B66" s="24" t="s">
        <v>820</v>
      </c>
      <c r="C66" s="24" t="s">
        <v>71</v>
      </c>
      <c r="D66" s="24" t="s">
        <v>72</v>
      </c>
      <c r="E66" s="24" t="s">
        <v>1113</v>
      </c>
      <c r="F66" s="24" t="s">
        <v>1114</v>
      </c>
      <c r="G66" s="24" t="s">
        <v>1078</v>
      </c>
      <c r="H66" s="24" t="s">
        <v>1079</v>
      </c>
      <c r="I66" s="24" t="s">
        <v>1142</v>
      </c>
      <c r="J66" s="24" t="s">
        <v>1081</v>
      </c>
      <c r="K66" s="24" t="s">
        <v>1082</v>
      </c>
      <c r="L66" s="24" t="s">
        <v>1083</v>
      </c>
      <c r="M66" s="24">
        <v>1</v>
      </c>
      <c r="N66" s="24" t="s">
        <v>345</v>
      </c>
      <c r="O66" s="24" t="s">
        <v>1116</v>
      </c>
    </row>
    <row r="67" spans="1:15">
      <c r="A67" s="24" t="s">
        <v>1143</v>
      </c>
      <c r="B67" s="24" t="s">
        <v>820</v>
      </c>
      <c r="C67" s="24" t="s">
        <v>71</v>
      </c>
      <c r="D67" s="24" t="s">
        <v>72</v>
      </c>
      <c r="E67" s="24" t="s">
        <v>1113</v>
      </c>
      <c r="F67" s="24" t="s">
        <v>1114</v>
      </c>
      <c r="G67" s="24" t="s">
        <v>1078</v>
      </c>
      <c r="H67" s="24" t="s">
        <v>1079</v>
      </c>
      <c r="I67" s="24" t="s">
        <v>1115</v>
      </c>
      <c r="J67" s="24" t="s">
        <v>1081</v>
      </c>
      <c r="K67" s="24" t="s">
        <v>1082</v>
      </c>
      <c r="L67" s="24" t="s">
        <v>1083</v>
      </c>
      <c r="M67" s="24">
        <v>1</v>
      </c>
      <c r="N67" s="24" t="s">
        <v>345</v>
      </c>
      <c r="O67" s="24" t="s">
        <v>1116</v>
      </c>
    </row>
    <row r="68" spans="1:15">
      <c r="A68" s="24" t="s">
        <v>1144</v>
      </c>
      <c r="B68" s="24" t="s">
        <v>820</v>
      </c>
      <c r="C68" s="24" t="s">
        <v>71</v>
      </c>
      <c r="D68" s="24" t="s">
        <v>72</v>
      </c>
      <c r="E68" s="24" t="s">
        <v>1113</v>
      </c>
      <c r="F68" s="24" t="s">
        <v>1114</v>
      </c>
      <c r="G68" s="24" t="s">
        <v>1078</v>
      </c>
      <c r="H68" s="24" t="s">
        <v>1079</v>
      </c>
      <c r="I68" s="24" t="s">
        <v>1145</v>
      </c>
      <c r="J68" s="24" t="s">
        <v>1081</v>
      </c>
      <c r="K68" s="24" t="s">
        <v>1082</v>
      </c>
      <c r="L68" s="24" t="s">
        <v>1083</v>
      </c>
      <c r="M68" s="24">
        <v>1</v>
      </c>
      <c r="N68" s="24" t="s">
        <v>345</v>
      </c>
      <c r="O68" s="24" t="s">
        <v>1116</v>
      </c>
    </row>
    <row r="69" spans="1:15">
      <c r="A69" s="24" t="s">
        <v>1146</v>
      </c>
      <c r="B69" s="24" t="s">
        <v>820</v>
      </c>
      <c r="C69" s="24" t="s">
        <v>71</v>
      </c>
      <c r="D69" s="24" t="s">
        <v>72</v>
      </c>
      <c r="E69" s="24" t="s">
        <v>1113</v>
      </c>
      <c r="F69" s="24" t="s">
        <v>1114</v>
      </c>
      <c r="G69" s="24" t="s">
        <v>1078</v>
      </c>
      <c r="H69" s="24" t="s">
        <v>1079</v>
      </c>
      <c r="I69" s="24" t="s">
        <v>1147</v>
      </c>
      <c r="J69" s="24" t="s">
        <v>1081</v>
      </c>
      <c r="K69" s="24" t="s">
        <v>1082</v>
      </c>
      <c r="L69" s="24" t="s">
        <v>1083</v>
      </c>
      <c r="M69" s="24">
        <v>1</v>
      </c>
      <c r="N69" s="24" t="s">
        <v>345</v>
      </c>
      <c r="O69" s="24" t="s">
        <v>1116</v>
      </c>
    </row>
    <row r="70" spans="1:15">
      <c r="A70" s="24" t="s">
        <v>1148</v>
      </c>
      <c r="B70" s="24" t="s">
        <v>820</v>
      </c>
      <c r="C70" s="24" t="s">
        <v>71</v>
      </c>
      <c r="D70" s="24" t="s">
        <v>72</v>
      </c>
      <c r="E70" s="24" t="s">
        <v>1113</v>
      </c>
      <c r="F70" s="24" t="s">
        <v>1114</v>
      </c>
      <c r="G70" s="24" t="s">
        <v>1078</v>
      </c>
      <c r="H70" s="24" t="s">
        <v>1079</v>
      </c>
      <c r="I70" s="24" t="s">
        <v>1120</v>
      </c>
      <c r="J70" s="24" t="s">
        <v>1081</v>
      </c>
      <c r="K70" s="24" t="s">
        <v>1082</v>
      </c>
      <c r="L70" s="24" t="s">
        <v>1083</v>
      </c>
      <c r="M70" s="24">
        <v>1</v>
      </c>
      <c r="N70" s="24" t="s">
        <v>345</v>
      </c>
      <c r="O70" s="24" t="s">
        <v>1116</v>
      </c>
    </row>
    <row r="71" spans="1:15">
      <c r="A71" s="24" t="s">
        <v>1135</v>
      </c>
      <c r="B71" s="24" t="s">
        <v>820</v>
      </c>
      <c r="C71" s="24" t="s">
        <v>71</v>
      </c>
      <c r="D71" s="24" t="s">
        <v>72</v>
      </c>
      <c r="E71" s="24" t="s">
        <v>1113</v>
      </c>
      <c r="F71" s="24" t="s">
        <v>1114</v>
      </c>
      <c r="G71" s="24" t="s">
        <v>1078</v>
      </c>
      <c r="H71" s="24" t="s">
        <v>1079</v>
      </c>
      <c r="I71" s="24" t="s">
        <v>1136</v>
      </c>
      <c r="J71" s="24" t="s">
        <v>1081</v>
      </c>
      <c r="K71" s="24" t="s">
        <v>1082</v>
      </c>
      <c r="L71" s="24" t="s">
        <v>1083</v>
      </c>
      <c r="M71" s="24">
        <v>1</v>
      </c>
      <c r="N71" s="24" t="s">
        <v>345</v>
      </c>
      <c r="O71" s="24" t="s">
        <v>1116</v>
      </c>
    </row>
    <row r="72" spans="1:15">
      <c r="A72" s="24" t="s">
        <v>1137</v>
      </c>
      <c r="B72" s="24" t="s">
        <v>820</v>
      </c>
      <c r="C72" s="24" t="s">
        <v>71</v>
      </c>
      <c r="D72" s="24" t="s">
        <v>72</v>
      </c>
      <c r="E72" s="24" t="s">
        <v>1113</v>
      </c>
      <c r="F72" s="24" t="s">
        <v>1114</v>
      </c>
      <c r="G72" s="24" t="s">
        <v>1078</v>
      </c>
      <c r="H72" s="24" t="s">
        <v>1079</v>
      </c>
      <c r="I72" s="24" t="s">
        <v>1138</v>
      </c>
      <c r="J72" s="24" t="s">
        <v>1081</v>
      </c>
      <c r="K72" s="24" t="s">
        <v>1082</v>
      </c>
      <c r="L72" s="24" t="s">
        <v>1083</v>
      </c>
      <c r="M72" s="24">
        <v>1</v>
      </c>
      <c r="N72" s="24" t="s">
        <v>345</v>
      </c>
      <c r="O72" s="24" t="s">
        <v>1116</v>
      </c>
    </row>
    <row r="73" spans="1:15">
      <c r="A73" s="24" t="s">
        <v>1139</v>
      </c>
      <c r="B73" s="24" t="s">
        <v>820</v>
      </c>
      <c r="C73" s="24" t="s">
        <v>71</v>
      </c>
      <c r="D73" s="24" t="s">
        <v>72</v>
      </c>
      <c r="E73" s="24" t="s">
        <v>1113</v>
      </c>
      <c r="F73" s="24" t="s">
        <v>1114</v>
      </c>
      <c r="G73" s="24" t="s">
        <v>1078</v>
      </c>
      <c r="H73" s="24" t="s">
        <v>1079</v>
      </c>
      <c r="I73" s="24" t="s">
        <v>1140</v>
      </c>
      <c r="J73" s="24" t="s">
        <v>1081</v>
      </c>
      <c r="K73" s="24" t="s">
        <v>1082</v>
      </c>
      <c r="L73" s="24" t="s">
        <v>1083</v>
      </c>
      <c r="M73" s="24">
        <v>1</v>
      </c>
      <c r="N73" s="24" t="s">
        <v>345</v>
      </c>
      <c r="O73" s="24" t="s">
        <v>1116</v>
      </c>
    </row>
    <row r="74" spans="1:15">
      <c r="A74" s="24" t="s">
        <v>1141</v>
      </c>
      <c r="B74" s="24" t="s">
        <v>820</v>
      </c>
      <c r="C74" s="24" t="s">
        <v>71</v>
      </c>
      <c r="D74" s="24" t="s">
        <v>72</v>
      </c>
      <c r="E74" s="24" t="s">
        <v>1113</v>
      </c>
      <c r="F74" s="24" t="s">
        <v>1114</v>
      </c>
      <c r="G74" s="24" t="s">
        <v>1078</v>
      </c>
      <c r="H74" s="24" t="s">
        <v>1079</v>
      </c>
      <c r="I74" s="24" t="s">
        <v>1142</v>
      </c>
      <c r="J74" s="24" t="s">
        <v>1081</v>
      </c>
      <c r="K74" s="24" t="s">
        <v>1082</v>
      </c>
      <c r="L74" s="24" t="s">
        <v>1083</v>
      </c>
      <c r="M74" s="24">
        <v>1</v>
      </c>
      <c r="N74" s="24" t="s">
        <v>345</v>
      </c>
      <c r="O74" s="24" t="s">
        <v>1116</v>
      </c>
    </row>
    <row r="75" spans="1:15">
      <c r="A75" s="24" t="s">
        <v>1143</v>
      </c>
      <c r="B75" s="24" t="s">
        <v>820</v>
      </c>
      <c r="C75" s="24" t="s">
        <v>71</v>
      </c>
      <c r="D75" s="24" t="s">
        <v>72</v>
      </c>
      <c r="E75" s="24" t="s">
        <v>1113</v>
      </c>
      <c r="F75" s="24" t="s">
        <v>1114</v>
      </c>
      <c r="G75" s="24" t="s">
        <v>1078</v>
      </c>
      <c r="H75" s="24" t="s">
        <v>1079</v>
      </c>
      <c r="I75" s="24" t="s">
        <v>1115</v>
      </c>
      <c r="J75" s="24" t="s">
        <v>1081</v>
      </c>
      <c r="K75" s="24" t="s">
        <v>1082</v>
      </c>
      <c r="L75" s="24" t="s">
        <v>1083</v>
      </c>
      <c r="M75" s="24">
        <v>1</v>
      </c>
      <c r="N75" s="24" t="s">
        <v>345</v>
      </c>
      <c r="O75" s="24" t="s">
        <v>1116</v>
      </c>
    </row>
    <row r="76" spans="1:15">
      <c r="A76" s="24" t="s">
        <v>1144</v>
      </c>
      <c r="B76" s="24" t="s">
        <v>820</v>
      </c>
      <c r="C76" s="24" t="s">
        <v>71</v>
      </c>
      <c r="D76" s="24" t="s">
        <v>72</v>
      </c>
      <c r="E76" s="24" t="s">
        <v>1113</v>
      </c>
      <c r="F76" s="24" t="s">
        <v>1114</v>
      </c>
      <c r="G76" s="24" t="s">
        <v>1078</v>
      </c>
      <c r="H76" s="24" t="s">
        <v>1079</v>
      </c>
      <c r="I76" s="24" t="s">
        <v>1145</v>
      </c>
      <c r="J76" s="24" t="s">
        <v>1081</v>
      </c>
      <c r="K76" s="24" t="s">
        <v>1082</v>
      </c>
      <c r="L76" s="24" t="s">
        <v>1083</v>
      </c>
      <c r="M76" s="24">
        <v>1</v>
      </c>
      <c r="N76" s="24" t="s">
        <v>345</v>
      </c>
      <c r="O76" s="24" t="s">
        <v>1116</v>
      </c>
    </row>
    <row r="77" spans="1:15">
      <c r="A77" s="24" t="s">
        <v>1146</v>
      </c>
      <c r="B77" s="24" t="s">
        <v>820</v>
      </c>
      <c r="C77" s="24" t="s">
        <v>71</v>
      </c>
      <c r="D77" s="24" t="s">
        <v>72</v>
      </c>
      <c r="E77" s="24" t="s">
        <v>1113</v>
      </c>
      <c r="F77" s="24" t="s">
        <v>1114</v>
      </c>
      <c r="G77" s="24" t="s">
        <v>1078</v>
      </c>
      <c r="H77" s="24" t="s">
        <v>1079</v>
      </c>
      <c r="I77" s="24" t="s">
        <v>1147</v>
      </c>
      <c r="J77" s="24" t="s">
        <v>1081</v>
      </c>
      <c r="K77" s="24" t="s">
        <v>1082</v>
      </c>
      <c r="L77" s="24" t="s">
        <v>1083</v>
      </c>
      <c r="M77" s="24">
        <v>1</v>
      </c>
      <c r="N77" s="24" t="s">
        <v>345</v>
      </c>
      <c r="O77" s="24" t="s">
        <v>1116</v>
      </c>
    </row>
    <row r="78" spans="1:15">
      <c r="A78" s="24" t="s">
        <v>1148</v>
      </c>
      <c r="B78" s="24" t="s">
        <v>820</v>
      </c>
      <c r="C78" s="24" t="s">
        <v>71</v>
      </c>
      <c r="D78" s="24" t="s">
        <v>72</v>
      </c>
      <c r="E78" s="24" t="s">
        <v>1113</v>
      </c>
      <c r="F78" s="24" t="s">
        <v>1114</v>
      </c>
      <c r="G78" s="24" t="s">
        <v>1078</v>
      </c>
      <c r="H78" s="24" t="s">
        <v>1079</v>
      </c>
      <c r="I78" s="24" t="s">
        <v>1120</v>
      </c>
      <c r="J78" s="24" t="s">
        <v>1081</v>
      </c>
      <c r="K78" s="24" t="s">
        <v>1082</v>
      </c>
      <c r="L78" s="24" t="s">
        <v>1083</v>
      </c>
      <c r="M78" s="24">
        <v>1</v>
      </c>
      <c r="N78" s="24" t="s">
        <v>345</v>
      </c>
      <c r="O78" s="24" t="s">
        <v>1116</v>
      </c>
    </row>
    <row r="79" spans="1:15">
      <c r="A79" s="24" t="s">
        <v>1149</v>
      </c>
      <c r="B79" s="24" t="s">
        <v>820</v>
      </c>
      <c r="C79" s="24" t="s">
        <v>71</v>
      </c>
      <c r="D79" s="24" t="s">
        <v>72</v>
      </c>
      <c r="E79" s="24" t="s">
        <v>1113</v>
      </c>
      <c r="F79" s="24" t="s">
        <v>1114</v>
      </c>
      <c r="G79" s="24" t="s">
        <v>1078</v>
      </c>
      <c r="H79" s="24" t="s">
        <v>1079</v>
      </c>
      <c r="I79" s="24" t="s">
        <v>1150</v>
      </c>
      <c r="J79" s="24" t="s">
        <v>1081</v>
      </c>
      <c r="K79" s="24" t="s">
        <v>1082</v>
      </c>
      <c r="L79" s="24" t="s">
        <v>1083</v>
      </c>
      <c r="M79" s="24">
        <v>1</v>
      </c>
      <c r="N79" s="24" t="s">
        <v>345</v>
      </c>
      <c r="O79" s="24" t="s">
        <v>1116</v>
      </c>
    </row>
    <row r="80" spans="1:15">
      <c r="A80" s="24" t="s">
        <v>1149</v>
      </c>
      <c r="B80" s="24" t="s">
        <v>820</v>
      </c>
      <c r="C80" s="24" t="s">
        <v>71</v>
      </c>
      <c r="D80" s="24" t="s">
        <v>72</v>
      </c>
      <c r="E80" s="24" t="s">
        <v>1113</v>
      </c>
      <c r="F80" s="24" t="s">
        <v>1114</v>
      </c>
      <c r="G80" s="24" t="s">
        <v>1078</v>
      </c>
      <c r="H80" s="24" t="s">
        <v>1079</v>
      </c>
      <c r="I80" s="24" t="s">
        <v>1150</v>
      </c>
      <c r="J80" s="24" t="s">
        <v>1081</v>
      </c>
      <c r="K80" s="24" t="s">
        <v>1082</v>
      </c>
      <c r="L80" s="24" t="s">
        <v>1083</v>
      </c>
      <c r="M80" s="24">
        <v>1</v>
      </c>
      <c r="N80" s="24" t="s">
        <v>345</v>
      </c>
      <c r="O80" s="24" t="s">
        <v>1116</v>
      </c>
    </row>
    <row r="81" spans="1:15">
      <c r="A81" s="24" t="s">
        <v>1151</v>
      </c>
      <c r="B81" s="24" t="s">
        <v>820</v>
      </c>
      <c r="C81" s="24" t="s">
        <v>71</v>
      </c>
      <c r="D81" s="24" t="s">
        <v>72</v>
      </c>
      <c r="E81" s="24" t="s">
        <v>1113</v>
      </c>
      <c r="F81" s="24" t="s">
        <v>1114</v>
      </c>
      <c r="G81" s="24" t="s">
        <v>1078</v>
      </c>
      <c r="H81" s="24" t="s">
        <v>1079</v>
      </c>
      <c r="I81" s="24" t="s">
        <v>1152</v>
      </c>
      <c r="J81" s="24" t="s">
        <v>1081</v>
      </c>
      <c r="K81" s="24" t="s">
        <v>1082</v>
      </c>
      <c r="L81" s="24" t="s">
        <v>1083</v>
      </c>
      <c r="M81" s="24">
        <v>1</v>
      </c>
      <c r="N81" s="24" t="s">
        <v>345</v>
      </c>
      <c r="O81" s="24" t="s">
        <v>1116</v>
      </c>
    </row>
    <row r="82" spans="1:15">
      <c r="A82" s="24" t="s">
        <v>1153</v>
      </c>
      <c r="B82" s="24" t="s">
        <v>820</v>
      </c>
      <c r="C82" s="24" t="s">
        <v>71</v>
      </c>
      <c r="D82" s="24" t="s">
        <v>72</v>
      </c>
      <c r="E82" s="24" t="s">
        <v>1113</v>
      </c>
      <c r="F82" s="24" t="s">
        <v>1114</v>
      </c>
      <c r="G82" s="24" t="s">
        <v>1078</v>
      </c>
      <c r="H82" s="24" t="s">
        <v>1079</v>
      </c>
      <c r="I82" s="24" t="s">
        <v>1154</v>
      </c>
      <c r="J82" s="24" t="s">
        <v>1081</v>
      </c>
      <c r="K82" s="24" t="s">
        <v>1082</v>
      </c>
      <c r="L82" s="24" t="s">
        <v>1083</v>
      </c>
      <c r="M82" s="24">
        <v>1</v>
      </c>
      <c r="N82" s="24" t="s">
        <v>345</v>
      </c>
      <c r="O82" s="24" t="s">
        <v>1116</v>
      </c>
    </row>
    <row r="83" spans="1:15">
      <c r="A83" s="24" t="s">
        <v>1155</v>
      </c>
      <c r="B83" s="24" t="s">
        <v>820</v>
      </c>
      <c r="C83" s="24" t="s">
        <v>71</v>
      </c>
      <c r="D83" s="24" t="s">
        <v>72</v>
      </c>
      <c r="E83" s="24" t="s">
        <v>1113</v>
      </c>
      <c r="F83" s="24" t="s">
        <v>1114</v>
      </c>
      <c r="G83" s="24" t="s">
        <v>1078</v>
      </c>
      <c r="H83" s="24" t="s">
        <v>1079</v>
      </c>
      <c r="I83" s="24" t="s">
        <v>1156</v>
      </c>
      <c r="J83" s="24" t="s">
        <v>1081</v>
      </c>
      <c r="K83" s="24" t="s">
        <v>1082</v>
      </c>
      <c r="L83" s="24" t="s">
        <v>1083</v>
      </c>
      <c r="M83" s="24">
        <v>1</v>
      </c>
      <c r="N83" s="24" t="s">
        <v>345</v>
      </c>
      <c r="O83" s="24" t="s">
        <v>1116</v>
      </c>
    </row>
    <row r="84" spans="1:15">
      <c r="A84" s="24" t="s">
        <v>1157</v>
      </c>
      <c r="B84" s="24" t="s">
        <v>820</v>
      </c>
      <c r="C84" s="24" t="s">
        <v>71</v>
      </c>
      <c r="D84" s="24" t="s">
        <v>72</v>
      </c>
      <c r="E84" s="24" t="s">
        <v>1113</v>
      </c>
      <c r="F84" s="24" t="s">
        <v>1114</v>
      </c>
      <c r="G84" s="24" t="s">
        <v>1078</v>
      </c>
      <c r="H84" s="24" t="s">
        <v>1079</v>
      </c>
      <c r="I84" s="24" t="s">
        <v>1118</v>
      </c>
      <c r="J84" s="24" t="s">
        <v>1081</v>
      </c>
      <c r="K84" s="24" t="s">
        <v>1082</v>
      </c>
      <c r="L84" s="24" t="s">
        <v>1083</v>
      </c>
      <c r="M84" s="24">
        <v>1</v>
      </c>
      <c r="N84" s="24" t="s">
        <v>345</v>
      </c>
      <c r="O84" s="24" t="s">
        <v>1116</v>
      </c>
    </row>
    <row r="85" spans="1:15">
      <c r="A85" s="24" t="s">
        <v>1151</v>
      </c>
      <c r="B85" s="24" t="s">
        <v>820</v>
      </c>
      <c r="C85" s="24" t="s">
        <v>71</v>
      </c>
      <c r="D85" s="24" t="s">
        <v>72</v>
      </c>
      <c r="E85" s="24" t="s">
        <v>1113</v>
      </c>
      <c r="F85" s="24" t="s">
        <v>1114</v>
      </c>
      <c r="G85" s="24" t="s">
        <v>1078</v>
      </c>
      <c r="H85" s="24" t="s">
        <v>1079</v>
      </c>
      <c r="I85" s="24" t="s">
        <v>1152</v>
      </c>
      <c r="J85" s="24" t="s">
        <v>1081</v>
      </c>
      <c r="K85" s="24" t="s">
        <v>1082</v>
      </c>
      <c r="L85" s="24" t="s">
        <v>1083</v>
      </c>
      <c r="M85" s="24">
        <v>1</v>
      </c>
      <c r="N85" s="24" t="s">
        <v>345</v>
      </c>
      <c r="O85" s="24" t="s">
        <v>1116</v>
      </c>
    </row>
    <row r="86" spans="1:15">
      <c r="A86" s="24" t="s">
        <v>1153</v>
      </c>
      <c r="B86" s="24" t="s">
        <v>820</v>
      </c>
      <c r="C86" s="24" t="s">
        <v>71</v>
      </c>
      <c r="D86" s="24" t="s">
        <v>72</v>
      </c>
      <c r="E86" s="24" t="s">
        <v>1113</v>
      </c>
      <c r="F86" s="24" t="s">
        <v>1114</v>
      </c>
      <c r="G86" s="24" t="s">
        <v>1078</v>
      </c>
      <c r="H86" s="24" t="s">
        <v>1079</v>
      </c>
      <c r="I86" s="24" t="s">
        <v>1154</v>
      </c>
      <c r="J86" s="24" t="s">
        <v>1081</v>
      </c>
      <c r="K86" s="24" t="s">
        <v>1082</v>
      </c>
      <c r="L86" s="24" t="s">
        <v>1083</v>
      </c>
      <c r="M86" s="24">
        <v>1</v>
      </c>
      <c r="N86" s="24" t="s">
        <v>345</v>
      </c>
      <c r="O86" s="24" t="s">
        <v>1116</v>
      </c>
    </row>
    <row r="87" spans="1:15">
      <c r="A87" s="24" t="s">
        <v>1155</v>
      </c>
      <c r="B87" s="24" t="s">
        <v>820</v>
      </c>
      <c r="C87" s="24" t="s">
        <v>71</v>
      </c>
      <c r="D87" s="24" t="s">
        <v>72</v>
      </c>
      <c r="E87" s="24" t="s">
        <v>1113</v>
      </c>
      <c r="F87" s="24" t="s">
        <v>1114</v>
      </c>
      <c r="G87" s="24" t="s">
        <v>1078</v>
      </c>
      <c r="H87" s="24" t="s">
        <v>1079</v>
      </c>
      <c r="I87" s="24" t="s">
        <v>1156</v>
      </c>
      <c r="J87" s="24" t="s">
        <v>1081</v>
      </c>
      <c r="K87" s="24" t="s">
        <v>1082</v>
      </c>
      <c r="L87" s="24" t="s">
        <v>1083</v>
      </c>
      <c r="M87" s="24">
        <v>1</v>
      </c>
      <c r="N87" s="24" t="s">
        <v>345</v>
      </c>
      <c r="O87" s="24" t="s">
        <v>1116</v>
      </c>
    </row>
    <row r="88" spans="1:15">
      <c r="A88" s="24" t="s">
        <v>1157</v>
      </c>
      <c r="B88" s="24" t="s">
        <v>820</v>
      </c>
      <c r="C88" s="24" t="s">
        <v>71</v>
      </c>
      <c r="D88" s="24" t="s">
        <v>72</v>
      </c>
      <c r="E88" s="24" t="s">
        <v>1113</v>
      </c>
      <c r="F88" s="24" t="s">
        <v>1114</v>
      </c>
      <c r="G88" s="24" t="s">
        <v>1078</v>
      </c>
      <c r="H88" s="24" t="s">
        <v>1079</v>
      </c>
      <c r="I88" s="24" t="s">
        <v>1118</v>
      </c>
      <c r="J88" s="24" t="s">
        <v>1081</v>
      </c>
      <c r="K88" s="24" t="s">
        <v>1082</v>
      </c>
      <c r="L88" s="24" t="s">
        <v>1083</v>
      </c>
      <c r="M88" s="24">
        <v>1</v>
      </c>
      <c r="N88" s="24" t="s">
        <v>345</v>
      </c>
      <c r="O88" s="24" t="s">
        <v>1116</v>
      </c>
    </row>
    <row r="89" spans="1:15">
      <c r="A89" s="24" t="s">
        <v>1158</v>
      </c>
      <c r="B89" s="24" t="s">
        <v>820</v>
      </c>
      <c r="C89" s="24" t="s">
        <v>71</v>
      </c>
      <c r="D89" s="24" t="s">
        <v>72</v>
      </c>
      <c r="E89" s="24" t="s">
        <v>1113</v>
      </c>
      <c r="F89" s="24" t="s">
        <v>1114</v>
      </c>
      <c r="G89" s="24" t="s">
        <v>1078</v>
      </c>
      <c r="H89" s="24" t="s">
        <v>1079</v>
      </c>
      <c r="I89" s="24" t="s">
        <v>1159</v>
      </c>
      <c r="J89" s="24" t="s">
        <v>1081</v>
      </c>
      <c r="K89" s="24" t="s">
        <v>1082</v>
      </c>
      <c r="L89" s="24" t="s">
        <v>1083</v>
      </c>
      <c r="M89" s="24">
        <v>1</v>
      </c>
      <c r="N89" s="24" t="s">
        <v>345</v>
      </c>
      <c r="O89" s="24" t="s">
        <v>1116</v>
      </c>
    </row>
    <row r="90" spans="1:15">
      <c r="A90" s="24" t="s">
        <v>1160</v>
      </c>
      <c r="B90" s="24" t="s">
        <v>820</v>
      </c>
      <c r="C90" s="24" t="s">
        <v>71</v>
      </c>
      <c r="D90" s="24" t="s">
        <v>72</v>
      </c>
      <c r="E90" s="24" t="s">
        <v>1113</v>
      </c>
      <c r="F90" s="24" t="s">
        <v>1114</v>
      </c>
      <c r="G90" s="24" t="s">
        <v>1078</v>
      </c>
      <c r="H90" s="24" t="s">
        <v>1079</v>
      </c>
      <c r="I90" s="24" t="s">
        <v>1161</v>
      </c>
      <c r="J90" s="24" t="s">
        <v>1081</v>
      </c>
      <c r="K90" s="24" t="s">
        <v>1082</v>
      </c>
      <c r="L90" s="24" t="s">
        <v>1083</v>
      </c>
      <c r="M90" s="24">
        <v>1</v>
      </c>
      <c r="N90" s="24" t="s">
        <v>345</v>
      </c>
      <c r="O90" s="24" t="s">
        <v>1116</v>
      </c>
    </row>
    <row r="91" spans="1:15">
      <c r="A91" s="24" t="s">
        <v>1162</v>
      </c>
      <c r="B91" s="24" t="s">
        <v>820</v>
      </c>
      <c r="C91" s="24" t="s">
        <v>71</v>
      </c>
      <c r="D91" s="24" t="s">
        <v>72</v>
      </c>
      <c r="E91" s="24" t="s">
        <v>1113</v>
      </c>
      <c r="F91" s="24" t="s">
        <v>1114</v>
      </c>
      <c r="G91" s="24" t="s">
        <v>1078</v>
      </c>
      <c r="H91" s="24" t="s">
        <v>1079</v>
      </c>
      <c r="I91" s="24" t="s">
        <v>1163</v>
      </c>
      <c r="J91" s="24" t="s">
        <v>1081</v>
      </c>
      <c r="K91" s="24" t="s">
        <v>1082</v>
      </c>
      <c r="L91" s="24" t="s">
        <v>1083</v>
      </c>
      <c r="M91" s="24">
        <v>1</v>
      </c>
      <c r="N91" s="24" t="s">
        <v>345</v>
      </c>
      <c r="O91" s="24" t="s">
        <v>1116</v>
      </c>
    </row>
    <row r="92" spans="1:15">
      <c r="A92" s="24" t="s">
        <v>1164</v>
      </c>
      <c r="B92" s="24" t="s">
        <v>820</v>
      </c>
      <c r="C92" s="24" t="s">
        <v>71</v>
      </c>
      <c r="D92" s="24" t="s">
        <v>72</v>
      </c>
      <c r="E92" s="24" t="s">
        <v>1113</v>
      </c>
      <c r="F92" s="24" t="s">
        <v>1114</v>
      </c>
      <c r="G92" s="24" t="s">
        <v>1078</v>
      </c>
      <c r="H92" s="24" t="s">
        <v>1079</v>
      </c>
      <c r="I92" s="24" t="s">
        <v>1122</v>
      </c>
      <c r="J92" s="24" t="s">
        <v>1081</v>
      </c>
      <c r="K92" s="24" t="s">
        <v>1082</v>
      </c>
      <c r="L92" s="24" t="s">
        <v>1083</v>
      </c>
      <c r="M92" s="24">
        <v>1</v>
      </c>
      <c r="N92" s="24" t="s">
        <v>345</v>
      </c>
      <c r="O92" s="24" t="s">
        <v>1116</v>
      </c>
    </row>
    <row r="93" spans="1:15">
      <c r="A93" s="24" t="s">
        <v>1165</v>
      </c>
      <c r="B93" s="24" t="s">
        <v>820</v>
      </c>
      <c r="C93" s="24" t="s">
        <v>71</v>
      </c>
      <c r="D93" s="24" t="s">
        <v>72</v>
      </c>
      <c r="E93" s="24" t="s">
        <v>1113</v>
      </c>
      <c r="F93" s="24" t="s">
        <v>1114</v>
      </c>
      <c r="G93" s="24" t="s">
        <v>1078</v>
      </c>
      <c r="H93" s="24" t="s">
        <v>1079</v>
      </c>
      <c r="I93" s="24" t="s">
        <v>1166</v>
      </c>
      <c r="J93" s="24" t="s">
        <v>1081</v>
      </c>
      <c r="K93" s="24" t="s">
        <v>1082</v>
      </c>
      <c r="L93" s="24" t="s">
        <v>1083</v>
      </c>
      <c r="M93" s="24">
        <v>1</v>
      </c>
      <c r="N93" s="24" t="s">
        <v>345</v>
      </c>
      <c r="O93" s="24" t="s">
        <v>1116</v>
      </c>
    </row>
    <row r="94" spans="1:15">
      <c r="A94" s="24" t="s">
        <v>1167</v>
      </c>
      <c r="B94" s="24" t="s">
        <v>820</v>
      </c>
      <c r="C94" s="24" t="s">
        <v>71</v>
      </c>
      <c r="D94" s="24" t="s">
        <v>72</v>
      </c>
      <c r="E94" s="24" t="s">
        <v>1113</v>
      </c>
      <c r="F94" s="24" t="s">
        <v>1114</v>
      </c>
      <c r="G94" s="24" t="s">
        <v>1078</v>
      </c>
      <c r="H94" s="24" t="s">
        <v>1079</v>
      </c>
      <c r="I94" s="24" t="s">
        <v>1168</v>
      </c>
      <c r="J94" s="24" t="s">
        <v>1081</v>
      </c>
      <c r="K94" s="24" t="s">
        <v>1082</v>
      </c>
      <c r="L94" s="24" t="s">
        <v>1083</v>
      </c>
      <c r="M94" s="24">
        <v>1</v>
      </c>
      <c r="N94" s="24" t="s">
        <v>345</v>
      </c>
      <c r="O94" s="24" t="s">
        <v>1116</v>
      </c>
    </row>
    <row r="95" spans="1:15">
      <c r="A95" s="24" t="s">
        <v>1158</v>
      </c>
      <c r="B95" s="24" t="s">
        <v>820</v>
      </c>
      <c r="C95" s="24" t="s">
        <v>71</v>
      </c>
      <c r="D95" s="24" t="s">
        <v>72</v>
      </c>
      <c r="E95" s="24" t="s">
        <v>1113</v>
      </c>
      <c r="F95" s="24" t="s">
        <v>1114</v>
      </c>
      <c r="G95" s="24" t="s">
        <v>1078</v>
      </c>
      <c r="H95" s="24" t="s">
        <v>1079</v>
      </c>
      <c r="I95" s="24" t="s">
        <v>1159</v>
      </c>
      <c r="J95" s="24" t="s">
        <v>1081</v>
      </c>
      <c r="K95" s="24" t="s">
        <v>1082</v>
      </c>
      <c r="L95" s="24" t="s">
        <v>1083</v>
      </c>
      <c r="M95" s="24">
        <v>1</v>
      </c>
      <c r="N95" s="24" t="s">
        <v>345</v>
      </c>
      <c r="O95" s="24" t="s">
        <v>1116</v>
      </c>
    </row>
    <row r="96" spans="1:15">
      <c r="A96" s="24" t="s">
        <v>1160</v>
      </c>
      <c r="B96" s="24" t="s">
        <v>820</v>
      </c>
      <c r="C96" s="24" t="s">
        <v>71</v>
      </c>
      <c r="D96" s="24" t="s">
        <v>72</v>
      </c>
      <c r="E96" s="24" t="s">
        <v>1113</v>
      </c>
      <c r="F96" s="24" t="s">
        <v>1114</v>
      </c>
      <c r="G96" s="24" t="s">
        <v>1078</v>
      </c>
      <c r="H96" s="24" t="s">
        <v>1079</v>
      </c>
      <c r="I96" s="24" t="s">
        <v>1161</v>
      </c>
      <c r="J96" s="24" t="s">
        <v>1081</v>
      </c>
      <c r="K96" s="24" t="s">
        <v>1082</v>
      </c>
      <c r="L96" s="24" t="s">
        <v>1083</v>
      </c>
      <c r="M96" s="24">
        <v>1</v>
      </c>
      <c r="N96" s="24" t="s">
        <v>345</v>
      </c>
      <c r="O96" s="24" t="s">
        <v>1116</v>
      </c>
    </row>
    <row r="97" spans="1:15">
      <c r="A97" s="24" t="s">
        <v>1162</v>
      </c>
      <c r="B97" s="24" t="s">
        <v>820</v>
      </c>
      <c r="C97" s="24" t="s">
        <v>71</v>
      </c>
      <c r="D97" s="24" t="s">
        <v>72</v>
      </c>
      <c r="E97" s="24" t="s">
        <v>1113</v>
      </c>
      <c r="F97" s="24" t="s">
        <v>1114</v>
      </c>
      <c r="G97" s="24" t="s">
        <v>1078</v>
      </c>
      <c r="H97" s="24" t="s">
        <v>1079</v>
      </c>
      <c r="I97" s="24" t="s">
        <v>1163</v>
      </c>
      <c r="J97" s="24" t="s">
        <v>1081</v>
      </c>
      <c r="K97" s="24" t="s">
        <v>1082</v>
      </c>
      <c r="L97" s="24" t="s">
        <v>1083</v>
      </c>
      <c r="M97" s="24">
        <v>1</v>
      </c>
      <c r="N97" s="24" t="s">
        <v>345</v>
      </c>
      <c r="O97" s="24" t="s">
        <v>1116</v>
      </c>
    </row>
    <row r="98" spans="1:15">
      <c r="A98" s="24" t="s">
        <v>1164</v>
      </c>
      <c r="B98" s="24" t="s">
        <v>820</v>
      </c>
      <c r="C98" s="24" t="s">
        <v>71</v>
      </c>
      <c r="D98" s="24" t="s">
        <v>72</v>
      </c>
      <c r="E98" s="24" t="s">
        <v>1113</v>
      </c>
      <c r="F98" s="24" t="s">
        <v>1114</v>
      </c>
      <c r="G98" s="24" t="s">
        <v>1078</v>
      </c>
      <c r="H98" s="24" t="s">
        <v>1079</v>
      </c>
      <c r="I98" s="24" t="s">
        <v>1122</v>
      </c>
      <c r="J98" s="24" t="s">
        <v>1081</v>
      </c>
      <c r="K98" s="24" t="s">
        <v>1082</v>
      </c>
      <c r="L98" s="24" t="s">
        <v>1083</v>
      </c>
      <c r="M98" s="24">
        <v>1</v>
      </c>
      <c r="N98" s="24" t="s">
        <v>345</v>
      </c>
      <c r="O98" s="24" t="s">
        <v>1116</v>
      </c>
    </row>
    <row r="99" spans="1:15">
      <c r="A99" s="24" t="s">
        <v>1165</v>
      </c>
      <c r="B99" s="24" t="s">
        <v>820</v>
      </c>
      <c r="C99" s="24" t="s">
        <v>71</v>
      </c>
      <c r="D99" s="24" t="s">
        <v>72</v>
      </c>
      <c r="E99" s="24" t="s">
        <v>1113</v>
      </c>
      <c r="F99" s="24" t="s">
        <v>1114</v>
      </c>
      <c r="G99" s="24" t="s">
        <v>1078</v>
      </c>
      <c r="H99" s="24" t="s">
        <v>1079</v>
      </c>
      <c r="I99" s="24" t="s">
        <v>1166</v>
      </c>
      <c r="J99" s="24" t="s">
        <v>1081</v>
      </c>
      <c r="K99" s="24" t="s">
        <v>1082</v>
      </c>
      <c r="L99" s="24" t="s">
        <v>1083</v>
      </c>
      <c r="M99" s="24">
        <v>1</v>
      </c>
      <c r="N99" s="24" t="s">
        <v>345</v>
      </c>
      <c r="O99" s="24" t="s">
        <v>1116</v>
      </c>
    </row>
    <row r="100" spans="1:15">
      <c r="A100" s="24" t="s">
        <v>1167</v>
      </c>
      <c r="B100" s="24" t="s">
        <v>820</v>
      </c>
      <c r="C100" s="24" t="s">
        <v>71</v>
      </c>
      <c r="D100" s="24" t="s">
        <v>72</v>
      </c>
      <c r="E100" s="24" t="s">
        <v>1113</v>
      </c>
      <c r="F100" s="24" t="s">
        <v>1114</v>
      </c>
      <c r="G100" s="24" t="s">
        <v>1078</v>
      </c>
      <c r="H100" s="24" t="s">
        <v>1079</v>
      </c>
      <c r="I100" s="24" t="s">
        <v>1168</v>
      </c>
      <c r="J100" s="24" t="s">
        <v>1081</v>
      </c>
      <c r="K100" s="24" t="s">
        <v>1082</v>
      </c>
      <c r="L100" s="24" t="s">
        <v>1083</v>
      </c>
      <c r="M100" s="24">
        <v>1</v>
      </c>
      <c r="N100" s="24" t="s">
        <v>345</v>
      </c>
      <c r="O100" s="24" t="s">
        <v>1116</v>
      </c>
    </row>
    <row r="101" spans="1:15">
      <c r="A101" s="24" t="s">
        <v>1169</v>
      </c>
      <c r="B101" s="24" t="s">
        <v>820</v>
      </c>
      <c r="C101" s="24" t="s">
        <v>71</v>
      </c>
      <c r="D101" s="24" t="s">
        <v>72</v>
      </c>
      <c r="E101" s="24" t="s">
        <v>1113</v>
      </c>
      <c r="F101" s="24" t="s">
        <v>1114</v>
      </c>
      <c r="G101" s="24" t="s">
        <v>1078</v>
      </c>
      <c r="H101" s="24" t="s">
        <v>1079</v>
      </c>
      <c r="I101" s="24" t="s">
        <v>1122</v>
      </c>
      <c r="J101" s="24" t="s">
        <v>1081</v>
      </c>
      <c r="K101" s="24" t="s">
        <v>1082</v>
      </c>
      <c r="L101" s="24" t="s">
        <v>1083</v>
      </c>
      <c r="M101" s="24">
        <v>1</v>
      </c>
      <c r="N101" s="24" t="s">
        <v>345</v>
      </c>
      <c r="O101" s="24" t="s">
        <v>1116</v>
      </c>
    </row>
    <row r="102" spans="1:15">
      <c r="A102" s="24" t="s">
        <v>1170</v>
      </c>
      <c r="B102" s="24" t="s">
        <v>820</v>
      </c>
      <c r="C102" s="24" t="s">
        <v>71</v>
      </c>
      <c r="D102" s="24" t="s">
        <v>72</v>
      </c>
      <c r="E102" s="24" t="s">
        <v>1113</v>
      </c>
      <c r="F102" s="24" t="s">
        <v>1114</v>
      </c>
      <c r="G102" s="24" t="s">
        <v>1078</v>
      </c>
      <c r="H102" s="24" t="s">
        <v>1079</v>
      </c>
      <c r="I102" s="24" t="s">
        <v>1124</v>
      </c>
      <c r="J102" s="24" t="s">
        <v>1081</v>
      </c>
      <c r="K102" s="24" t="s">
        <v>1082</v>
      </c>
      <c r="L102" s="24" t="s">
        <v>1083</v>
      </c>
      <c r="M102" s="24">
        <v>1</v>
      </c>
      <c r="N102" s="24" t="s">
        <v>345</v>
      </c>
      <c r="O102" s="24" t="s">
        <v>1116</v>
      </c>
    </row>
    <row r="103" spans="1:15">
      <c r="A103" s="24" t="s">
        <v>1169</v>
      </c>
      <c r="B103" s="24" t="s">
        <v>820</v>
      </c>
      <c r="C103" s="24" t="s">
        <v>71</v>
      </c>
      <c r="D103" s="24" t="s">
        <v>72</v>
      </c>
      <c r="E103" s="24" t="s">
        <v>1113</v>
      </c>
      <c r="F103" s="24" t="s">
        <v>1114</v>
      </c>
      <c r="G103" s="24" t="s">
        <v>1078</v>
      </c>
      <c r="H103" s="24" t="s">
        <v>1079</v>
      </c>
      <c r="I103" s="24" t="s">
        <v>1122</v>
      </c>
      <c r="J103" s="24" t="s">
        <v>1081</v>
      </c>
      <c r="K103" s="24" t="s">
        <v>1082</v>
      </c>
      <c r="L103" s="24" t="s">
        <v>1083</v>
      </c>
      <c r="M103" s="24">
        <v>1</v>
      </c>
      <c r="N103" s="24" t="s">
        <v>345</v>
      </c>
      <c r="O103" s="24" t="s">
        <v>1116</v>
      </c>
    </row>
    <row r="104" spans="1:15">
      <c r="A104" s="24" t="s">
        <v>1170</v>
      </c>
      <c r="B104" s="24" t="s">
        <v>820</v>
      </c>
      <c r="C104" s="24" t="s">
        <v>71</v>
      </c>
      <c r="D104" s="24" t="s">
        <v>72</v>
      </c>
      <c r="E104" s="24" t="s">
        <v>1113</v>
      </c>
      <c r="F104" s="24" t="s">
        <v>1114</v>
      </c>
      <c r="G104" s="24" t="s">
        <v>1078</v>
      </c>
      <c r="H104" s="24" t="s">
        <v>1079</v>
      </c>
      <c r="I104" s="24" t="s">
        <v>1124</v>
      </c>
      <c r="J104" s="24" t="s">
        <v>1081</v>
      </c>
      <c r="K104" s="24" t="s">
        <v>1082</v>
      </c>
      <c r="L104" s="24" t="s">
        <v>1083</v>
      </c>
      <c r="M104" s="24">
        <v>1</v>
      </c>
      <c r="N104" s="24" t="s">
        <v>345</v>
      </c>
      <c r="O104" s="24" t="s">
        <v>1116</v>
      </c>
    </row>
    <row r="105" spans="1:15">
      <c r="A105" s="24" t="s">
        <v>1171</v>
      </c>
      <c r="B105" s="24" t="s">
        <v>820</v>
      </c>
      <c r="C105" s="24" t="s">
        <v>71</v>
      </c>
      <c r="D105" s="24" t="s">
        <v>72</v>
      </c>
      <c r="E105" s="24" t="s">
        <v>1113</v>
      </c>
      <c r="F105" s="24" t="s">
        <v>1114</v>
      </c>
      <c r="G105" s="24" t="s">
        <v>1078</v>
      </c>
      <c r="H105" s="24" t="s">
        <v>1079</v>
      </c>
      <c r="I105" s="24" t="s">
        <v>1172</v>
      </c>
      <c r="J105" s="24" t="s">
        <v>1081</v>
      </c>
      <c r="K105" s="24" t="s">
        <v>1082</v>
      </c>
      <c r="L105" s="24" t="s">
        <v>1083</v>
      </c>
      <c r="M105" s="24">
        <v>1</v>
      </c>
      <c r="N105" s="24" t="s">
        <v>345</v>
      </c>
      <c r="O105" s="24" t="s">
        <v>1116</v>
      </c>
    </row>
    <row r="106" spans="1:15">
      <c r="A106" s="24" t="s">
        <v>1173</v>
      </c>
      <c r="B106" s="24" t="s">
        <v>820</v>
      </c>
      <c r="C106" s="24" t="s">
        <v>71</v>
      </c>
      <c r="D106" s="24" t="s">
        <v>72</v>
      </c>
      <c r="E106" s="24" t="s">
        <v>1113</v>
      </c>
      <c r="F106" s="24" t="s">
        <v>1114</v>
      </c>
      <c r="G106" s="24" t="s">
        <v>1078</v>
      </c>
      <c r="H106" s="24" t="s">
        <v>1079</v>
      </c>
      <c r="I106" s="24" t="s">
        <v>1124</v>
      </c>
      <c r="J106" s="24" t="s">
        <v>1081</v>
      </c>
      <c r="K106" s="24" t="s">
        <v>1082</v>
      </c>
      <c r="L106" s="24" t="s">
        <v>1083</v>
      </c>
      <c r="M106" s="24">
        <v>1</v>
      </c>
      <c r="N106" s="24" t="s">
        <v>345</v>
      </c>
      <c r="O106" s="24" t="s">
        <v>1116</v>
      </c>
    </row>
    <row r="107" spans="1:15">
      <c r="A107" s="24" t="s">
        <v>1174</v>
      </c>
      <c r="B107" s="24" t="s">
        <v>820</v>
      </c>
      <c r="C107" s="24" t="s">
        <v>71</v>
      </c>
      <c r="D107" s="24" t="s">
        <v>72</v>
      </c>
      <c r="E107" s="24" t="s">
        <v>1113</v>
      </c>
      <c r="F107" s="24" t="s">
        <v>1114</v>
      </c>
      <c r="G107" s="24" t="s">
        <v>1078</v>
      </c>
      <c r="H107" s="24" t="s">
        <v>1079</v>
      </c>
      <c r="I107" s="24" t="s">
        <v>1126</v>
      </c>
      <c r="J107" s="24" t="s">
        <v>1081</v>
      </c>
      <c r="K107" s="24" t="s">
        <v>1082</v>
      </c>
      <c r="L107" s="24" t="s">
        <v>1083</v>
      </c>
      <c r="M107" s="24">
        <v>1</v>
      </c>
      <c r="N107" s="24" t="s">
        <v>345</v>
      </c>
      <c r="O107" s="24" t="s">
        <v>1116</v>
      </c>
    </row>
    <row r="108" spans="1:15">
      <c r="A108" s="24" t="s">
        <v>1171</v>
      </c>
      <c r="B108" s="24" t="s">
        <v>820</v>
      </c>
      <c r="C108" s="24" t="s">
        <v>71</v>
      </c>
      <c r="D108" s="24" t="s">
        <v>72</v>
      </c>
      <c r="E108" s="24" t="s">
        <v>1113</v>
      </c>
      <c r="F108" s="24" t="s">
        <v>1114</v>
      </c>
      <c r="G108" s="24" t="s">
        <v>1078</v>
      </c>
      <c r="H108" s="24" t="s">
        <v>1079</v>
      </c>
      <c r="I108" s="24" t="s">
        <v>1172</v>
      </c>
      <c r="J108" s="24" t="s">
        <v>1081</v>
      </c>
      <c r="K108" s="24" t="s">
        <v>1082</v>
      </c>
      <c r="L108" s="24" t="s">
        <v>1083</v>
      </c>
      <c r="M108" s="24">
        <v>1</v>
      </c>
      <c r="N108" s="24" t="s">
        <v>345</v>
      </c>
      <c r="O108" s="24" t="s">
        <v>1116</v>
      </c>
    </row>
    <row r="109" spans="1:15">
      <c r="A109" s="24" t="s">
        <v>1173</v>
      </c>
      <c r="B109" s="24" t="s">
        <v>820</v>
      </c>
      <c r="C109" s="24" t="s">
        <v>71</v>
      </c>
      <c r="D109" s="24" t="s">
        <v>72</v>
      </c>
      <c r="E109" s="24" t="s">
        <v>1113</v>
      </c>
      <c r="F109" s="24" t="s">
        <v>1114</v>
      </c>
      <c r="G109" s="24" t="s">
        <v>1078</v>
      </c>
      <c r="H109" s="24" t="s">
        <v>1079</v>
      </c>
      <c r="I109" s="24" t="s">
        <v>1124</v>
      </c>
      <c r="J109" s="24" t="s">
        <v>1081</v>
      </c>
      <c r="K109" s="24" t="s">
        <v>1082</v>
      </c>
      <c r="L109" s="24" t="s">
        <v>1083</v>
      </c>
      <c r="M109" s="24">
        <v>1</v>
      </c>
      <c r="N109" s="24" t="s">
        <v>345</v>
      </c>
      <c r="O109" s="24" t="s">
        <v>1116</v>
      </c>
    </row>
    <row r="110" spans="1:15">
      <c r="A110" s="24" t="s">
        <v>1174</v>
      </c>
      <c r="B110" s="24" t="s">
        <v>820</v>
      </c>
      <c r="C110" s="24" t="s">
        <v>71</v>
      </c>
      <c r="D110" s="24" t="s">
        <v>72</v>
      </c>
      <c r="E110" s="24" t="s">
        <v>1113</v>
      </c>
      <c r="F110" s="24" t="s">
        <v>1114</v>
      </c>
      <c r="G110" s="24" t="s">
        <v>1078</v>
      </c>
      <c r="H110" s="24" t="s">
        <v>1079</v>
      </c>
      <c r="I110" s="24" t="s">
        <v>1126</v>
      </c>
      <c r="J110" s="24" t="s">
        <v>1081</v>
      </c>
      <c r="K110" s="24" t="s">
        <v>1082</v>
      </c>
      <c r="L110" s="24" t="s">
        <v>1083</v>
      </c>
      <c r="M110" s="24">
        <v>1</v>
      </c>
      <c r="N110" s="24" t="s">
        <v>345</v>
      </c>
      <c r="O110" s="24" t="s">
        <v>1116</v>
      </c>
    </row>
    <row r="111" spans="1:15">
      <c r="A111" s="24" t="s">
        <v>1175</v>
      </c>
      <c r="B111" s="24" t="s">
        <v>820</v>
      </c>
      <c r="C111" s="24" t="s">
        <v>71</v>
      </c>
      <c r="D111" s="24" t="s">
        <v>72</v>
      </c>
      <c r="E111" s="24" t="s">
        <v>1113</v>
      </c>
      <c r="F111" s="24" t="s">
        <v>1114</v>
      </c>
      <c r="G111" s="24" t="s">
        <v>1078</v>
      </c>
      <c r="H111" s="24" t="s">
        <v>1079</v>
      </c>
      <c r="I111" s="24" t="s">
        <v>1176</v>
      </c>
      <c r="J111" s="24" t="s">
        <v>1081</v>
      </c>
      <c r="K111" s="24" t="s">
        <v>1082</v>
      </c>
      <c r="L111" s="24" t="s">
        <v>1083</v>
      </c>
      <c r="M111" s="24">
        <v>1</v>
      </c>
      <c r="N111" s="24" t="s">
        <v>345</v>
      </c>
      <c r="O111" s="24" t="s">
        <v>1116</v>
      </c>
    </row>
    <row r="112" spans="1:15">
      <c r="A112" s="24" t="s">
        <v>1175</v>
      </c>
      <c r="B112" s="24" t="s">
        <v>820</v>
      </c>
      <c r="C112" s="24" t="s">
        <v>71</v>
      </c>
      <c r="D112" s="24" t="s">
        <v>72</v>
      </c>
      <c r="E112" s="24" t="s">
        <v>1113</v>
      </c>
      <c r="F112" s="24" t="s">
        <v>1114</v>
      </c>
      <c r="G112" s="24" t="s">
        <v>1078</v>
      </c>
      <c r="H112" s="24" t="s">
        <v>1079</v>
      </c>
      <c r="I112" s="24" t="s">
        <v>1176</v>
      </c>
      <c r="J112" s="24" t="s">
        <v>1081</v>
      </c>
      <c r="K112" s="24" t="s">
        <v>1082</v>
      </c>
      <c r="L112" s="24" t="s">
        <v>1083</v>
      </c>
      <c r="M112" s="24">
        <v>1</v>
      </c>
      <c r="N112" s="24" t="s">
        <v>345</v>
      </c>
      <c r="O112" s="24" t="s">
        <v>1116</v>
      </c>
    </row>
    <row r="113" spans="1:15">
      <c r="A113" s="24" t="s">
        <v>1177</v>
      </c>
      <c r="B113" s="24" t="s">
        <v>820</v>
      </c>
      <c r="C113" s="24" t="s">
        <v>71</v>
      </c>
      <c r="D113" s="24" t="s">
        <v>72</v>
      </c>
      <c r="E113" s="24" t="s">
        <v>1113</v>
      </c>
      <c r="F113" s="24" t="s">
        <v>1114</v>
      </c>
      <c r="G113" s="24" t="s">
        <v>1078</v>
      </c>
      <c r="H113" s="24" t="s">
        <v>1079</v>
      </c>
      <c r="I113" s="24" t="s">
        <v>1126</v>
      </c>
      <c r="J113" s="24" t="s">
        <v>1081</v>
      </c>
      <c r="K113" s="24" t="s">
        <v>1082</v>
      </c>
      <c r="L113" s="24" t="s">
        <v>1083</v>
      </c>
      <c r="M113" s="24">
        <v>1</v>
      </c>
      <c r="N113" s="24" t="s">
        <v>345</v>
      </c>
      <c r="O113" s="24" t="s">
        <v>1116</v>
      </c>
    </row>
    <row r="114" spans="1:15">
      <c r="A114" s="24" t="s">
        <v>1177</v>
      </c>
      <c r="B114" s="24" t="s">
        <v>820</v>
      </c>
      <c r="C114" s="24" t="s">
        <v>71</v>
      </c>
      <c r="D114" s="24" t="s">
        <v>72</v>
      </c>
      <c r="E114" s="24" t="s">
        <v>1113</v>
      </c>
      <c r="F114" s="24" t="s">
        <v>1114</v>
      </c>
      <c r="G114" s="24" t="s">
        <v>1078</v>
      </c>
      <c r="H114" s="24" t="s">
        <v>1079</v>
      </c>
      <c r="I114" s="24" t="s">
        <v>1126</v>
      </c>
      <c r="J114" s="24" t="s">
        <v>1081</v>
      </c>
      <c r="K114" s="24" t="s">
        <v>1082</v>
      </c>
      <c r="L114" s="24" t="s">
        <v>1083</v>
      </c>
      <c r="M114" s="24">
        <v>1</v>
      </c>
      <c r="N114" s="24" t="s">
        <v>345</v>
      </c>
      <c r="O114" s="24" t="s">
        <v>1116</v>
      </c>
    </row>
    <row r="115" spans="1:15">
      <c r="A115" s="24" t="s">
        <v>1178</v>
      </c>
      <c r="B115" s="24" t="s">
        <v>820</v>
      </c>
      <c r="C115" s="24" t="s">
        <v>71</v>
      </c>
      <c r="D115" s="24" t="s">
        <v>72</v>
      </c>
      <c r="E115" s="24" t="s">
        <v>1113</v>
      </c>
      <c r="F115" s="24" t="s">
        <v>1114</v>
      </c>
      <c r="G115" s="24" t="s">
        <v>1078</v>
      </c>
      <c r="H115" s="24" t="s">
        <v>1079</v>
      </c>
      <c r="I115" s="24" t="s">
        <v>1122</v>
      </c>
      <c r="J115" s="24" t="s">
        <v>1081</v>
      </c>
      <c r="K115" s="24" t="s">
        <v>1082</v>
      </c>
      <c r="L115" s="24" t="s">
        <v>1083</v>
      </c>
      <c r="M115" s="24">
        <v>1</v>
      </c>
      <c r="N115" s="24" t="s">
        <v>345</v>
      </c>
      <c r="O115" s="24" t="s">
        <v>1116</v>
      </c>
    </row>
    <row r="116" spans="1:15">
      <c r="A116" s="24" t="s">
        <v>1179</v>
      </c>
      <c r="B116" s="24" t="s">
        <v>820</v>
      </c>
      <c r="C116" s="24" t="s">
        <v>71</v>
      </c>
      <c r="D116" s="24" t="s">
        <v>72</v>
      </c>
      <c r="E116" s="24" t="s">
        <v>1113</v>
      </c>
      <c r="F116" s="24" t="s">
        <v>1114</v>
      </c>
      <c r="G116" s="24" t="s">
        <v>1078</v>
      </c>
      <c r="H116" s="24" t="s">
        <v>1079</v>
      </c>
      <c r="I116" s="24" t="s">
        <v>1124</v>
      </c>
      <c r="J116" s="24" t="s">
        <v>1081</v>
      </c>
      <c r="K116" s="24" t="s">
        <v>1082</v>
      </c>
      <c r="L116" s="24" t="s">
        <v>1083</v>
      </c>
      <c r="M116" s="24">
        <v>1</v>
      </c>
      <c r="N116" s="24" t="s">
        <v>345</v>
      </c>
      <c r="O116" s="24" t="s">
        <v>1116</v>
      </c>
    </row>
    <row r="117" spans="1:15">
      <c r="A117" s="24" t="s">
        <v>1178</v>
      </c>
      <c r="B117" s="24" t="s">
        <v>820</v>
      </c>
      <c r="C117" s="24" t="s">
        <v>71</v>
      </c>
      <c r="D117" s="24" t="s">
        <v>72</v>
      </c>
      <c r="E117" s="24" t="s">
        <v>1113</v>
      </c>
      <c r="F117" s="24" t="s">
        <v>1114</v>
      </c>
      <c r="G117" s="24" t="s">
        <v>1078</v>
      </c>
      <c r="H117" s="24" t="s">
        <v>1079</v>
      </c>
      <c r="I117" s="24" t="s">
        <v>1122</v>
      </c>
      <c r="J117" s="24" t="s">
        <v>1081</v>
      </c>
      <c r="K117" s="24" t="s">
        <v>1082</v>
      </c>
      <c r="L117" s="24" t="s">
        <v>1083</v>
      </c>
      <c r="M117" s="24">
        <v>1</v>
      </c>
      <c r="N117" s="24" t="s">
        <v>345</v>
      </c>
      <c r="O117" s="24" t="s">
        <v>1116</v>
      </c>
    </row>
    <row r="118" spans="1:15">
      <c r="A118" s="24" t="s">
        <v>1179</v>
      </c>
      <c r="B118" s="24" t="s">
        <v>820</v>
      </c>
      <c r="C118" s="24" t="s">
        <v>71</v>
      </c>
      <c r="D118" s="24" t="s">
        <v>72</v>
      </c>
      <c r="E118" s="24" t="s">
        <v>1113</v>
      </c>
      <c r="F118" s="24" t="s">
        <v>1114</v>
      </c>
      <c r="G118" s="24" t="s">
        <v>1078</v>
      </c>
      <c r="H118" s="24" t="s">
        <v>1079</v>
      </c>
      <c r="I118" s="24" t="s">
        <v>1124</v>
      </c>
      <c r="J118" s="24" t="s">
        <v>1081</v>
      </c>
      <c r="K118" s="24" t="s">
        <v>1082</v>
      </c>
      <c r="L118" s="24" t="s">
        <v>1083</v>
      </c>
      <c r="M118" s="24">
        <v>1</v>
      </c>
      <c r="N118" s="24" t="s">
        <v>345</v>
      </c>
      <c r="O118" s="24" t="s">
        <v>1116</v>
      </c>
    </row>
    <row r="119" spans="1:15">
      <c r="A119" s="24" t="s">
        <v>1180</v>
      </c>
      <c r="B119" s="24" t="s">
        <v>820</v>
      </c>
      <c r="C119" s="24" t="s">
        <v>71</v>
      </c>
      <c r="D119" s="24" t="s">
        <v>72</v>
      </c>
      <c r="E119" s="24" t="s">
        <v>1113</v>
      </c>
      <c r="F119" s="24" t="s">
        <v>1114</v>
      </c>
      <c r="G119" s="24" t="s">
        <v>1078</v>
      </c>
      <c r="H119" s="24" t="s">
        <v>1079</v>
      </c>
      <c r="I119" s="24" t="s">
        <v>1126</v>
      </c>
      <c r="J119" s="24" t="s">
        <v>1081</v>
      </c>
      <c r="K119" s="24" t="s">
        <v>1082</v>
      </c>
      <c r="L119" s="24" t="s">
        <v>1083</v>
      </c>
      <c r="M119" s="24">
        <v>1</v>
      </c>
      <c r="N119" s="24" t="s">
        <v>345</v>
      </c>
      <c r="O119" s="24" t="s">
        <v>1116</v>
      </c>
    </row>
    <row r="120" spans="1:15">
      <c r="A120" s="24" t="s">
        <v>1180</v>
      </c>
      <c r="B120" s="24" t="s">
        <v>820</v>
      </c>
      <c r="C120" s="24" t="s">
        <v>71</v>
      </c>
      <c r="D120" s="24" t="s">
        <v>72</v>
      </c>
      <c r="E120" s="24" t="s">
        <v>1113</v>
      </c>
      <c r="F120" s="24" t="s">
        <v>1114</v>
      </c>
      <c r="G120" s="24" t="s">
        <v>1078</v>
      </c>
      <c r="H120" s="24" t="s">
        <v>1079</v>
      </c>
      <c r="I120" s="24" t="s">
        <v>1126</v>
      </c>
      <c r="J120" s="24" t="s">
        <v>1081</v>
      </c>
      <c r="K120" s="24" t="s">
        <v>1082</v>
      </c>
      <c r="L120" s="24" t="s">
        <v>1083</v>
      </c>
      <c r="M120" s="24">
        <v>1</v>
      </c>
      <c r="N120" s="24" t="s">
        <v>345</v>
      </c>
      <c r="O120" s="24" t="s">
        <v>1116</v>
      </c>
    </row>
    <row r="121" spans="1:15">
      <c r="A121" s="24" t="s">
        <v>1181</v>
      </c>
      <c r="B121" s="24" t="s">
        <v>820</v>
      </c>
      <c r="C121" s="24" t="s">
        <v>78</v>
      </c>
      <c r="D121" s="24" t="s">
        <v>79</v>
      </c>
      <c r="E121" s="24" t="s">
        <v>1182</v>
      </c>
      <c r="F121" s="24" t="s">
        <v>1183</v>
      </c>
      <c r="G121" s="24" t="s">
        <v>1078</v>
      </c>
      <c r="H121" s="24" t="s">
        <v>1079</v>
      </c>
      <c r="I121" s="24" t="s">
        <v>1184</v>
      </c>
      <c r="J121" s="24" t="s">
        <v>1081</v>
      </c>
      <c r="K121" s="24" t="s">
        <v>1082</v>
      </c>
      <c r="L121" s="24" t="s">
        <v>1083</v>
      </c>
      <c r="M121" s="24">
        <v>1</v>
      </c>
      <c r="N121" s="24" t="s">
        <v>345</v>
      </c>
      <c r="O121" s="24" t="s">
        <v>1185</v>
      </c>
    </row>
    <row r="122" spans="1:15">
      <c r="A122" s="24" t="s">
        <v>1181</v>
      </c>
      <c r="B122" s="24" t="s">
        <v>820</v>
      </c>
      <c r="C122" s="24" t="s">
        <v>78</v>
      </c>
      <c r="D122" s="24" t="s">
        <v>79</v>
      </c>
      <c r="E122" s="24" t="s">
        <v>1182</v>
      </c>
      <c r="F122" s="24" t="s">
        <v>1183</v>
      </c>
      <c r="G122" s="24" t="s">
        <v>1078</v>
      </c>
      <c r="H122" s="24" t="s">
        <v>1079</v>
      </c>
      <c r="I122" s="24" t="s">
        <v>1184</v>
      </c>
      <c r="J122" s="24" t="s">
        <v>1081</v>
      </c>
      <c r="K122" s="24" t="s">
        <v>1082</v>
      </c>
      <c r="L122" s="24" t="s">
        <v>1083</v>
      </c>
      <c r="M122" s="24">
        <v>1</v>
      </c>
      <c r="N122" s="24" t="s">
        <v>345</v>
      </c>
      <c r="O122" s="24" t="s">
        <v>1185</v>
      </c>
    </row>
    <row r="123" spans="1:15">
      <c r="A123" s="24" t="s">
        <v>1186</v>
      </c>
      <c r="B123" s="24" t="s">
        <v>820</v>
      </c>
      <c r="C123" s="24" t="s">
        <v>78</v>
      </c>
      <c r="D123" s="24" t="s">
        <v>79</v>
      </c>
      <c r="E123" s="24" t="s">
        <v>1182</v>
      </c>
      <c r="F123" s="24" t="s">
        <v>1183</v>
      </c>
      <c r="G123" s="24" t="s">
        <v>1078</v>
      </c>
      <c r="H123" s="24" t="s">
        <v>1079</v>
      </c>
      <c r="I123" s="24" t="s">
        <v>1187</v>
      </c>
      <c r="J123" s="24" t="s">
        <v>1081</v>
      </c>
      <c r="K123" s="24" t="s">
        <v>1082</v>
      </c>
      <c r="L123" s="24" t="s">
        <v>1083</v>
      </c>
      <c r="M123" s="24">
        <v>1</v>
      </c>
      <c r="N123" s="24" t="s">
        <v>345</v>
      </c>
      <c r="O123" s="24" t="s">
        <v>1185</v>
      </c>
    </row>
    <row r="124" spans="1:15">
      <c r="A124" s="24" t="s">
        <v>1188</v>
      </c>
      <c r="B124" s="24" t="s">
        <v>820</v>
      </c>
      <c r="C124" s="24" t="s">
        <v>78</v>
      </c>
      <c r="D124" s="24" t="s">
        <v>79</v>
      </c>
      <c r="E124" s="24" t="s">
        <v>1182</v>
      </c>
      <c r="F124" s="24" t="s">
        <v>1183</v>
      </c>
      <c r="G124" s="24" t="s">
        <v>1078</v>
      </c>
      <c r="H124" s="24" t="s">
        <v>1079</v>
      </c>
      <c r="I124" s="24" t="s">
        <v>1189</v>
      </c>
      <c r="J124" s="24" t="s">
        <v>1081</v>
      </c>
      <c r="K124" s="24" t="s">
        <v>1082</v>
      </c>
      <c r="L124" s="24" t="s">
        <v>1083</v>
      </c>
      <c r="M124" s="24">
        <v>1</v>
      </c>
      <c r="N124" s="24" t="s">
        <v>345</v>
      </c>
      <c r="O124" s="24" t="s">
        <v>1185</v>
      </c>
    </row>
    <row r="125" spans="1:15">
      <c r="A125" s="24" t="s">
        <v>1190</v>
      </c>
      <c r="B125" s="24" t="s">
        <v>820</v>
      </c>
      <c r="C125" s="24" t="s">
        <v>78</v>
      </c>
      <c r="D125" s="24" t="s">
        <v>79</v>
      </c>
      <c r="E125" s="24" t="s">
        <v>1182</v>
      </c>
      <c r="F125" s="24" t="s">
        <v>1183</v>
      </c>
      <c r="G125" s="24" t="s">
        <v>1078</v>
      </c>
      <c r="H125" s="24" t="s">
        <v>1079</v>
      </c>
      <c r="I125" s="24" t="s">
        <v>1184</v>
      </c>
      <c r="J125" s="24" t="s">
        <v>1081</v>
      </c>
      <c r="K125" s="24" t="s">
        <v>1082</v>
      </c>
      <c r="L125" s="24" t="s">
        <v>1083</v>
      </c>
      <c r="M125" s="24">
        <v>1</v>
      </c>
      <c r="N125" s="24" t="s">
        <v>345</v>
      </c>
      <c r="O125" s="24" t="s">
        <v>1185</v>
      </c>
    </row>
    <row r="126" spans="1:15">
      <c r="A126" s="24" t="s">
        <v>1186</v>
      </c>
      <c r="B126" s="24" t="s">
        <v>820</v>
      </c>
      <c r="C126" s="24" t="s">
        <v>78</v>
      </c>
      <c r="D126" s="24" t="s">
        <v>79</v>
      </c>
      <c r="E126" s="24" t="s">
        <v>1182</v>
      </c>
      <c r="F126" s="24" t="s">
        <v>1183</v>
      </c>
      <c r="G126" s="24" t="s">
        <v>1078</v>
      </c>
      <c r="H126" s="24" t="s">
        <v>1079</v>
      </c>
      <c r="I126" s="24" t="s">
        <v>1187</v>
      </c>
      <c r="J126" s="24" t="s">
        <v>1081</v>
      </c>
      <c r="K126" s="24" t="s">
        <v>1082</v>
      </c>
      <c r="L126" s="24" t="s">
        <v>1083</v>
      </c>
      <c r="M126" s="24">
        <v>1</v>
      </c>
      <c r="N126" s="24" t="s">
        <v>345</v>
      </c>
      <c r="O126" s="24" t="s">
        <v>1185</v>
      </c>
    </row>
    <row r="127" spans="1:15">
      <c r="A127" s="24" t="s">
        <v>1188</v>
      </c>
      <c r="B127" s="24" t="s">
        <v>820</v>
      </c>
      <c r="C127" s="24" t="s">
        <v>78</v>
      </c>
      <c r="D127" s="24" t="s">
        <v>79</v>
      </c>
      <c r="E127" s="24" t="s">
        <v>1182</v>
      </c>
      <c r="F127" s="24" t="s">
        <v>1183</v>
      </c>
      <c r="G127" s="24" t="s">
        <v>1078</v>
      </c>
      <c r="H127" s="24" t="s">
        <v>1079</v>
      </c>
      <c r="I127" s="24" t="s">
        <v>1189</v>
      </c>
      <c r="J127" s="24" t="s">
        <v>1081</v>
      </c>
      <c r="K127" s="24" t="s">
        <v>1082</v>
      </c>
      <c r="L127" s="24" t="s">
        <v>1083</v>
      </c>
      <c r="M127" s="24">
        <v>1</v>
      </c>
      <c r="N127" s="24" t="s">
        <v>345</v>
      </c>
      <c r="O127" s="24" t="s">
        <v>1185</v>
      </c>
    </row>
    <row r="128" spans="1:15">
      <c r="A128" s="24" t="s">
        <v>1190</v>
      </c>
      <c r="B128" s="24" t="s">
        <v>820</v>
      </c>
      <c r="C128" s="24" t="s">
        <v>78</v>
      </c>
      <c r="D128" s="24" t="s">
        <v>79</v>
      </c>
      <c r="E128" s="24" t="s">
        <v>1182</v>
      </c>
      <c r="F128" s="24" t="s">
        <v>1183</v>
      </c>
      <c r="G128" s="24" t="s">
        <v>1078</v>
      </c>
      <c r="H128" s="24" t="s">
        <v>1079</v>
      </c>
      <c r="I128" s="24" t="s">
        <v>1184</v>
      </c>
      <c r="J128" s="24" t="s">
        <v>1081</v>
      </c>
      <c r="K128" s="24" t="s">
        <v>1082</v>
      </c>
      <c r="L128" s="24" t="s">
        <v>1083</v>
      </c>
      <c r="M128" s="24">
        <v>1</v>
      </c>
      <c r="N128" s="24" t="s">
        <v>345</v>
      </c>
      <c r="O128" s="24" t="s">
        <v>1185</v>
      </c>
    </row>
    <row r="129" spans="1:15">
      <c r="A129" s="24" t="s">
        <v>1191</v>
      </c>
      <c r="B129" s="24" t="s">
        <v>820</v>
      </c>
      <c r="C129" s="24" t="s">
        <v>86</v>
      </c>
      <c r="D129" s="24" t="s">
        <v>87</v>
      </c>
      <c r="E129" s="24" t="s">
        <v>1192</v>
      </c>
      <c r="F129" s="24" t="s">
        <v>1193</v>
      </c>
      <c r="G129" s="24" t="s">
        <v>1078</v>
      </c>
      <c r="H129" s="24" t="s">
        <v>1079</v>
      </c>
      <c r="I129" s="24" t="s">
        <v>1194</v>
      </c>
      <c r="J129" s="24" t="s">
        <v>1081</v>
      </c>
      <c r="K129" s="24" t="s">
        <v>1082</v>
      </c>
      <c r="L129" s="24" t="s">
        <v>1083</v>
      </c>
      <c r="M129" s="24">
        <v>1</v>
      </c>
      <c r="N129" s="24" t="s">
        <v>345</v>
      </c>
      <c r="O129" s="24" t="s">
        <v>1195</v>
      </c>
    </row>
    <row r="130" spans="1:15">
      <c r="A130" s="24" t="s">
        <v>1191</v>
      </c>
      <c r="B130" s="24" t="s">
        <v>820</v>
      </c>
      <c r="C130" s="24" t="s">
        <v>86</v>
      </c>
      <c r="D130" s="24" t="s">
        <v>87</v>
      </c>
      <c r="E130" s="24" t="s">
        <v>1192</v>
      </c>
      <c r="F130" s="24" t="s">
        <v>1193</v>
      </c>
      <c r="G130" s="24" t="s">
        <v>1078</v>
      </c>
      <c r="H130" s="24" t="s">
        <v>1079</v>
      </c>
      <c r="I130" s="24" t="s">
        <v>1194</v>
      </c>
      <c r="J130" s="24" t="s">
        <v>1081</v>
      </c>
      <c r="K130" s="24" t="s">
        <v>1082</v>
      </c>
      <c r="L130" s="24" t="s">
        <v>1083</v>
      </c>
      <c r="M130" s="24">
        <v>1</v>
      </c>
      <c r="N130" s="24" t="s">
        <v>345</v>
      </c>
      <c r="O130" s="24" t="s">
        <v>1195</v>
      </c>
    </row>
    <row r="131" spans="1:15">
      <c r="A131" s="24" t="s">
        <v>1196</v>
      </c>
      <c r="B131" s="24" t="s">
        <v>820</v>
      </c>
      <c r="C131" s="24" t="s">
        <v>86</v>
      </c>
      <c r="D131" s="24" t="s">
        <v>87</v>
      </c>
      <c r="E131" s="24" t="s">
        <v>1192</v>
      </c>
      <c r="F131" s="24" t="s">
        <v>1193</v>
      </c>
      <c r="G131" s="24" t="s">
        <v>1078</v>
      </c>
      <c r="H131" s="24" t="s">
        <v>1079</v>
      </c>
      <c r="I131" s="24" t="s">
        <v>1197</v>
      </c>
      <c r="J131" s="24" t="s">
        <v>1081</v>
      </c>
      <c r="K131" s="24" t="s">
        <v>1082</v>
      </c>
      <c r="L131" s="24" t="s">
        <v>1083</v>
      </c>
      <c r="M131" s="24">
        <v>1</v>
      </c>
      <c r="N131" s="24" t="s">
        <v>345</v>
      </c>
      <c r="O131" s="24" t="s">
        <v>1195</v>
      </c>
    </row>
    <row r="132" spans="1:15">
      <c r="A132" s="24" t="s">
        <v>1198</v>
      </c>
      <c r="B132" s="24" t="s">
        <v>820</v>
      </c>
      <c r="C132" s="24" t="s">
        <v>86</v>
      </c>
      <c r="D132" s="24" t="s">
        <v>87</v>
      </c>
      <c r="E132" s="24" t="s">
        <v>1192</v>
      </c>
      <c r="F132" s="24" t="s">
        <v>1193</v>
      </c>
      <c r="G132" s="24" t="s">
        <v>1078</v>
      </c>
      <c r="H132" s="24" t="s">
        <v>1079</v>
      </c>
      <c r="I132" s="24" t="s">
        <v>1199</v>
      </c>
      <c r="J132" s="24" t="s">
        <v>1081</v>
      </c>
      <c r="K132" s="24" t="s">
        <v>1082</v>
      </c>
      <c r="L132" s="24" t="s">
        <v>1083</v>
      </c>
      <c r="M132" s="24">
        <v>1</v>
      </c>
      <c r="N132" s="24" t="s">
        <v>345</v>
      </c>
      <c r="O132" s="24" t="s">
        <v>1195</v>
      </c>
    </row>
    <row r="133" spans="1:15">
      <c r="A133" s="24" t="s">
        <v>1200</v>
      </c>
      <c r="B133" s="24" t="s">
        <v>820</v>
      </c>
      <c r="C133" s="24" t="s">
        <v>86</v>
      </c>
      <c r="D133" s="24" t="s">
        <v>87</v>
      </c>
      <c r="E133" s="24" t="s">
        <v>1192</v>
      </c>
      <c r="F133" s="24" t="s">
        <v>1193</v>
      </c>
      <c r="G133" s="24" t="s">
        <v>1078</v>
      </c>
      <c r="H133" s="24" t="s">
        <v>1079</v>
      </c>
      <c r="I133" s="24" t="s">
        <v>1194</v>
      </c>
      <c r="J133" s="24" t="s">
        <v>1081</v>
      </c>
      <c r="K133" s="24" t="s">
        <v>1082</v>
      </c>
      <c r="L133" s="24" t="s">
        <v>1083</v>
      </c>
      <c r="M133" s="24">
        <v>1</v>
      </c>
      <c r="N133" s="24" t="s">
        <v>345</v>
      </c>
      <c r="O133" s="24" t="s">
        <v>1195</v>
      </c>
    </row>
    <row r="134" spans="1:15">
      <c r="A134" s="24" t="s">
        <v>1196</v>
      </c>
      <c r="B134" s="24" t="s">
        <v>820</v>
      </c>
      <c r="C134" s="24" t="s">
        <v>86</v>
      </c>
      <c r="D134" s="24" t="s">
        <v>87</v>
      </c>
      <c r="E134" s="24" t="s">
        <v>1192</v>
      </c>
      <c r="F134" s="24" t="s">
        <v>1193</v>
      </c>
      <c r="G134" s="24" t="s">
        <v>1078</v>
      </c>
      <c r="H134" s="24" t="s">
        <v>1079</v>
      </c>
      <c r="I134" s="24" t="s">
        <v>1197</v>
      </c>
      <c r="J134" s="24" t="s">
        <v>1081</v>
      </c>
      <c r="K134" s="24" t="s">
        <v>1082</v>
      </c>
      <c r="L134" s="24" t="s">
        <v>1083</v>
      </c>
      <c r="M134" s="24">
        <v>1</v>
      </c>
      <c r="N134" s="24" t="s">
        <v>345</v>
      </c>
      <c r="O134" s="24" t="s">
        <v>1195</v>
      </c>
    </row>
    <row r="135" spans="1:15">
      <c r="A135" s="24" t="s">
        <v>1198</v>
      </c>
      <c r="B135" s="24" t="s">
        <v>820</v>
      </c>
      <c r="C135" s="24" t="s">
        <v>86</v>
      </c>
      <c r="D135" s="24" t="s">
        <v>87</v>
      </c>
      <c r="E135" s="24" t="s">
        <v>1192</v>
      </c>
      <c r="F135" s="24" t="s">
        <v>1193</v>
      </c>
      <c r="G135" s="24" t="s">
        <v>1078</v>
      </c>
      <c r="H135" s="24" t="s">
        <v>1079</v>
      </c>
      <c r="I135" s="24" t="s">
        <v>1199</v>
      </c>
      <c r="J135" s="24" t="s">
        <v>1081</v>
      </c>
      <c r="K135" s="24" t="s">
        <v>1082</v>
      </c>
      <c r="L135" s="24" t="s">
        <v>1083</v>
      </c>
      <c r="M135" s="24">
        <v>1</v>
      </c>
      <c r="N135" s="24" t="s">
        <v>345</v>
      </c>
      <c r="O135" s="24" t="s">
        <v>1195</v>
      </c>
    </row>
    <row r="136" spans="1:15">
      <c r="A136" s="24" t="s">
        <v>1200</v>
      </c>
      <c r="B136" s="24" t="s">
        <v>820</v>
      </c>
      <c r="C136" s="24" t="s">
        <v>86</v>
      </c>
      <c r="D136" s="24" t="s">
        <v>87</v>
      </c>
      <c r="E136" s="24" t="s">
        <v>1192</v>
      </c>
      <c r="F136" s="24" t="s">
        <v>1193</v>
      </c>
      <c r="G136" s="24" t="s">
        <v>1078</v>
      </c>
      <c r="H136" s="24" t="s">
        <v>1079</v>
      </c>
      <c r="I136" s="24" t="s">
        <v>1194</v>
      </c>
      <c r="J136" s="24" t="s">
        <v>1081</v>
      </c>
      <c r="K136" s="24" t="s">
        <v>1082</v>
      </c>
      <c r="L136" s="24" t="s">
        <v>1083</v>
      </c>
      <c r="M136" s="24">
        <v>1</v>
      </c>
      <c r="N136" s="24" t="s">
        <v>345</v>
      </c>
      <c r="O136" s="24" t="s">
        <v>1195</v>
      </c>
    </row>
    <row r="137" spans="1:15">
      <c r="A137" s="24" t="s">
        <v>1201</v>
      </c>
      <c r="B137" s="24" t="s">
        <v>820</v>
      </c>
      <c r="C137" s="24" t="s">
        <v>95</v>
      </c>
      <c r="D137" s="24" t="s">
        <v>96</v>
      </c>
      <c r="E137" s="24" t="s">
        <v>1202</v>
      </c>
      <c r="F137" s="24" t="s">
        <v>1203</v>
      </c>
      <c r="G137" s="24" t="s">
        <v>1078</v>
      </c>
      <c r="H137" s="24" t="s">
        <v>1204</v>
      </c>
      <c r="I137" s="24" t="s">
        <v>1156</v>
      </c>
      <c r="J137" s="24" t="s">
        <v>1081</v>
      </c>
      <c r="K137" s="24" t="s">
        <v>1082</v>
      </c>
      <c r="L137" s="24" t="s">
        <v>1083</v>
      </c>
      <c r="M137" s="24">
        <v>7045</v>
      </c>
      <c r="N137" s="24" t="s">
        <v>1205</v>
      </c>
      <c r="O137" s="24" t="s">
        <v>1206</v>
      </c>
    </row>
    <row r="138" spans="1:15">
      <c r="A138" s="24" t="s">
        <v>1207</v>
      </c>
      <c r="B138" s="24" t="s">
        <v>1005</v>
      </c>
      <c r="C138" s="24" t="s">
        <v>62</v>
      </c>
      <c r="D138" s="24" t="s">
        <v>63</v>
      </c>
      <c r="E138" s="24"/>
      <c r="F138" s="24" t="s">
        <v>1208</v>
      </c>
      <c r="G138" s="24" t="s">
        <v>1078</v>
      </c>
      <c r="H138" s="24" t="s">
        <v>1209</v>
      </c>
      <c r="I138" s="24" t="s">
        <v>1210</v>
      </c>
      <c r="J138" s="24" t="s">
        <v>1081</v>
      </c>
      <c r="K138" s="24" t="s">
        <v>1082</v>
      </c>
      <c r="L138" s="24" t="s">
        <v>1083</v>
      </c>
      <c r="M138" s="24">
        <v>4104</v>
      </c>
      <c r="N138" s="24" t="s">
        <v>1058</v>
      </c>
      <c r="O138" s="24" t="s">
        <v>1211</v>
      </c>
    </row>
    <row r="139" spans="1:15">
      <c r="A139" s="24" t="s">
        <v>1212</v>
      </c>
      <c r="B139" s="24" t="s">
        <v>1005</v>
      </c>
      <c r="C139" s="24" t="s">
        <v>102</v>
      </c>
      <c r="D139" s="24" t="s">
        <v>103</v>
      </c>
      <c r="E139" s="24"/>
      <c r="F139" s="24" t="s">
        <v>1208</v>
      </c>
      <c r="G139" s="24" t="s">
        <v>1078</v>
      </c>
      <c r="H139" s="24" t="s">
        <v>1209</v>
      </c>
      <c r="I139" s="24" t="s">
        <v>1213</v>
      </c>
      <c r="J139" s="24" t="s">
        <v>1081</v>
      </c>
      <c r="K139" s="24" t="s">
        <v>1082</v>
      </c>
      <c r="L139" s="24" t="s">
        <v>1083</v>
      </c>
      <c r="M139" s="24">
        <v>4104</v>
      </c>
      <c r="N139" s="24" t="s">
        <v>1058</v>
      </c>
      <c r="O139" s="24" t="s">
        <v>1211</v>
      </c>
    </row>
    <row r="140" spans="1:15">
      <c r="A140" s="24" t="s">
        <v>1214</v>
      </c>
      <c r="B140" s="24" t="s">
        <v>1005</v>
      </c>
      <c r="C140" s="24" t="s">
        <v>102</v>
      </c>
      <c r="D140" s="24" t="s">
        <v>103</v>
      </c>
      <c r="E140" s="24"/>
      <c r="F140" s="24" t="s">
        <v>1208</v>
      </c>
      <c r="G140" s="24" t="s">
        <v>1078</v>
      </c>
      <c r="H140" s="24" t="s">
        <v>1209</v>
      </c>
      <c r="I140" s="24" t="s">
        <v>1215</v>
      </c>
      <c r="J140" s="24" t="s">
        <v>1081</v>
      </c>
      <c r="K140" s="24" t="s">
        <v>1082</v>
      </c>
      <c r="L140" s="24" t="s">
        <v>1083</v>
      </c>
      <c r="M140" s="24">
        <v>4104</v>
      </c>
      <c r="N140" s="24" t="s">
        <v>1058</v>
      </c>
      <c r="O140" s="24" t="s">
        <v>1211</v>
      </c>
    </row>
    <row r="141" spans="1:15">
      <c r="A141" s="24" t="s">
        <v>1216</v>
      </c>
      <c r="B141" s="24" t="s">
        <v>1005</v>
      </c>
      <c r="C141" s="24" t="s">
        <v>62</v>
      </c>
      <c r="D141" s="24" t="s">
        <v>63</v>
      </c>
      <c r="E141" s="24"/>
      <c r="F141" s="24" t="s">
        <v>1208</v>
      </c>
      <c r="G141" s="24" t="s">
        <v>1078</v>
      </c>
      <c r="H141" s="24" t="s">
        <v>1209</v>
      </c>
      <c r="I141" s="24" t="s">
        <v>1217</v>
      </c>
      <c r="J141" s="24" t="s">
        <v>1081</v>
      </c>
      <c r="K141" s="24" t="s">
        <v>1082</v>
      </c>
      <c r="L141" s="24" t="s">
        <v>1083</v>
      </c>
      <c r="M141" s="24">
        <v>4104</v>
      </c>
      <c r="N141" s="24" t="s">
        <v>1058</v>
      </c>
      <c r="O141" s="24" t="s">
        <v>1211</v>
      </c>
    </row>
    <row r="142" spans="1:15">
      <c r="A142" s="24" t="s">
        <v>1112</v>
      </c>
      <c r="B142" s="24" t="s">
        <v>1005</v>
      </c>
      <c r="C142" s="24" t="s">
        <v>71</v>
      </c>
      <c r="D142" s="24" t="s">
        <v>72</v>
      </c>
      <c r="E142" s="24"/>
      <c r="F142" s="24" t="s">
        <v>1218</v>
      </c>
      <c r="G142" s="24" t="s">
        <v>1078</v>
      </c>
      <c r="H142" s="24" t="s">
        <v>1079</v>
      </c>
      <c r="I142" s="24" t="s">
        <v>1115</v>
      </c>
      <c r="J142" s="24" t="s">
        <v>1081</v>
      </c>
      <c r="K142" s="24" t="s">
        <v>1082</v>
      </c>
      <c r="L142" s="24" t="s">
        <v>1083</v>
      </c>
      <c r="M142" s="24">
        <v>1</v>
      </c>
      <c r="N142" s="24" t="s">
        <v>1052</v>
      </c>
      <c r="O142" s="24" t="s">
        <v>1219</v>
      </c>
    </row>
    <row r="143" spans="1:15">
      <c r="A143" s="24" t="s">
        <v>1181</v>
      </c>
      <c r="B143" s="24" t="s">
        <v>1005</v>
      </c>
      <c r="C143" s="24" t="s">
        <v>78</v>
      </c>
      <c r="D143" s="24" t="s">
        <v>79</v>
      </c>
      <c r="E143" s="24"/>
      <c r="F143" s="24" t="s">
        <v>1218</v>
      </c>
      <c r="G143" s="24" t="s">
        <v>1078</v>
      </c>
      <c r="H143" s="24" t="s">
        <v>1079</v>
      </c>
      <c r="I143" s="24" t="s">
        <v>1184</v>
      </c>
      <c r="J143" s="24" t="s">
        <v>1081</v>
      </c>
      <c r="K143" s="24" t="s">
        <v>1082</v>
      </c>
      <c r="L143" s="24" t="s">
        <v>1083</v>
      </c>
      <c r="M143" s="24">
        <v>1</v>
      </c>
      <c r="N143" s="24" t="s">
        <v>1052</v>
      </c>
      <c r="O143" s="24" t="s">
        <v>1219</v>
      </c>
    </row>
    <row r="144" spans="1:15">
      <c r="A144" s="24" t="s">
        <v>1117</v>
      </c>
      <c r="B144" s="24" t="s">
        <v>1005</v>
      </c>
      <c r="C144" s="24" t="s">
        <v>71</v>
      </c>
      <c r="D144" s="24" t="s">
        <v>72</v>
      </c>
      <c r="E144" s="24"/>
      <c r="F144" s="24" t="s">
        <v>1218</v>
      </c>
      <c r="G144" s="24" t="s">
        <v>1078</v>
      </c>
      <c r="H144" s="24" t="s">
        <v>1079</v>
      </c>
      <c r="I144" s="24" t="s">
        <v>1118</v>
      </c>
      <c r="J144" s="24" t="s">
        <v>1081</v>
      </c>
      <c r="K144" s="24" t="s">
        <v>1082</v>
      </c>
      <c r="L144" s="24" t="s">
        <v>1083</v>
      </c>
      <c r="M144" s="24">
        <v>1</v>
      </c>
      <c r="N144" s="24" t="s">
        <v>1052</v>
      </c>
      <c r="O144" s="24" t="s">
        <v>1219</v>
      </c>
    </row>
    <row r="145" spans="1:15">
      <c r="A145" s="24" t="s">
        <v>1220</v>
      </c>
      <c r="B145" s="24" t="s">
        <v>1005</v>
      </c>
      <c r="C145" s="24" t="s">
        <v>95</v>
      </c>
      <c r="D145" s="24" t="s">
        <v>96</v>
      </c>
      <c r="E145" s="24"/>
      <c r="F145" s="24" t="s">
        <v>1218</v>
      </c>
      <c r="G145" s="24" t="s">
        <v>1078</v>
      </c>
      <c r="H145" s="24" t="s">
        <v>1079</v>
      </c>
      <c r="I145" s="24" t="s">
        <v>1221</v>
      </c>
      <c r="J145" s="24" t="s">
        <v>1081</v>
      </c>
      <c r="K145" s="24" t="s">
        <v>1082</v>
      </c>
      <c r="L145" s="24" t="s">
        <v>1083</v>
      </c>
      <c r="M145" s="24">
        <v>1</v>
      </c>
      <c r="N145" s="24" t="s">
        <v>1052</v>
      </c>
      <c r="O145" s="24" t="s">
        <v>1219</v>
      </c>
    </row>
    <row r="146" spans="1:15">
      <c r="A146" s="24" t="s">
        <v>1119</v>
      </c>
      <c r="B146" s="24" t="s">
        <v>1005</v>
      </c>
      <c r="C146" s="24" t="s">
        <v>71</v>
      </c>
      <c r="D146" s="24" t="s">
        <v>72</v>
      </c>
      <c r="E146" s="24"/>
      <c r="F146" s="24" t="s">
        <v>1218</v>
      </c>
      <c r="G146" s="24" t="s">
        <v>1078</v>
      </c>
      <c r="H146" s="24" t="s">
        <v>1079</v>
      </c>
      <c r="I146" s="24" t="s">
        <v>1120</v>
      </c>
      <c r="J146" s="24" t="s">
        <v>1081</v>
      </c>
      <c r="K146" s="24" t="s">
        <v>1082</v>
      </c>
      <c r="L146" s="24" t="s">
        <v>1083</v>
      </c>
      <c r="M146" s="24">
        <v>1</v>
      </c>
      <c r="N146" s="24" t="s">
        <v>1052</v>
      </c>
      <c r="O146" s="24" t="s">
        <v>1219</v>
      </c>
    </row>
    <row r="147" spans="1:15">
      <c r="A147" s="24" t="s">
        <v>1191</v>
      </c>
      <c r="B147" s="24" t="s">
        <v>1005</v>
      </c>
      <c r="C147" s="24" t="s">
        <v>86</v>
      </c>
      <c r="D147" s="24" t="s">
        <v>87</v>
      </c>
      <c r="E147" s="24"/>
      <c r="F147" s="24" t="s">
        <v>1218</v>
      </c>
      <c r="G147" s="24" t="s">
        <v>1078</v>
      </c>
      <c r="H147" s="24" t="s">
        <v>1079</v>
      </c>
      <c r="I147" s="24" t="s">
        <v>1194</v>
      </c>
      <c r="J147" s="24" t="s">
        <v>1081</v>
      </c>
      <c r="K147" s="24" t="s">
        <v>1082</v>
      </c>
      <c r="L147" s="24" t="s">
        <v>1083</v>
      </c>
      <c r="M147" s="24">
        <v>1</v>
      </c>
      <c r="N147" s="24" t="s">
        <v>1052</v>
      </c>
      <c r="O147" s="24" t="s">
        <v>1219</v>
      </c>
    </row>
    <row r="148" spans="1:15">
      <c r="A148" s="24" t="s">
        <v>1121</v>
      </c>
      <c r="B148" s="24" t="s">
        <v>1005</v>
      </c>
      <c r="C148" s="24" t="s">
        <v>71</v>
      </c>
      <c r="D148" s="24" t="s">
        <v>72</v>
      </c>
      <c r="E148" s="24"/>
      <c r="F148" s="24" t="s">
        <v>1218</v>
      </c>
      <c r="G148" s="24" t="s">
        <v>1078</v>
      </c>
      <c r="H148" s="24" t="s">
        <v>1079</v>
      </c>
      <c r="I148" s="24" t="s">
        <v>1122</v>
      </c>
      <c r="J148" s="24" t="s">
        <v>1081</v>
      </c>
      <c r="K148" s="24" t="s">
        <v>1082</v>
      </c>
      <c r="L148" s="24" t="s">
        <v>1083</v>
      </c>
      <c r="M148" s="24">
        <v>1</v>
      </c>
      <c r="N148" s="24" t="s">
        <v>1052</v>
      </c>
      <c r="O148" s="24" t="s">
        <v>1219</v>
      </c>
    </row>
    <row r="149" spans="1:15">
      <c r="A149" s="24" t="s">
        <v>1123</v>
      </c>
      <c r="B149" s="24" t="s">
        <v>1005</v>
      </c>
      <c r="C149" s="24" t="s">
        <v>71</v>
      </c>
      <c r="D149" s="24" t="s">
        <v>72</v>
      </c>
      <c r="E149" s="24"/>
      <c r="F149" s="24" t="s">
        <v>1218</v>
      </c>
      <c r="G149" s="24" t="s">
        <v>1078</v>
      </c>
      <c r="H149" s="24" t="s">
        <v>1079</v>
      </c>
      <c r="I149" s="24" t="s">
        <v>1124</v>
      </c>
      <c r="J149" s="24" t="s">
        <v>1081</v>
      </c>
      <c r="K149" s="24" t="s">
        <v>1082</v>
      </c>
      <c r="L149" s="24" t="s">
        <v>1083</v>
      </c>
      <c r="M149" s="24">
        <v>1</v>
      </c>
      <c r="N149" s="24" t="s">
        <v>1052</v>
      </c>
      <c r="O149" s="24" t="s">
        <v>1219</v>
      </c>
    </row>
    <row r="150" spans="1:15">
      <c r="A150" s="24" t="s">
        <v>1112</v>
      </c>
      <c r="B150" s="24" t="s">
        <v>1005</v>
      </c>
      <c r="C150" s="24" t="s">
        <v>71</v>
      </c>
      <c r="D150" s="24" t="s">
        <v>72</v>
      </c>
      <c r="E150" s="24"/>
      <c r="F150" s="24" t="s">
        <v>1218</v>
      </c>
      <c r="G150" s="24" t="s">
        <v>1078</v>
      </c>
      <c r="H150" s="24" t="s">
        <v>1079</v>
      </c>
      <c r="I150" s="24" t="s">
        <v>1115</v>
      </c>
      <c r="J150" s="24" t="s">
        <v>1081</v>
      </c>
      <c r="K150" s="24" t="s">
        <v>1082</v>
      </c>
      <c r="L150" s="24" t="s">
        <v>1083</v>
      </c>
      <c r="M150" s="24">
        <v>1</v>
      </c>
      <c r="N150" s="24" t="s">
        <v>1052</v>
      </c>
      <c r="O150" s="24" t="s">
        <v>1219</v>
      </c>
    </row>
    <row r="151" spans="1:15">
      <c r="A151" s="24" t="s">
        <v>1181</v>
      </c>
      <c r="B151" s="24" t="s">
        <v>1005</v>
      </c>
      <c r="C151" s="24" t="s">
        <v>78</v>
      </c>
      <c r="D151" s="24" t="s">
        <v>79</v>
      </c>
      <c r="E151" s="24"/>
      <c r="F151" s="24" t="s">
        <v>1218</v>
      </c>
      <c r="G151" s="24" t="s">
        <v>1078</v>
      </c>
      <c r="H151" s="24" t="s">
        <v>1079</v>
      </c>
      <c r="I151" s="24" t="s">
        <v>1184</v>
      </c>
      <c r="J151" s="24" t="s">
        <v>1081</v>
      </c>
      <c r="K151" s="24" t="s">
        <v>1082</v>
      </c>
      <c r="L151" s="24" t="s">
        <v>1083</v>
      </c>
      <c r="M151" s="24">
        <v>1</v>
      </c>
      <c r="N151" s="24" t="s">
        <v>1052</v>
      </c>
      <c r="O151" s="24" t="s">
        <v>1219</v>
      </c>
    </row>
    <row r="152" spans="1:15">
      <c r="A152" s="24" t="s">
        <v>1117</v>
      </c>
      <c r="B152" s="24" t="s">
        <v>1005</v>
      </c>
      <c r="C152" s="24" t="s">
        <v>71</v>
      </c>
      <c r="D152" s="24" t="s">
        <v>72</v>
      </c>
      <c r="E152" s="24"/>
      <c r="F152" s="24" t="s">
        <v>1218</v>
      </c>
      <c r="G152" s="24" t="s">
        <v>1078</v>
      </c>
      <c r="H152" s="24" t="s">
        <v>1079</v>
      </c>
      <c r="I152" s="24" t="s">
        <v>1118</v>
      </c>
      <c r="J152" s="24" t="s">
        <v>1081</v>
      </c>
      <c r="K152" s="24" t="s">
        <v>1082</v>
      </c>
      <c r="L152" s="24" t="s">
        <v>1083</v>
      </c>
      <c r="M152" s="24">
        <v>1</v>
      </c>
      <c r="N152" s="24" t="s">
        <v>1052</v>
      </c>
      <c r="O152" s="24" t="s">
        <v>1219</v>
      </c>
    </row>
    <row r="153" spans="1:15">
      <c r="A153" s="24" t="s">
        <v>1220</v>
      </c>
      <c r="B153" s="24" t="s">
        <v>1005</v>
      </c>
      <c r="C153" s="24" t="s">
        <v>95</v>
      </c>
      <c r="D153" s="24" t="s">
        <v>96</v>
      </c>
      <c r="E153" s="24"/>
      <c r="F153" s="24" t="s">
        <v>1218</v>
      </c>
      <c r="G153" s="24" t="s">
        <v>1078</v>
      </c>
      <c r="H153" s="24" t="s">
        <v>1079</v>
      </c>
      <c r="I153" s="24" t="s">
        <v>1221</v>
      </c>
      <c r="J153" s="24" t="s">
        <v>1081</v>
      </c>
      <c r="K153" s="24" t="s">
        <v>1082</v>
      </c>
      <c r="L153" s="24" t="s">
        <v>1083</v>
      </c>
      <c r="M153" s="24">
        <v>1</v>
      </c>
      <c r="N153" s="24" t="s">
        <v>1052</v>
      </c>
      <c r="O153" s="24" t="s">
        <v>1219</v>
      </c>
    </row>
    <row r="154" spans="1:15">
      <c r="A154" s="24" t="s">
        <v>1119</v>
      </c>
      <c r="B154" s="24" t="s">
        <v>1005</v>
      </c>
      <c r="C154" s="24" t="s">
        <v>71</v>
      </c>
      <c r="D154" s="24" t="s">
        <v>72</v>
      </c>
      <c r="E154" s="24"/>
      <c r="F154" s="24" t="s">
        <v>1218</v>
      </c>
      <c r="G154" s="24" t="s">
        <v>1078</v>
      </c>
      <c r="H154" s="24" t="s">
        <v>1079</v>
      </c>
      <c r="I154" s="24" t="s">
        <v>1120</v>
      </c>
      <c r="J154" s="24" t="s">
        <v>1081</v>
      </c>
      <c r="K154" s="24" t="s">
        <v>1082</v>
      </c>
      <c r="L154" s="24" t="s">
        <v>1083</v>
      </c>
      <c r="M154" s="24">
        <v>1</v>
      </c>
      <c r="N154" s="24" t="s">
        <v>1052</v>
      </c>
      <c r="O154" s="24" t="s">
        <v>1219</v>
      </c>
    </row>
    <row r="155" spans="1:15">
      <c r="A155" s="24" t="s">
        <v>1191</v>
      </c>
      <c r="B155" s="24" t="s">
        <v>1005</v>
      </c>
      <c r="C155" s="24" t="s">
        <v>86</v>
      </c>
      <c r="D155" s="24" t="s">
        <v>87</v>
      </c>
      <c r="E155" s="24"/>
      <c r="F155" s="24" t="s">
        <v>1218</v>
      </c>
      <c r="G155" s="24" t="s">
        <v>1078</v>
      </c>
      <c r="H155" s="24" t="s">
        <v>1079</v>
      </c>
      <c r="I155" s="24" t="s">
        <v>1194</v>
      </c>
      <c r="J155" s="24" t="s">
        <v>1081</v>
      </c>
      <c r="K155" s="24" t="s">
        <v>1082</v>
      </c>
      <c r="L155" s="24" t="s">
        <v>1083</v>
      </c>
      <c r="M155" s="24">
        <v>1</v>
      </c>
      <c r="N155" s="24" t="s">
        <v>1052</v>
      </c>
      <c r="O155" s="24" t="s">
        <v>1219</v>
      </c>
    </row>
    <row r="156" spans="1:15">
      <c r="A156" s="24" t="s">
        <v>1121</v>
      </c>
      <c r="B156" s="24" t="s">
        <v>1005</v>
      </c>
      <c r="C156" s="24" t="s">
        <v>71</v>
      </c>
      <c r="D156" s="24" t="s">
        <v>72</v>
      </c>
      <c r="E156" s="24"/>
      <c r="F156" s="24" t="s">
        <v>1218</v>
      </c>
      <c r="G156" s="24" t="s">
        <v>1078</v>
      </c>
      <c r="H156" s="24" t="s">
        <v>1079</v>
      </c>
      <c r="I156" s="24" t="s">
        <v>1122</v>
      </c>
      <c r="J156" s="24" t="s">
        <v>1081</v>
      </c>
      <c r="K156" s="24" t="s">
        <v>1082</v>
      </c>
      <c r="L156" s="24" t="s">
        <v>1083</v>
      </c>
      <c r="M156" s="24">
        <v>1</v>
      </c>
      <c r="N156" s="24" t="s">
        <v>1052</v>
      </c>
      <c r="O156" s="24" t="s">
        <v>1219</v>
      </c>
    </row>
    <row r="157" spans="1:15">
      <c r="A157" s="24" t="s">
        <v>1123</v>
      </c>
      <c r="B157" s="24" t="s">
        <v>1005</v>
      </c>
      <c r="C157" s="24" t="s">
        <v>71</v>
      </c>
      <c r="D157" s="24" t="s">
        <v>72</v>
      </c>
      <c r="E157" s="24"/>
      <c r="F157" s="24" t="s">
        <v>1218</v>
      </c>
      <c r="G157" s="24" t="s">
        <v>1078</v>
      </c>
      <c r="H157" s="24" t="s">
        <v>1079</v>
      </c>
      <c r="I157" s="24" t="s">
        <v>1124</v>
      </c>
      <c r="J157" s="24" t="s">
        <v>1081</v>
      </c>
      <c r="K157" s="24" t="s">
        <v>1082</v>
      </c>
      <c r="L157" s="24" t="s">
        <v>1083</v>
      </c>
      <c r="M157" s="24">
        <v>1</v>
      </c>
      <c r="N157" s="24" t="s">
        <v>1052</v>
      </c>
      <c r="O157" s="24" t="s">
        <v>1219</v>
      </c>
    </row>
    <row r="158" spans="1:15">
      <c r="A158" s="24" t="s">
        <v>1125</v>
      </c>
      <c r="B158" s="24" t="s">
        <v>1005</v>
      </c>
      <c r="C158" s="24" t="s">
        <v>71</v>
      </c>
      <c r="D158" s="24" t="s">
        <v>72</v>
      </c>
      <c r="E158" s="24"/>
      <c r="F158" s="24" t="s">
        <v>1218</v>
      </c>
      <c r="G158" s="24" t="s">
        <v>1078</v>
      </c>
      <c r="H158" s="24" t="s">
        <v>1079</v>
      </c>
      <c r="I158" s="24" t="s">
        <v>1126</v>
      </c>
      <c r="J158" s="24" t="s">
        <v>1081</v>
      </c>
      <c r="K158" s="24" t="s">
        <v>1082</v>
      </c>
      <c r="L158" s="24" t="s">
        <v>1083</v>
      </c>
      <c r="M158" s="24">
        <v>1</v>
      </c>
      <c r="N158" s="24" t="s">
        <v>1052</v>
      </c>
      <c r="O158" s="24" t="s">
        <v>1219</v>
      </c>
    </row>
    <row r="159" spans="1:15">
      <c r="A159" s="24" t="s">
        <v>1125</v>
      </c>
      <c r="B159" s="24" t="s">
        <v>1005</v>
      </c>
      <c r="C159" s="24" t="s">
        <v>71</v>
      </c>
      <c r="D159" s="24" t="s">
        <v>72</v>
      </c>
      <c r="E159" s="24"/>
      <c r="F159" s="24" t="s">
        <v>1218</v>
      </c>
      <c r="G159" s="24" t="s">
        <v>1078</v>
      </c>
      <c r="H159" s="24" t="s">
        <v>1079</v>
      </c>
      <c r="I159" s="24" t="s">
        <v>1126</v>
      </c>
      <c r="J159" s="24" t="s">
        <v>1081</v>
      </c>
      <c r="K159" s="24" t="s">
        <v>1082</v>
      </c>
      <c r="L159" s="24" t="s">
        <v>1083</v>
      </c>
      <c r="M159" s="24">
        <v>1</v>
      </c>
      <c r="N159" s="24" t="s">
        <v>1052</v>
      </c>
      <c r="O159" s="24" t="s">
        <v>1219</v>
      </c>
    </row>
    <row r="160" spans="1:15">
      <c r="A160" s="24" t="s">
        <v>1127</v>
      </c>
      <c r="B160" s="24" t="s">
        <v>1005</v>
      </c>
      <c r="C160" s="24" t="s">
        <v>71</v>
      </c>
      <c r="D160" s="24" t="s">
        <v>72</v>
      </c>
      <c r="E160" s="24"/>
      <c r="F160" s="24" t="s">
        <v>1218</v>
      </c>
      <c r="G160" s="24" t="s">
        <v>1078</v>
      </c>
      <c r="H160" s="24" t="s">
        <v>1079</v>
      </c>
      <c r="I160" s="24" t="s">
        <v>1128</v>
      </c>
      <c r="J160" s="24" t="s">
        <v>1081</v>
      </c>
      <c r="K160" s="24" t="s">
        <v>1082</v>
      </c>
      <c r="L160" s="24" t="s">
        <v>1083</v>
      </c>
      <c r="M160" s="24">
        <v>1</v>
      </c>
      <c r="N160" s="24" t="s">
        <v>1052</v>
      </c>
      <c r="O160" s="24" t="s">
        <v>1219</v>
      </c>
    </row>
    <row r="161" spans="1:15">
      <c r="A161" s="24" t="s">
        <v>1129</v>
      </c>
      <c r="B161" s="24" t="s">
        <v>1005</v>
      </c>
      <c r="C161" s="24" t="s">
        <v>71</v>
      </c>
      <c r="D161" s="24" t="s">
        <v>72</v>
      </c>
      <c r="E161" s="24"/>
      <c r="F161" s="24" t="s">
        <v>1218</v>
      </c>
      <c r="G161" s="24" t="s">
        <v>1078</v>
      </c>
      <c r="H161" s="24" t="s">
        <v>1079</v>
      </c>
      <c r="I161" s="24" t="s">
        <v>1130</v>
      </c>
      <c r="J161" s="24" t="s">
        <v>1081</v>
      </c>
      <c r="K161" s="24" t="s">
        <v>1082</v>
      </c>
      <c r="L161" s="24" t="s">
        <v>1083</v>
      </c>
      <c r="M161" s="24">
        <v>1</v>
      </c>
      <c r="N161" s="24" t="s">
        <v>1052</v>
      </c>
      <c r="O161" s="24" t="s">
        <v>1219</v>
      </c>
    </row>
    <row r="162" spans="1:15">
      <c r="A162" s="24" t="s">
        <v>1131</v>
      </c>
      <c r="B162" s="24" t="s">
        <v>1005</v>
      </c>
      <c r="C162" s="24" t="s">
        <v>71</v>
      </c>
      <c r="D162" s="24" t="s">
        <v>72</v>
      </c>
      <c r="E162" s="24"/>
      <c r="F162" s="24" t="s">
        <v>1218</v>
      </c>
      <c r="G162" s="24" t="s">
        <v>1078</v>
      </c>
      <c r="H162" s="24" t="s">
        <v>1079</v>
      </c>
      <c r="I162" s="24" t="s">
        <v>1132</v>
      </c>
      <c r="J162" s="24" t="s">
        <v>1081</v>
      </c>
      <c r="K162" s="24" t="s">
        <v>1082</v>
      </c>
      <c r="L162" s="24" t="s">
        <v>1083</v>
      </c>
      <c r="M162" s="24">
        <v>1</v>
      </c>
      <c r="N162" s="24" t="s">
        <v>1052</v>
      </c>
      <c r="O162" s="24" t="s">
        <v>1219</v>
      </c>
    </row>
    <row r="163" spans="1:15">
      <c r="A163" s="24" t="s">
        <v>1133</v>
      </c>
      <c r="B163" s="24" t="s">
        <v>1005</v>
      </c>
      <c r="C163" s="24" t="s">
        <v>71</v>
      </c>
      <c r="D163" s="24" t="s">
        <v>72</v>
      </c>
      <c r="E163" s="24"/>
      <c r="F163" s="24" t="s">
        <v>1218</v>
      </c>
      <c r="G163" s="24" t="s">
        <v>1078</v>
      </c>
      <c r="H163" s="24" t="s">
        <v>1079</v>
      </c>
      <c r="I163" s="24" t="s">
        <v>1134</v>
      </c>
      <c r="J163" s="24" t="s">
        <v>1081</v>
      </c>
      <c r="K163" s="24" t="s">
        <v>1082</v>
      </c>
      <c r="L163" s="24" t="s">
        <v>1083</v>
      </c>
      <c r="M163" s="24">
        <v>1</v>
      </c>
      <c r="N163" s="24" t="s">
        <v>1052</v>
      </c>
      <c r="O163" s="24" t="s">
        <v>1219</v>
      </c>
    </row>
    <row r="164" spans="1:15">
      <c r="A164" s="24" t="s">
        <v>1127</v>
      </c>
      <c r="B164" s="24" t="s">
        <v>1005</v>
      </c>
      <c r="C164" s="24" t="s">
        <v>71</v>
      </c>
      <c r="D164" s="24" t="s">
        <v>72</v>
      </c>
      <c r="E164" s="24"/>
      <c r="F164" s="24" t="s">
        <v>1218</v>
      </c>
      <c r="G164" s="24" t="s">
        <v>1078</v>
      </c>
      <c r="H164" s="24" t="s">
        <v>1079</v>
      </c>
      <c r="I164" s="24" t="s">
        <v>1128</v>
      </c>
      <c r="J164" s="24" t="s">
        <v>1081</v>
      </c>
      <c r="K164" s="24" t="s">
        <v>1082</v>
      </c>
      <c r="L164" s="24" t="s">
        <v>1083</v>
      </c>
      <c r="M164" s="24">
        <v>1</v>
      </c>
      <c r="N164" s="24" t="s">
        <v>1052</v>
      </c>
      <c r="O164" s="24" t="s">
        <v>1219</v>
      </c>
    </row>
    <row r="165" spans="1:15">
      <c r="A165" s="24" t="s">
        <v>1129</v>
      </c>
      <c r="B165" s="24" t="s">
        <v>1005</v>
      </c>
      <c r="C165" s="24" t="s">
        <v>71</v>
      </c>
      <c r="D165" s="24" t="s">
        <v>72</v>
      </c>
      <c r="E165" s="24"/>
      <c r="F165" s="24" t="s">
        <v>1218</v>
      </c>
      <c r="G165" s="24" t="s">
        <v>1078</v>
      </c>
      <c r="H165" s="24" t="s">
        <v>1079</v>
      </c>
      <c r="I165" s="24" t="s">
        <v>1130</v>
      </c>
      <c r="J165" s="24" t="s">
        <v>1081</v>
      </c>
      <c r="K165" s="24" t="s">
        <v>1082</v>
      </c>
      <c r="L165" s="24" t="s">
        <v>1083</v>
      </c>
      <c r="M165" s="24">
        <v>1</v>
      </c>
      <c r="N165" s="24" t="s">
        <v>1052</v>
      </c>
      <c r="O165" s="24" t="s">
        <v>1219</v>
      </c>
    </row>
    <row r="166" spans="1:15">
      <c r="A166" s="24" t="s">
        <v>1131</v>
      </c>
      <c r="B166" s="24" t="s">
        <v>1005</v>
      </c>
      <c r="C166" s="24" t="s">
        <v>71</v>
      </c>
      <c r="D166" s="24" t="s">
        <v>72</v>
      </c>
      <c r="E166" s="24"/>
      <c r="F166" s="24" t="s">
        <v>1218</v>
      </c>
      <c r="G166" s="24" t="s">
        <v>1078</v>
      </c>
      <c r="H166" s="24" t="s">
        <v>1079</v>
      </c>
      <c r="I166" s="24" t="s">
        <v>1132</v>
      </c>
      <c r="J166" s="24" t="s">
        <v>1081</v>
      </c>
      <c r="K166" s="24" t="s">
        <v>1082</v>
      </c>
      <c r="L166" s="24" t="s">
        <v>1083</v>
      </c>
      <c r="M166" s="24">
        <v>1</v>
      </c>
      <c r="N166" s="24" t="s">
        <v>1052</v>
      </c>
      <c r="O166" s="24" t="s">
        <v>1219</v>
      </c>
    </row>
    <row r="167" spans="1:15">
      <c r="A167" s="24" t="s">
        <v>1133</v>
      </c>
      <c r="B167" s="24" t="s">
        <v>1005</v>
      </c>
      <c r="C167" s="24" t="s">
        <v>71</v>
      </c>
      <c r="D167" s="24" t="s">
        <v>72</v>
      </c>
      <c r="E167" s="24"/>
      <c r="F167" s="24" t="s">
        <v>1218</v>
      </c>
      <c r="G167" s="24" t="s">
        <v>1078</v>
      </c>
      <c r="H167" s="24" t="s">
        <v>1079</v>
      </c>
      <c r="I167" s="24" t="s">
        <v>1134</v>
      </c>
      <c r="J167" s="24" t="s">
        <v>1081</v>
      </c>
      <c r="K167" s="24" t="s">
        <v>1082</v>
      </c>
      <c r="L167" s="24" t="s">
        <v>1083</v>
      </c>
      <c r="M167" s="24">
        <v>1</v>
      </c>
      <c r="N167" s="24" t="s">
        <v>1052</v>
      </c>
      <c r="O167" s="24" t="s">
        <v>1219</v>
      </c>
    </row>
    <row r="168" spans="1:15">
      <c r="A168" s="24" t="s">
        <v>1135</v>
      </c>
      <c r="B168" s="24" t="s">
        <v>1005</v>
      </c>
      <c r="C168" s="24" t="s">
        <v>71</v>
      </c>
      <c r="D168" s="24" t="s">
        <v>72</v>
      </c>
      <c r="E168" s="24"/>
      <c r="F168" s="24" t="s">
        <v>1218</v>
      </c>
      <c r="G168" s="24" t="s">
        <v>1078</v>
      </c>
      <c r="H168" s="24" t="s">
        <v>1079</v>
      </c>
      <c r="I168" s="24" t="s">
        <v>1136</v>
      </c>
      <c r="J168" s="24" t="s">
        <v>1081</v>
      </c>
      <c r="K168" s="24" t="s">
        <v>1082</v>
      </c>
      <c r="L168" s="24" t="s">
        <v>1083</v>
      </c>
      <c r="M168" s="24">
        <v>1</v>
      </c>
      <c r="N168" s="24" t="s">
        <v>1052</v>
      </c>
      <c r="O168" s="24" t="s">
        <v>1219</v>
      </c>
    </row>
    <row r="169" spans="1:15">
      <c r="A169" s="24" t="s">
        <v>1186</v>
      </c>
      <c r="B169" s="24" t="s">
        <v>1005</v>
      </c>
      <c r="C169" s="24" t="s">
        <v>71</v>
      </c>
      <c r="D169" s="24" t="s">
        <v>72</v>
      </c>
      <c r="E169" s="24"/>
      <c r="F169" s="24" t="s">
        <v>1218</v>
      </c>
      <c r="G169" s="24" t="s">
        <v>1078</v>
      </c>
      <c r="H169" s="24" t="s">
        <v>1079</v>
      </c>
      <c r="I169" s="24" t="s">
        <v>1187</v>
      </c>
      <c r="J169" s="24" t="s">
        <v>1081</v>
      </c>
      <c r="K169" s="24" t="s">
        <v>1082</v>
      </c>
      <c r="L169" s="24" t="s">
        <v>1083</v>
      </c>
      <c r="M169" s="24">
        <v>1</v>
      </c>
      <c r="N169" s="24" t="s">
        <v>1052</v>
      </c>
      <c r="O169" s="24" t="s">
        <v>1219</v>
      </c>
    </row>
    <row r="170" spans="1:15">
      <c r="A170" s="24" t="s">
        <v>1137</v>
      </c>
      <c r="B170" s="24" t="s">
        <v>1005</v>
      </c>
      <c r="C170" s="24" t="s">
        <v>71</v>
      </c>
      <c r="D170" s="24" t="s">
        <v>72</v>
      </c>
      <c r="E170" s="24"/>
      <c r="F170" s="24" t="s">
        <v>1218</v>
      </c>
      <c r="G170" s="24" t="s">
        <v>1078</v>
      </c>
      <c r="H170" s="24" t="s">
        <v>1079</v>
      </c>
      <c r="I170" s="24" t="s">
        <v>1138</v>
      </c>
      <c r="J170" s="24" t="s">
        <v>1081</v>
      </c>
      <c r="K170" s="24" t="s">
        <v>1082</v>
      </c>
      <c r="L170" s="24" t="s">
        <v>1083</v>
      </c>
      <c r="M170" s="24">
        <v>1</v>
      </c>
      <c r="N170" s="24" t="s">
        <v>1052</v>
      </c>
      <c r="O170" s="24" t="s">
        <v>1219</v>
      </c>
    </row>
    <row r="171" spans="1:15">
      <c r="A171" s="24" t="s">
        <v>1139</v>
      </c>
      <c r="B171" s="24" t="s">
        <v>1005</v>
      </c>
      <c r="C171" s="24" t="s">
        <v>71</v>
      </c>
      <c r="D171" s="24" t="s">
        <v>72</v>
      </c>
      <c r="E171" s="24"/>
      <c r="F171" s="24" t="s">
        <v>1218</v>
      </c>
      <c r="G171" s="24" t="s">
        <v>1078</v>
      </c>
      <c r="H171" s="24" t="s">
        <v>1079</v>
      </c>
      <c r="I171" s="24" t="s">
        <v>1140</v>
      </c>
      <c r="J171" s="24" t="s">
        <v>1081</v>
      </c>
      <c r="K171" s="24" t="s">
        <v>1082</v>
      </c>
      <c r="L171" s="24" t="s">
        <v>1083</v>
      </c>
      <c r="M171" s="24">
        <v>1</v>
      </c>
      <c r="N171" s="24" t="s">
        <v>1052</v>
      </c>
      <c r="O171" s="24" t="s">
        <v>1219</v>
      </c>
    </row>
    <row r="172" spans="1:15">
      <c r="A172" s="24" t="s">
        <v>1188</v>
      </c>
      <c r="B172" s="24" t="s">
        <v>1005</v>
      </c>
      <c r="C172" s="24" t="s">
        <v>78</v>
      </c>
      <c r="D172" s="24" t="s">
        <v>79</v>
      </c>
      <c r="E172" s="24"/>
      <c r="F172" s="24" t="s">
        <v>1218</v>
      </c>
      <c r="G172" s="24" t="s">
        <v>1078</v>
      </c>
      <c r="H172" s="24" t="s">
        <v>1079</v>
      </c>
      <c r="I172" s="24" t="s">
        <v>1189</v>
      </c>
      <c r="J172" s="24" t="s">
        <v>1081</v>
      </c>
      <c r="K172" s="24" t="s">
        <v>1082</v>
      </c>
      <c r="L172" s="24" t="s">
        <v>1083</v>
      </c>
      <c r="M172" s="24">
        <v>1</v>
      </c>
      <c r="N172" s="24" t="s">
        <v>1052</v>
      </c>
      <c r="O172" s="24" t="s">
        <v>1219</v>
      </c>
    </row>
    <row r="173" spans="1:15">
      <c r="A173" s="24" t="s">
        <v>1141</v>
      </c>
      <c r="B173" s="24" t="s">
        <v>1005</v>
      </c>
      <c r="C173" s="24" t="s">
        <v>71</v>
      </c>
      <c r="D173" s="24" t="s">
        <v>72</v>
      </c>
      <c r="E173" s="24"/>
      <c r="F173" s="24" t="s">
        <v>1218</v>
      </c>
      <c r="G173" s="24" t="s">
        <v>1078</v>
      </c>
      <c r="H173" s="24" t="s">
        <v>1079</v>
      </c>
      <c r="I173" s="24" t="s">
        <v>1142</v>
      </c>
      <c r="J173" s="24" t="s">
        <v>1081</v>
      </c>
      <c r="K173" s="24" t="s">
        <v>1082</v>
      </c>
      <c r="L173" s="24" t="s">
        <v>1083</v>
      </c>
      <c r="M173" s="24">
        <v>1</v>
      </c>
      <c r="N173" s="24" t="s">
        <v>1052</v>
      </c>
      <c r="O173" s="24" t="s">
        <v>1219</v>
      </c>
    </row>
    <row r="174" spans="1:15">
      <c r="A174" s="24" t="s">
        <v>1143</v>
      </c>
      <c r="B174" s="24" t="s">
        <v>1005</v>
      </c>
      <c r="C174" s="24" t="s">
        <v>71</v>
      </c>
      <c r="D174" s="24" t="s">
        <v>72</v>
      </c>
      <c r="E174" s="24"/>
      <c r="F174" s="24" t="s">
        <v>1218</v>
      </c>
      <c r="G174" s="24" t="s">
        <v>1078</v>
      </c>
      <c r="H174" s="24" t="s">
        <v>1079</v>
      </c>
      <c r="I174" s="24" t="s">
        <v>1115</v>
      </c>
      <c r="J174" s="24" t="s">
        <v>1081</v>
      </c>
      <c r="K174" s="24" t="s">
        <v>1082</v>
      </c>
      <c r="L174" s="24" t="s">
        <v>1083</v>
      </c>
      <c r="M174" s="24">
        <v>1</v>
      </c>
      <c r="N174" s="24" t="s">
        <v>1052</v>
      </c>
      <c r="O174" s="24" t="s">
        <v>1219</v>
      </c>
    </row>
    <row r="175" spans="1:15">
      <c r="A175" s="24" t="s">
        <v>1190</v>
      </c>
      <c r="B175" s="24" t="s">
        <v>1005</v>
      </c>
      <c r="C175" s="24" t="s">
        <v>78</v>
      </c>
      <c r="D175" s="24" t="s">
        <v>79</v>
      </c>
      <c r="E175" s="24"/>
      <c r="F175" s="24" t="s">
        <v>1218</v>
      </c>
      <c r="G175" s="24" t="s">
        <v>1078</v>
      </c>
      <c r="H175" s="24" t="s">
        <v>1079</v>
      </c>
      <c r="I175" s="24" t="s">
        <v>1184</v>
      </c>
      <c r="J175" s="24" t="s">
        <v>1081</v>
      </c>
      <c r="K175" s="24" t="s">
        <v>1082</v>
      </c>
      <c r="L175" s="24" t="s">
        <v>1083</v>
      </c>
      <c r="M175" s="24">
        <v>1</v>
      </c>
      <c r="N175" s="24" t="s">
        <v>1052</v>
      </c>
      <c r="O175" s="24" t="s">
        <v>1219</v>
      </c>
    </row>
    <row r="176" spans="1:15">
      <c r="A176" s="24" t="s">
        <v>1144</v>
      </c>
      <c r="B176" s="24" t="s">
        <v>1005</v>
      </c>
      <c r="C176" s="24" t="s">
        <v>71</v>
      </c>
      <c r="D176" s="24" t="s">
        <v>72</v>
      </c>
      <c r="E176" s="24"/>
      <c r="F176" s="24" t="s">
        <v>1218</v>
      </c>
      <c r="G176" s="24" t="s">
        <v>1078</v>
      </c>
      <c r="H176" s="24" t="s">
        <v>1079</v>
      </c>
      <c r="I176" s="24" t="s">
        <v>1145</v>
      </c>
      <c r="J176" s="24" t="s">
        <v>1081</v>
      </c>
      <c r="K176" s="24" t="s">
        <v>1082</v>
      </c>
      <c r="L176" s="24" t="s">
        <v>1083</v>
      </c>
      <c r="M176" s="24">
        <v>1</v>
      </c>
      <c r="N176" s="24" t="s">
        <v>1052</v>
      </c>
      <c r="O176" s="24" t="s">
        <v>1219</v>
      </c>
    </row>
    <row r="177" spans="1:15">
      <c r="A177" s="24" t="s">
        <v>1196</v>
      </c>
      <c r="B177" s="24" t="s">
        <v>1005</v>
      </c>
      <c r="C177" s="24" t="s">
        <v>86</v>
      </c>
      <c r="D177" s="24" t="s">
        <v>87</v>
      </c>
      <c r="E177" s="24"/>
      <c r="F177" s="24" t="s">
        <v>1218</v>
      </c>
      <c r="G177" s="24" t="s">
        <v>1078</v>
      </c>
      <c r="H177" s="24" t="s">
        <v>1079</v>
      </c>
      <c r="I177" s="24" t="s">
        <v>1197</v>
      </c>
      <c r="J177" s="24" t="s">
        <v>1081</v>
      </c>
      <c r="K177" s="24" t="s">
        <v>1082</v>
      </c>
      <c r="L177" s="24" t="s">
        <v>1083</v>
      </c>
      <c r="M177" s="24">
        <v>1</v>
      </c>
      <c r="N177" s="24" t="s">
        <v>1052</v>
      </c>
      <c r="O177" s="24" t="s">
        <v>1219</v>
      </c>
    </row>
    <row r="178" spans="1:15">
      <c r="A178" s="24" t="s">
        <v>1146</v>
      </c>
      <c r="B178" s="24" t="s">
        <v>1005</v>
      </c>
      <c r="C178" s="24" t="s">
        <v>71</v>
      </c>
      <c r="D178" s="24" t="s">
        <v>72</v>
      </c>
      <c r="E178" s="24"/>
      <c r="F178" s="24" t="s">
        <v>1218</v>
      </c>
      <c r="G178" s="24" t="s">
        <v>1078</v>
      </c>
      <c r="H178" s="24" t="s">
        <v>1079</v>
      </c>
      <c r="I178" s="24" t="s">
        <v>1147</v>
      </c>
      <c r="J178" s="24" t="s">
        <v>1081</v>
      </c>
      <c r="K178" s="24" t="s">
        <v>1082</v>
      </c>
      <c r="L178" s="24" t="s">
        <v>1083</v>
      </c>
      <c r="M178" s="24">
        <v>1</v>
      </c>
      <c r="N178" s="24" t="s">
        <v>1052</v>
      </c>
      <c r="O178" s="24" t="s">
        <v>1219</v>
      </c>
    </row>
    <row r="179" spans="1:15">
      <c r="A179" s="24" t="s">
        <v>1198</v>
      </c>
      <c r="B179" s="24" t="s">
        <v>1005</v>
      </c>
      <c r="C179" s="24" t="s">
        <v>86</v>
      </c>
      <c r="D179" s="24" t="s">
        <v>87</v>
      </c>
      <c r="E179" s="24"/>
      <c r="F179" s="24" t="s">
        <v>1218</v>
      </c>
      <c r="G179" s="24" t="s">
        <v>1078</v>
      </c>
      <c r="H179" s="24" t="s">
        <v>1079</v>
      </c>
      <c r="I179" s="24" t="s">
        <v>1199</v>
      </c>
      <c r="J179" s="24" t="s">
        <v>1081</v>
      </c>
      <c r="K179" s="24" t="s">
        <v>1082</v>
      </c>
      <c r="L179" s="24" t="s">
        <v>1083</v>
      </c>
      <c r="M179" s="24">
        <v>1</v>
      </c>
      <c r="N179" s="24" t="s">
        <v>1052</v>
      </c>
      <c r="O179" s="24" t="s">
        <v>1219</v>
      </c>
    </row>
    <row r="180" spans="1:15">
      <c r="A180" s="24" t="s">
        <v>1148</v>
      </c>
      <c r="B180" s="24" t="s">
        <v>1005</v>
      </c>
      <c r="C180" s="24" t="s">
        <v>71</v>
      </c>
      <c r="D180" s="24" t="s">
        <v>72</v>
      </c>
      <c r="E180" s="24"/>
      <c r="F180" s="24" t="s">
        <v>1218</v>
      </c>
      <c r="G180" s="24" t="s">
        <v>1078</v>
      </c>
      <c r="H180" s="24" t="s">
        <v>1079</v>
      </c>
      <c r="I180" s="24" t="s">
        <v>1120</v>
      </c>
      <c r="J180" s="24" t="s">
        <v>1081</v>
      </c>
      <c r="K180" s="24" t="s">
        <v>1082</v>
      </c>
      <c r="L180" s="24" t="s">
        <v>1083</v>
      </c>
      <c r="M180" s="24">
        <v>1</v>
      </c>
      <c r="N180" s="24" t="s">
        <v>1052</v>
      </c>
      <c r="O180" s="24" t="s">
        <v>1219</v>
      </c>
    </row>
    <row r="181" spans="1:15">
      <c r="A181" s="24" t="s">
        <v>1200</v>
      </c>
      <c r="B181" s="24" t="s">
        <v>1005</v>
      </c>
      <c r="C181" s="24" t="s">
        <v>86</v>
      </c>
      <c r="D181" s="24" t="s">
        <v>87</v>
      </c>
      <c r="E181" s="24"/>
      <c r="F181" s="24" t="s">
        <v>1218</v>
      </c>
      <c r="G181" s="24" t="s">
        <v>1078</v>
      </c>
      <c r="H181" s="24" t="s">
        <v>1079</v>
      </c>
      <c r="I181" s="24" t="s">
        <v>1194</v>
      </c>
      <c r="J181" s="24" t="s">
        <v>1081</v>
      </c>
      <c r="K181" s="24" t="s">
        <v>1082</v>
      </c>
      <c r="L181" s="24" t="s">
        <v>1083</v>
      </c>
      <c r="M181" s="24">
        <v>1</v>
      </c>
      <c r="N181" s="24" t="s">
        <v>1052</v>
      </c>
      <c r="O181" s="24" t="s">
        <v>1219</v>
      </c>
    </row>
    <row r="182" spans="1:15">
      <c r="A182" s="24" t="s">
        <v>1135</v>
      </c>
      <c r="B182" s="24" t="s">
        <v>1005</v>
      </c>
      <c r="C182" s="24" t="s">
        <v>71</v>
      </c>
      <c r="D182" s="24" t="s">
        <v>72</v>
      </c>
      <c r="E182" s="24"/>
      <c r="F182" s="24" t="s">
        <v>1218</v>
      </c>
      <c r="G182" s="24" t="s">
        <v>1078</v>
      </c>
      <c r="H182" s="24" t="s">
        <v>1079</v>
      </c>
      <c r="I182" s="24" t="s">
        <v>1136</v>
      </c>
      <c r="J182" s="24" t="s">
        <v>1081</v>
      </c>
      <c r="K182" s="24" t="s">
        <v>1082</v>
      </c>
      <c r="L182" s="24" t="s">
        <v>1083</v>
      </c>
      <c r="M182" s="24">
        <v>1</v>
      </c>
      <c r="N182" s="24" t="s">
        <v>1052</v>
      </c>
      <c r="O182" s="24" t="s">
        <v>1219</v>
      </c>
    </row>
    <row r="183" spans="1:15">
      <c r="A183" s="24" t="s">
        <v>1186</v>
      </c>
      <c r="B183" s="24" t="s">
        <v>1005</v>
      </c>
      <c r="C183" s="24" t="s">
        <v>71</v>
      </c>
      <c r="D183" s="24" t="s">
        <v>72</v>
      </c>
      <c r="E183" s="24"/>
      <c r="F183" s="24" t="s">
        <v>1218</v>
      </c>
      <c r="G183" s="24" t="s">
        <v>1078</v>
      </c>
      <c r="H183" s="24" t="s">
        <v>1079</v>
      </c>
      <c r="I183" s="24" t="s">
        <v>1187</v>
      </c>
      <c r="J183" s="24" t="s">
        <v>1081</v>
      </c>
      <c r="K183" s="24" t="s">
        <v>1082</v>
      </c>
      <c r="L183" s="24" t="s">
        <v>1083</v>
      </c>
      <c r="M183" s="24">
        <v>1</v>
      </c>
      <c r="N183" s="24" t="s">
        <v>1052</v>
      </c>
      <c r="O183" s="24" t="s">
        <v>1219</v>
      </c>
    </row>
    <row r="184" spans="1:15">
      <c r="A184" s="24" t="s">
        <v>1137</v>
      </c>
      <c r="B184" s="24" t="s">
        <v>1005</v>
      </c>
      <c r="C184" s="24" t="s">
        <v>71</v>
      </c>
      <c r="D184" s="24" t="s">
        <v>72</v>
      </c>
      <c r="E184" s="24"/>
      <c r="F184" s="24" t="s">
        <v>1218</v>
      </c>
      <c r="G184" s="24" t="s">
        <v>1078</v>
      </c>
      <c r="H184" s="24" t="s">
        <v>1079</v>
      </c>
      <c r="I184" s="24" t="s">
        <v>1138</v>
      </c>
      <c r="J184" s="24" t="s">
        <v>1081</v>
      </c>
      <c r="K184" s="24" t="s">
        <v>1082</v>
      </c>
      <c r="L184" s="24" t="s">
        <v>1083</v>
      </c>
      <c r="M184" s="24">
        <v>1</v>
      </c>
      <c r="N184" s="24" t="s">
        <v>1052</v>
      </c>
      <c r="O184" s="24" t="s">
        <v>1219</v>
      </c>
    </row>
    <row r="185" spans="1:15">
      <c r="A185" s="24" t="s">
        <v>1139</v>
      </c>
      <c r="B185" s="24" t="s">
        <v>1005</v>
      </c>
      <c r="C185" s="24" t="s">
        <v>71</v>
      </c>
      <c r="D185" s="24" t="s">
        <v>72</v>
      </c>
      <c r="E185" s="24"/>
      <c r="F185" s="24" t="s">
        <v>1218</v>
      </c>
      <c r="G185" s="24" t="s">
        <v>1078</v>
      </c>
      <c r="H185" s="24" t="s">
        <v>1079</v>
      </c>
      <c r="I185" s="24" t="s">
        <v>1140</v>
      </c>
      <c r="J185" s="24" t="s">
        <v>1081</v>
      </c>
      <c r="K185" s="24" t="s">
        <v>1082</v>
      </c>
      <c r="L185" s="24" t="s">
        <v>1083</v>
      </c>
      <c r="M185" s="24">
        <v>1</v>
      </c>
      <c r="N185" s="24" t="s">
        <v>1052</v>
      </c>
      <c r="O185" s="24" t="s">
        <v>1219</v>
      </c>
    </row>
    <row r="186" spans="1:15">
      <c r="A186" s="24" t="s">
        <v>1188</v>
      </c>
      <c r="B186" s="24" t="s">
        <v>1005</v>
      </c>
      <c r="C186" s="24" t="s">
        <v>78</v>
      </c>
      <c r="D186" s="24" t="s">
        <v>79</v>
      </c>
      <c r="E186" s="24"/>
      <c r="F186" s="24" t="s">
        <v>1218</v>
      </c>
      <c r="G186" s="24" t="s">
        <v>1078</v>
      </c>
      <c r="H186" s="24" t="s">
        <v>1079</v>
      </c>
      <c r="I186" s="24" t="s">
        <v>1189</v>
      </c>
      <c r="J186" s="24" t="s">
        <v>1081</v>
      </c>
      <c r="K186" s="24" t="s">
        <v>1082</v>
      </c>
      <c r="L186" s="24" t="s">
        <v>1083</v>
      </c>
      <c r="M186" s="24">
        <v>1</v>
      </c>
      <c r="N186" s="24" t="s">
        <v>1052</v>
      </c>
      <c r="O186" s="24" t="s">
        <v>1219</v>
      </c>
    </row>
    <row r="187" spans="1:15">
      <c r="A187" s="24" t="s">
        <v>1141</v>
      </c>
      <c r="B187" s="24" t="s">
        <v>1005</v>
      </c>
      <c r="C187" s="24" t="s">
        <v>71</v>
      </c>
      <c r="D187" s="24" t="s">
        <v>72</v>
      </c>
      <c r="E187" s="24"/>
      <c r="F187" s="24" t="s">
        <v>1218</v>
      </c>
      <c r="G187" s="24" t="s">
        <v>1078</v>
      </c>
      <c r="H187" s="24" t="s">
        <v>1079</v>
      </c>
      <c r="I187" s="24" t="s">
        <v>1142</v>
      </c>
      <c r="J187" s="24" t="s">
        <v>1081</v>
      </c>
      <c r="K187" s="24" t="s">
        <v>1082</v>
      </c>
      <c r="L187" s="24" t="s">
        <v>1083</v>
      </c>
      <c r="M187" s="24">
        <v>1</v>
      </c>
      <c r="N187" s="24" t="s">
        <v>1052</v>
      </c>
      <c r="O187" s="24" t="s">
        <v>1219</v>
      </c>
    </row>
    <row r="188" spans="1:15">
      <c r="A188" s="24" t="s">
        <v>1143</v>
      </c>
      <c r="B188" s="24" t="s">
        <v>1005</v>
      </c>
      <c r="C188" s="24" t="s">
        <v>71</v>
      </c>
      <c r="D188" s="24" t="s">
        <v>72</v>
      </c>
      <c r="E188" s="24"/>
      <c r="F188" s="24" t="s">
        <v>1218</v>
      </c>
      <c r="G188" s="24" t="s">
        <v>1078</v>
      </c>
      <c r="H188" s="24" t="s">
        <v>1079</v>
      </c>
      <c r="I188" s="24" t="s">
        <v>1115</v>
      </c>
      <c r="J188" s="24" t="s">
        <v>1081</v>
      </c>
      <c r="K188" s="24" t="s">
        <v>1082</v>
      </c>
      <c r="L188" s="24" t="s">
        <v>1083</v>
      </c>
      <c r="M188" s="24">
        <v>1</v>
      </c>
      <c r="N188" s="24" t="s">
        <v>1052</v>
      </c>
      <c r="O188" s="24" t="s">
        <v>1219</v>
      </c>
    </row>
    <row r="189" spans="1:15">
      <c r="A189" s="24" t="s">
        <v>1190</v>
      </c>
      <c r="B189" s="24" t="s">
        <v>1005</v>
      </c>
      <c r="C189" s="24" t="s">
        <v>78</v>
      </c>
      <c r="D189" s="24" t="s">
        <v>79</v>
      </c>
      <c r="E189" s="24"/>
      <c r="F189" s="24" t="s">
        <v>1218</v>
      </c>
      <c r="G189" s="24" t="s">
        <v>1078</v>
      </c>
      <c r="H189" s="24" t="s">
        <v>1079</v>
      </c>
      <c r="I189" s="24" t="s">
        <v>1184</v>
      </c>
      <c r="J189" s="24" t="s">
        <v>1081</v>
      </c>
      <c r="K189" s="24" t="s">
        <v>1082</v>
      </c>
      <c r="L189" s="24" t="s">
        <v>1083</v>
      </c>
      <c r="M189" s="24">
        <v>1</v>
      </c>
      <c r="N189" s="24" t="s">
        <v>1052</v>
      </c>
      <c r="O189" s="24" t="s">
        <v>1219</v>
      </c>
    </row>
    <row r="190" spans="1:15">
      <c r="A190" s="24" t="s">
        <v>1144</v>
      </c>
      <c r="B190" s="24" t="s">
        <v>1005</v>
      </c>
      <c r="C190" s="24" t="s">
        <v>71</v>
      </c>
      <c r="D190" s="24" t="s">
        <v>72</v>
      </c>
      <c r="E190" s="24"/>
      <c r="F190" s="24" t="s">
        <v>1218</v>
      </c>
      <c r="G190" s="24" t="s">
        <v>1078</v>
      </c>
      <c r="H190" s="24" t="s">
        <v>1079</v>
      </c>
      <c r="I190" s="24" t="s">
        <v>1145</v>
      </c>
      <c r="J190" s="24" t="s">
        <v>1081</v>
      </c>
      <c r="K190" s="24" t="s">
        <v>1082</v>
      </c>
      <c r="L190" s="24" t="s">
        <v>1083</v>
      </c>
      <c r="M190" s="24">
        <v>1</v>
      </c>
      <c r="N190" s="24" t="s">
        <v>1052</v>
      </c>
      <c r="O190" s="24" t="s">
        <v>1219</v>
      </c>
    </row>
    <row r="191" spans="1:15">
      <c r="A191" s="24" t="s">
        <v>1196</v>
      </c>
      <c r="B191" s="24" t="s">
        <v>1005</v>
      </c>
      <c r="C191" s="24" t="s">
        <v>86</v>
      </c>
      <c r="D191" s="24" t="s">
        <v>87</v>
      </c>
      <c r="E191" s="24"/>
      <c r="F191" s="24" t="s">
        <v>1218</v>
      </c>
      <c r="G191" s="24" t="s">
        <v>1078</v>
      </c>
      <c r="H191" s="24" t="s">
        <v>1079</v>
      </c>
      <c r="I191" s="24" t="s">
        <v>1197</v>
      </c>
      <c r="J191" s="24" t="s">
        <v>1081</v>
      </c>
      <c r="K191" s="24" t="s">
        <v>1082</v>
      </c>
      <c r="L191" s="24" t="s">
        <v>1083</v>
      </c>
      <c r="M191" s="24">
        <v>1</v>
      </c>
      <c r="N191" s="24" t="s">
        <v>1052</v>
      </c>
      <c r="O191" s="24" t="s">
        <v>1219</v>
      </c>
    </row>
    <row r="192" spans="1:15">
      <c r="A192" s="24" t="s">
        <v>1146</v>
      </c>
      <c r="B192" s="24" t="s">
        <v>1005</v>
      </c>
      <c r="C192" s="24" t="s">
        <v>71</v>
      </c>
      <c r="D192" s="24" t="s">
        <v>72</v>
      </c>
      <c r="E192" s="24"/>
      <c r="F192" s="24" t="s">
        <v>1218</v>
      </c>
      <c r="G192" s="24" t="s">
        <v>1078</v>
      </c>
      <c r="H192" s="24" t="s">
        <v>1079</v>
      </c>
      <c r="I192" s="24" t="s">
        <v>1147</v>
      </c>
      <c r="J192" s="24" t="s">
        <v>1081</v>
      </c>
      <c r="K192" s="24" t="s">
        <v>1082</v>
      </c>
      <c r="L192" s="24" t="s">
        <v>1083</v>
      </c>
      <c r="M192" s="24">
        <v>1</v>
      </c>
      <c r="N192" s="24" t="s">
        <v>1052</v>
      </c>
      <c r="O192" s="24" t="s">
        <v>1219</v>
      </c>
    </row>
    <row r="193" spans="1:15">
      <c r="A193" s="24" t="s">
        <v>1198</v>
      </c>
      <c r="B193" s="24" t="s">
        <v>1005</v>
      </c>
      <c r="C193" s="24" t="s">
        <v>86</v>
      </c>
      <c r="D193" s="24" t="s">
        <v>87</v>
      </c>
      <c r="E193" s="24"/>
      <c r="F193" s="24" t="s">
        <v>1218</v>
      </c>
      <c r="G193" s="24" t="s">
        <v>1078</v>
      </c>
      <c r="H193" s="24" t="s">
        <v>1079</v>
      </c>
      <c r="I193" s="24" t="s">
        <v>1199</v>
      </c>
      <c r="J193" s="24" t="s">
        <v>1081</v>
      </c>
      <c r="K193" s="24" t="s">
        <v>1082</v>
      </c>
      <c r="L193" s="24" t="s">
        <v>1083</v>
      </c>
      <c r="M193" s="24">
        <v>1</v>
      </c>
      <c r="N193" s="24" t="s">
        <v>1052</v>
      </c>
      <c r="O193" s="24" t="s">
        <v>1219</v>
      </c>
    </row>
    <row r="194" spans="1:15">
      <c r="A194" s="24" t="s">
        <v>1148</v>
      </c>
      <c r="B194" s="24" t="s">
        <v>1005</v>
      </c>
      <c r="C194" s="24" t="s">
        <v>71</v>
      </c>
      <c r="D194" s="24" t="s">
        <v>72</v>
      </c>
      <c r="E194" s="24"/>
      <c r="F194" s="24" t="s">
        <v>1218</v>
      </c>
      <c r="G194" s="24" t="s">
        <v>1078</v>
      </c>
      <c r="H194" s="24" t="s">
        <v>1079</v>
      </c>
      <c r="I194" s="24" t="s">
        <v>1120</v>
      </c>
      <c r="J194" s="24" t="s">
        <v>1081</v>
      </c>
      <c r="K194" s="24" t="s">
        <v>1082</v>
      </c>
      <c r="L194" s="24" t="s">
        <v>1083</v>
      </c>
      <c r="M194" s="24">
        <v>1</v>
      </c>
      <c r="N194" s="24" t="s">
        <v>1052</v>
      </c>
      <c r="O194" s="24" t="s">
        <v>1219</v>
      </c>
    </row>
    <row r="195" spans="1:15">
      <c r="A195" s="24" t="s">
        <v>1200</v>
      </c>
      <c r="B195" s="24" t="s">
        <v>1005</v>
      </c>
      <c r="C195" s="24" t="s">
        <v>86</v>
      </c>
      <c r="D195" s="24" t="s">
        <v>87</v>
      </c>
      <c r="E195" s="24"/>
      <c r="F195" s="24" t="s">
        <v>1218</v>
      </c>
      <c r="G195" s="24" t="s">
        <v>1078</v>
      </c>
      <c r="H195" s="24" t="s">
        <v>1079</v>
      </c>
      <c r="I195" s="24" t="s">
        <v>1194</v>
      </c>
      <c r="J195" s="24" t="s">
        <v>1081</v>
      </c>
      <c r="K195" s="24" t="s">
        <v>1082</v>
      </c>
      <c r="L195" s="24" t="s">
        <v>1083</v>
      </c>
      <c r="M195" s="24">
        <v>1</v>
      </c>
      <c r="N195" s="24" t="s">
        <v>1052</v>
      </c>
      <c r="O195" s="24" t="s">
        <v>1219</v>
      </c>
    </row>
    <row r="196" spans="1:15">
      <c r="A196" s="24" t="s">
        <v>1149</v>
      </c>
      <c r="B196" s="24" t="s">
        <v>1005</v>
      </c>
      <c r="C196" s="24" t="s">
        <v>71</v>
      </c>
      <c r="D196" s="24" t="s">
        <v>72</v>
      </c>
      <c r="E196" s="24"/>
      <c r="F196" s="24" t="s">
        <v>1218</v>
      </c>
      <c r="G196" s="24" t="s">
        <v>1078</v>
      </c>
      <c r="H196" s="24" t="s">
        <v>1079</v>
      </c>
      <c r="I196" s="24" t="s">
        <v>1150</v>
      </c>
      <c r="J196" s="24" t="s">
        <v>1081</v>
      </c>
      <c r="K196" s="24" t="s">
        <v>1082</v>
      </c>
      <c r="L196" s="24" t="s">
        <v>1083</v>
      </c>
      <c r="M196" s="24">
        <v>1</v>
      </c>
      <c r="N196" s="24" t="s">
        <v>1052</v>
      </c>
      <c r="O196" s="24" t="s">
        <v>1219</v>
      </c>
    </row>
    <row r="197" spans="1:15">
      <c r="A197" s="24" t="s">
        <v>1222</v>
      </c>
      <c r="B197" s="24" t="s">
        <v>1005</v>
      </c>
      <c r="C197" s="24" t="s">
        <v>71</v>
      </c>
      <c r="D197" s="24" t="s">
        <v>72</v>
      </c>
      <c r="E197" s="24"/>
      <c r="F197" s="24" t="s">
        <v>1218</v>
      </c>
      <c r="G197" s="24" t="s">
        <v>1078</v>
      </c>
      <c r="H197" s="24" t="s">
        <v>1079</v>
      </c>
      <c r="I197" s="24" t="s">
        <v>1223</v>
      </c>
      <c r="J197" s="24" t="s">
        <v>1081</v>
      </c>
      <c r="K197" s="24" t="s">
        <v>1082</v>
      </c>
      <c r="L197" s="24" t="s">
        <v>1083</v>
      </c>
      <c r="M197" s="24">
        <v>1</v>
      </c>
      <c r="N197" s="24" t="s">
        <v>1052</v>
      </c>
      <c r="O197" s="24" t="s">
        <v>1219</v>
      </c>
    </row>
    <row r="198" spans="1:15">
      <c r="A198" s="24" t="s">
        <v>1149</v>
      </c>
      <c r="B198" s="24" t="s">
        <v>1005</v>
      </c>
      <c r="C198" s="24" t="s">
        <v>71</v>
      </c>
      <c r="D198" s="24" t="s">
        <v>72</v>
      </c>
      <c r="E198" s="24"/>
      <c r="F198" s="24" t="s">
        <v>1218</v>
      </c>
      <c r="G198" s="24" t="s">
        <v>1078</v>
      </c>
      <c r="H198" s="24" t="s">
        <v>1079</v>
      </c>
      <c r="I198" s="24" t="s">
        <v>1150</v>
      </c>
      <c r="J198" s="24" t="s">
        <v>1081</v>
      </c>
      <c r="K198" s="24" t="s">
        <v>1082</v>
      </c>
      <c r="L198" s="24" t="s">
        <v>1083</v>
      </c>
      <c r="M198" s="24">
        <v>1</v>
      </c>
      <c r="N198" s="24" t="s">
        <v>1052</v>
      </c>
      <c r="O198" s="24" t="s">
        <v>1219</v>
      </c>
    </row>
    <row r="199" spans="1:15">
      <c r="A199" s="24" t="s">
        <v>1222</v>
      </c>
      <c r="B199" s="24" t="s">
        <v>1005</v>
      </c>
      <c r="C199" s="24" t="s">
        <v>71</v>
      </c>
      <c r="D199" s="24" t="s">
        <v>72</v>
      </c>
      <c r="E199" s="24"/>
      <c r="F199" s="24" t="s">
        <v>1218</v>
      </c>
      <c r="G199" s="24" t="s">
        <v>1078</v>
      </c>
      <c r="H199" s="24" t="s">
        <v>1079</v>
      </c>
      <c r="I199" s="24" t="s">
        <v>1223</v>
      </c>
      <c r="J199" s="24" t="s">
        <v>1081</v>
      </c>
      <c r="K199" s="24" t="s">
        <v>1082</v>
      </c>
      <c r="L199" s="24" t="s">
        <v>1083</v>
      </c>
      <c r="M199" s="24">
        <v>1</v>
      </c>
      <c r="N199" s="24" t="s">
        <v>1052</v>
      </c>
      <c r="O199" s="24" t="s">
        <v>1219</v>
      </c>
    </row>
    <row r="200" spans="1:15">
      <c r="A200" s="24" t="s">
        <v>1151</v>
      </c>
      <c r="B200" s="24" t="s">
        <v>1005</v>
      </c>
      <c r="C200" s="24" t="s">
        <v>71</v>
      </c>
      <c r="D200" s="24" t="s">
        <v>72</v>
      </c>
      <c r="E200" s="24"/>
      <c r="F200" s="24" t="s">
        <v>1218</v>
      </c>
      <c r="G200" s="24" t="s">
        <v>1078</v>
      </c>
      <c r="H200" s="24" t="s">
        <v>1079</v>
      </c>
      <c r="I200" s="24" t="s">
        <v>1152</v>
      </c>
      <c r="J200" s="24" t="s">
        <v>1081</v>
      </c>
      <c r="K200" s="24" t="s">
        <v>1082</v>
      </c>
      <c r="L200" s="24" t="s">
        <v>1083</v>
      </c>
      <c r="M200" s="24">
        <v>1</v>
      </c>
      <c r="N200" s="24" t="s">
        <v>1052</v>
      </c>
      <c r="O200" s="24" t="s">
        <v>1219</v>
      </c>
    </row>
    <row r="201" spans="1:15">
      <c r="A201" s="24" t="s">
        <v>1153</v>
      </c>
      <c r="B201" s="24" t="s">
        <v>1005</v>
      </c>
      <c r="C201" s="24" t="s">
        <v>71</v>
      </c>
      <c r="D201" s="24" t="s">
        <v>72</v>
      </c>
      <c r="E201" s="24"/>
      <c r="F201" s="24" t="s">
        <v>1218</v>
      </c>
      <c r="G201" s="24" t="s">
        <v>1078</v>
      </c>
      <c r="H201" s="24" t="s">
        <v>1079</v>
      </c>
      <c r="I201" s="24" t="s">
        <v>1154</v>
      </c>
      <c r="J201" s="24" t="s">
        <v>1081</v>
      </c>
      <c r="K201" s="24" t="s">
        <v>1082</v>
      </c>
      <c r="L201" s="24" t="s">
        <v>1083</v>
      </c>
      <c r="M201" s="24">
        <v>1</v>
      </c>
      <c r="N201" s="24" t="s">
        <v>1052</v>
      </c>
      <c r="O201" s="24" t="s">
        <v>1219</v>
      </c>
    </row>
    <row r="202" spans="1:15">
      <c r="A202" s="24" t="s">
        <v>1224</v>
      </c>
      <c r="B202" s="24" t="s">
        <v>1005</v>
      </c>
      <c r="C202" s="24" t="s">
        <v>95</v>
      </c>
      <c r="D202" s="24" t="s">
        <v>96</v>
      </c>
      <c r="E202" s="24"/>
      <c r="F202" s="24" t="s">
        <v>1218</v>
      </c>
      <c r="G202" s="24" t="s">
        <v>1078</v>
      </c>
      <c r="H202" s="24" t="s">
        <v>1079</v>
      </c>
      <c r="I202" s="24" t="s">
        <v>1225</v>
      </c>
      <c r="J202" s="24" t="s">
        <v>1081</v>
      </c>
      <c r="K202" s="24" t="s">
        <v>1082</v>
      </c>
      <c r="L202" s="24" t="s">
        <v>1083</v>
      </c>
      <c r="M202" s="24">
        <v>1</v>
      </c>
      <c r="N202" s="24" t="s">
        <v>1052</v>
      </c>
      <c r="O202" s="24" t="s">
        <v>1219</v>
      </c>
    </row>
    <row r="203" spans="1:15">
      <c r="A203" s="24" t="s">
        <v>1155</v>
      </c>
      <c r="B203" s="24" t="s">
        <v>1005</v>
      </c>
      <c r="C203" s="24" t="s">
        <v>71</v>
      </c>
      <c r="D203" s="24" t="s">
        <v>72</v>
      </c>
      <c r="E203" s="24"/>
      <c r="F203" s="24" t="s">
        <v>1218</v>
      </c>
      <c r="G203" s="24" t="s">
        <v>1078</v>
      </c>
      <c r="H203" s="24" t="s">
        <v>1079</v>
      </c>
      <c r="I203" s="24" t="s">
        <v>1156</v>
      </c>
      <c r="J203" s="24" t="s">
        <v>1081</v>
      </c>
      <c r="K203" s="24" t="s">
        <v>1082</v>
      </c>
      <c r="L203" s="24" t="s">
        <v>1083</v>
      </c>
      <c r="M203" s="24">
        <v>1</v>
      </c>
      <c r="N203" s="24" t="s">
        <v>1052</v>
      </c>
      <c r="O203" s="24" t="s">
        <v>1219</v>
      </c>
    </row>
    <row r="204" spans="1:15">
      <c r="A204" s="24" t="s">
        <v>1157</v>
      </c>
      <c r="B204" s="24" t="s">
        <v>1005</v>
      </c>
      <c r="C204" s="24" t="s">
        <v>71</v>
      </c>
      <c r="D204" s="24" t="s">
        <v>72</v>
      </c>
      <c r="E204" s="24"/>
      <c r="F204" s="24" t="s">
        <v>1218</v>
      </c>
      <c r="G204" s="24" t="s">
        <v>1078</v>
      </c>
      <c r="H204" s="24" t="s">
        <v>1079</v>
      </c>
      <c r="I204" s="24" t="s">
        <v>1118</v>
      </c>
      <c r="J204" s="24" t="s">
        <v>1081</v>
      </c>
      <c r="K204" s="24" t="s">
        <v>1082</v>
      </c>
      <c r="L204" s="24" t="s">
        <v>1083</v>
      </c>
      <c r="M204" s="24">
        <v>1</v>
      </c>
      <c r="N204" s="24" t="s">
        <v>1052</v>
      </c>
      <c r="O204" s="24" t="s">
        <v>1219</v>
      </c>
    </row>
    <row r="205" spans="1:15">
      <c r="A205" s="24" t="s">
        <v>1226</v>
      </c>
      <c r="B205" s="24" t="s">
        <v>1005</v>
      </c>
      <c r="C205" s="24" t="s">
        <v>95</v>
      </c>
      <c r="D205" s="24" t="s">
        <v>96</v>
      </c>
      <c r="E205" s="24"/>
      <c r="F205" s="24" t="s">
        <v>1218</v>
      </c>
      <c r="G205" s="24" t="s">
        <v>1078</v>
      </c>
      <c r="H205" s="24" t="s">
        <v>1079</v>
      </c>
      <c r="I205" s="24" t="s">
        <v>1221</v>
      </c>
      <c r="J205" s="24" t="s">
        <v>1081</v>
      </c>
      <c r="K205" s="24" t="s">
        <v>1082</v>
      </c>
      <c r="L205" s="24" t="s">
        <v>1083</v>
      </c>
      <c r="M205" s="24">
        <v>1</v>
      </c>
      <c r="N205" s="24" t="s">
        <v>1052</v>
      </c>
      <c r="O205" s="24" t="s">
        <v>1219</v>
      </c>
    </row>
    <row r="206" spans="1:15">
      <c r="A206" s="24" t="s">
        <v>1151</v>
      </c>
      <c r="B206" s="24" t="s">
        <v>1005</v>
      </c>
      <c r="C206" s="24" t="s">
        <v>71</v>
      </c>
      <c r="D206" s="24" t="s">
        <v>72</v>
      </c>
      <c r="E206" s="24"/>
      <c r="F206" s="24" t="s">
        <v>1218</v>
      </c>
      <c r="G206" s="24" t="s">
        <v>1078</v>
      </c>
      <c r="H206" s="24" t="s">
        <v>1079</v>
      </c>
      <c r="I206" s="24" t="s">
        <v>1152</v>
      </c>
      <c r="J206" s="24" t="s">
        <v>1081</v>
      </c>
      <c r="K206" s="24" t="s">
        <v>1082</v>
      </c>
      <c r="L206" s="24" t="s">
        <v>1083</v>
      </c>
      <c r="M206" s="24">
        <v>1</v>
      </c>
      <c r="N206" s="24" t="s">
        <v>1052</v>
      </c>
      <c r="O206" s="24" t="s">
        <v>1219</v>
      </c>
    </row>
    <row r="207" spans="1:15">
      <c r="A207" s="24" t="s">
        <v>1153</v>
      </c>
      <c r="B207" s="24" t="s">
        <v>1005</v>
      </c>
      <c r="C207" s="24" t="s">
        <v>71</v>
      </c>
      <c r="D207" s="24" t="s">
        <v>72</v>
      </c>
      <c r="E207" s="24"/>
      <c r="F207" s="24" t="s">
        <v>1218</v>
      </c>
      <c r="G207" s="24" t="s">
        <v>1078</v>
      </c>
      <c r="H207" s="24" t="s">
        <v>1079</v>
      </c>
      <c r="I207" s="24" t="s">
        <v>1154</v>
      </c>
      <c r="J207" s="24" t="s">
        <v>1081</v>
      </c>
      <c r="K207" s="24" t="s">
        <v>1082</v>
      </c>
      <c r="L207" s="24" t="s">
        <v>1083</v>
      </c>
      <c r="M207" s="24">
        <v>1</v>
      </c>
      <c r="N207" s="24" t="s">
        <v>1052</v>
      </c>
      <c r="O207" s="24" t="s">
        <v>1219</v>
      </c>
    </row>
    <row r="208" spans="1:15">
      <c r="A208" s="24" t="s">
        <v>1224</v>
      </c>
      <c r="B208" s="24" t="s">
        <v>1005</v>
      </c>
      <c r="C208" s="24" t="s">
        <v>95</v>
      </c>
      <c r="D208" s="24" t="s">
        <v>96</v>
      </c>
      <c r="E208" s="24"/>
      <c r="F208" s="24" t="s">
        <v>1218</v>
      </c>
      <c r="G208" s="24" t="s">
        <v>1078</v>
      </c>
      <c r="H208" s="24" t="s">
        <v>1079</v>
      </c>
      <c r="I208" s="24" t="s">
        <v>1225</v>
      </c>
      <c r="J208" s="24" t="s">
        <v>1081</v>
      </c>
      <c r="K208" s="24" t="s">
        <v>1082</v>
      </c>
      <c r="L208" s="24" t="s">
        <v>1083</v>
      </c>
      <c r="M208" s="24">
        <v>1</v>
      </c>
      <c r="N208" s="24" t="s">
        <v>1052</v>
      </c>
      <c r="O208" s="24" t="s">
        <v>1219</v>
      </c>
    </row>
    <row r="209" spans="1:15">
      <c r="A209" s="24" t="s">
        <v>1155</v>
      </c>
      <c r="B209" s="24" t="s">
        <v>1005</v>
      </c>
      <c r="C209" s="24" t="s">
        <v>71</v>
      </c>
      <c r="D209" s="24" t="s">
        <v>72</v>
      </c>
      <c r="E209" s="24"/>
      <c r="F209" s="24" t="s">
        <v>1218</v>
      </c>
      <c r="G209" s="24" t="s">
        <v>1078</v>
      </c>
      <c r="H209" s="24" t="s">
        <v>1079</v>
      </c>
      <c r="I209" s="24" t="s">
        <v>1156</v>
      </c>
      <c r="J209" s="24" t="s">
        <v>1081</v>
      </c>
      <c r="K209" s="24" t="s">
        <v>1082</v>
      </c>
      <c r="L209" s="24" t="s">
        <v>1083</v>
      </c>
      <c r="M209" s="24">
        <v>1</v>
      </c>
      <c r="N209" s="24" t="s">
        <v>1052</v>
      </c>
      <c r="O209" s="24" t="s">
        <v>1219</v>
      </c>
    </row>
    <row r="210" spans="1:15">
      <c r="A210" s="24" t="s">
        <v>1157</v>
      </c>
      <c r="B210" s="24" t="s">
        <v>1005</v>
      </c>
      <c r="C210" s="24" t="s">
        <v>71</v>
      </c>
      <c r="D210" s="24" t="s">
        <v>72</v>
      </c>
      <c r="E210" s="24"/>
      <c r="F210" s="24" t="s">
        <v>1218</v>
      </c>
      <c r="G210" s="24" t="s">
        <v>1078</v>
      </c>
      <c r="H210" s="24" t="s">
        <v>1079</v>
      </c>
      <c r="I210" s="24" t="s">
        <v>1118</v>
      </c>
      <c r="J210" s="24" t="s">
        <v>1081</v>
      </c>
      <c r="K210" s="24" t="s">
        <v>1082</v>
      </c>
      <c r="L210" s="24" t="s">
        <v>1083</v>
      </c>
      <c r="M210" s="24">
        <v>1</v>
      </c>
      <c r="N210" s="24" t="s">
        <v>1052</v>
      </c>
      <c r="O210" s="24" t="s">
        <v>1219</v>
      </c>
    </row>
    <row r="211" spans="1:15">
      <c r="A211" s="24" t="s">
        <v>1226</v>
      </c>
      <c r="B211" s="24" t="s">
        <v>1005</v>
      </c>
      <c r="C211" s="24" t="s">
        <v>95</v>
      </c>
      <c r="D211" s="24" t="s">
        <v>96</v>
      </c>
      <c r="E211" s="24"/>
      <c r="F211" s="24" t="s">
        <v>1218</v>
      </c>
      <c r="G211" s="24" t="s">
        <v>1078</v>
      </c>
      <c r="H211" s="24" t="s">
        <v>1079</v>
      </c>
      <c r="I211" s="24" t="s">
        <v>1221</v>
      </c>
      <c r="J211" s="24" t="s">
        <v>1081</v>
      </c>
      <c r="K211" s="24" t="s">
        <v>1082</v>
      </c>
      <c r="L211" s="24" t="s">
        <v>1083</v>
      </c>
      <c r="M211" s="24">
        <v>1</v>
      </c>
      <c r="N211" s="24" t="s">
        <v>1052</v>
      </c>
      <c r="O211" s="24" t="s">
        <v>1219</v>
      </c>
    </row>
    <row r="212" spans="1:15">
      <c r="A212" s="24" t="s">
        <v>1158</v>
      </c>
      <c r="B212" s="24" t="s">
        <v>1005</v>
      </c>
      <c r="C212" s="24" t="s">
        <v>71</v>
      </c>
      <c r="D212" s="24" t="s">
        <v>72</v>
      </c>
      <c r="E212" s="24"/>
      <c r="F212" s="24" t="s">
        <v>1218</v>
      </c>
      <c r="G212" s="24" t="s">
        <v>1078</v>
      </c>
      <c r="H212" s="24" t="s">
        <v>1079</v>
      </c>
      <c r="I212" s="24" t="s">
        <v>1159</v>
      </c>
      <c r="J212" s="24" t="s">
        <v>1081</v>
      </c>
      <c r="K212" s="24" t="s">
        <v>1082</v>
      </c>
      <c r="L212" s="24" t="s">
        <v>1083</v>
      </c>
      <c r="M212" s="24">
        <v>1</v>
      </c>
      <c r="N212" s="24" t="s">
        <v>1052</v>
      </c>
      <c r="O212" s="24" t="s">
        <v>1219</v>
      </c>
    </row>
    <row r="213" spans="1:15">
      <c r="A213" s="24" t="s">
        <v>1093</v>
      </c>
      <c r="B213" s="24" t="s">
        <v>1005</v>
      </c>
      <c r="C213" s="24" t="s">
        <v>102</v>
      </c>
      <c r="D213" s="24" t="s">
        <v>103</v>
      </c>
      <c r="E213" s="24"/>
      <c r="F213" s="24" t="s">
        <v>1218</v>
      </c>
      <c r="G213" s="24" t="s">
        <v>1078</v>
      </c>
      <c r="H213" s="24" t="s">
        <v>1079</v>
      </c>
      <c r="I213" s="24" t="s">
        <v>1094</v>
      </c>
      <c r="J213" s="24" t="s">
        <v>1081</v>
      </c>
      <c r="K213" s="24" t="s">
        <v>1082</v>
      </c>
      <c r="L213" s="24" t="s">
        <v>1083</v>
      </c>
      <c r="M213" s="24">
        <v>1</v>
      </c>
      <c r="N213" s="24" t="s">
        <v>1052</v>
      </c>
      <c r="O213" s="24" t="s">
        <v>1219</v>
      </c>
    </row>
    <row r="214" spans="1:15">
      <c r="A214" s="24" t="s">
        <v>1160</v>
      </c>
      <c r="B214" s="24" t="s">
        <v>1005</v>
      </c>
      <c r="C214" s="24" t="s">
        <v>71</v>
      </c>
      <c r="D214" s="24" t="s">
        <v>72</v>
      </c>
      <c r="E214" s="24"/>
      <c r="F214" s="24" t="s">
        <v>1218</v>
      </c>
      <c r="G214" s="24" t="s">
        <v>1078</v>
      </c>
      <c r="H214" s="24" t="s">
        <v>1079</v>
      </c>
      <c r="I214" s="24" t="s">
        <v>1161</v>
      </c>
      <c r="J214" s="24" t="s">
        <v>1081</v>
      </c>
      <c r="K214" s="24" t="s">
        <v>1082</v>
      </c>
      <c r="L214" s="24" t="s">
        <v>1083</v>
      </c>
      <c r="M214" s="24">
        <v>1</v>
      </c>
      <c r="N214" s="24" t="s">
        <v>1052</v>
      </c>
      <c r="O214" s="24" t="s">
        <v>1219</v>
      </c>
    </row>
    <row r="215" spans="1:15">
      <c r="A215" s="24" t="s">
        <v>1162</v>
      </c>
      <c r="B215" s="24" t="s">
        <v>1005</v>
      </c>
      <c r="C215" s="24" t="s">
        <v>71</v>
      </c>
      <c r="D215" s="24" t="s">
        <v>72</v>
      </c>
      <c r="E215" s="24"/>
      <c r="F215" s="24" t="s">
        <v>1218</v>
      </c>
      <c r="G215" s="24" t="s">
        <v>1078</v>
      </c>
      <c r="H215" s="24" t="s">
        <v>1079</v>
      </c>
      <c r="I215" s="24" t="s">
        <v>1163</v>
      </c>
      <c r="J215" s="24" t="s">
        <v>1081</v>
      </c>
      <c r="K215" s="24" t="s">
        <v>1082</v>
      </c>
      <c r="L215" s="24" t="s">
        <v>1083</v>
      </c>
      <c r="M215" s="24">
        <v>1</v>
      </c>
      <c r="N215" s="24" t="s">
        <v>1052</v>
      </c>
      <c r="O215" s="24" t="s">
        <v>1219</v>
      </c>
    </row>
    <row r="216" spans="1:15">
      <c r="A216" s="24" t="s">
        <v>1227</v>
      </c>
      <c r="B216" s="24" t="s">
        <v>1005</v>
      </c>
      <c r="C216" s="24" t="s">
        <v>102</v>
      </c>
      <c r="D216" s="24" t="s">
        <v>103</v>
      </c>
      <c r="E216" s="24"/>
      <c r="F216" s="24" t="s">
        <v>1218</v>
      </c>
      <c r="G216" s="24" t="s">
        <v>1078</v>
      </c>
      <c r="H216" s="24" t="s">
        <v>1079</v>
      </c>
      <c r="I216" s="24" t="s">
        <v>1228</v>
      </c>
      <c r="J216" s="24" t="s">
        <v>1081</v>
      </c>
      <c r="K216" s="24" t="s">
        <v>1082</v>
      </c>
      <c r="L216" s="24" t="s">
        <v>1083</v>
      </c>
      <c r="M216" s="24">
        <v>1</v>
      </c>
      <c r="N216" s="24" t="s">
        <v>1052</v>
      </c>
      <c r="O216" s="24" t="s">
        <v>1219</v>
      </c>
    </row>
    <row r="217" spans="1:15">
      <c r="A217" s="24" t="s">
        <v>1164</v>
      </c>
      <c r="B217" s="24" t="s">
        <v>1005</v>
      </c>
      <c r="C217" s="24" t="s">
        <v>71</v>
      </c>
      <c r="D217" s="24" t="s">
        <v>72</v>
      </c>
      <c r="E217" s="24"/>
      <c r="F217" s="24" t="s">
        <v>1218</v>
      </c>
      <c r="G217" s="24" t="s">
        <v>1078</v>
      </c>
      <c r="H217" s="24" t="s">
        <v>1079</v>
      </c>
      <c r="I217" s="24" t="s">
        <v>1122</v>
      </c>
      <c r="J217" s="24" t="s">
        <v>1081</v>
      </c>
      <c r="K217" s="24" t="s">
        <v>1082</v>
      </c>
      <c r="L217" s="24" t="s">
        <v>1083</v>
      </c>
      <c r="M217" s="24">
        <v>1</v>
      </c>
      <c r="N217" s="24" t="s">
        <v>1052</v>
      </c>
      <c r="O217" s="24" t="s">
        <v>1219</v>
      </c>
    </row>
    <row r="218" spans="1:15">
      <c r="A218" s="24" t="s">
        <v>1165</v>
      </c>
      <c r="B218" s="24" t="s">
        <v>1005</v>
      </c>
      <c r="C218" s="24" t="s">
        <v>71</v>
      </c>
      <c r="D218" s="24" t="s">
        <v>72</v>
      </c>
      <c r="E218" s="24"/>
      <c r="F218" s="24" t="s">
        <v>1218</v>
      </c>
      <c r="G218" s="24" t="s">
        <v>1078</v>
      </c>
      <c r="H218" s="24" t="s">
        <v>1079</v>
      </c>
      <c r="I218" s="24" t="s">
        <v>1166</v>
      </c>
      <c r="J218" s="24" t="s">
        <v>1081</v>
      </c>
      <c r="K218" s="24" t="s">
        <v>1082</v>
      </c>
      <c r="L218" s="24" t="s">
        <v>1083</v>
      </c>
      <c r="M218" s="24">
        <v>1</v>
      </c>
      <c r="N218" s="24" t="s">
        <v>1052</v>
      </c>
      <c r="O218" s="24" t="s">
        <v>1219</v>
      </c>
    </row>
    <row r="219" spans="1:15">
      <c r="A219" s="24" t="s">
        <v>1167</v>
      </c>
      <c r="B219" s="24" t="s">
        <v>1005</v>
      </c>
      <c r="C219" s="24" t="s">
        <v>71</v>
      </c>
      <c r="D219" s="24" t="s">
        <v>72</v>
      </c>
      <c r="E219" s="24"/>
      <c r="F219" s="24" t="s">
        <v>1218</v>
      </c>
      <c r="G219" s="24" t="s">
        <v>1078</v>
      </c>
      <c r="H219" s="24" t="s">
        <v>1079</v>
      </c>
      <c r="I219" s="24" t="s">
        <v>1168</v>
      </c>
      <c r="J219" s="24" t="s">
        <v>1081</v>
      </c>
      <c r="K219" s="24" t="s">
        <v>1082</v>
      </c>
      <c r="L219" s="24" t="s">
        <v>1083</v>
      </c>
      <c r="M219" s="24">
        <v>1</v>
      </c>
      <c r="N219" s="24" t="s">
        <v>1052</v>
      </c>
      <c r="O219" s="24" t="s">
        <v>1219</v>
      </c>
    </row>
    <row r="220" spans="1:15">
      <c r="A220" s="24" t="s">
        <v>1158</v>
      </c>
      <c r="B220" s="24" t="s">
        <v>1005</v>
      </c>
      <c r="C220" s="24" t="s">
        <v>71</v>
      </c>
      <c r="D220" s="24" t="s">
        <v>72</v>
      </c>
      <c r="E220" s="24"/>
      <c r="F220" s="24" t="s">
        <v>1218</v>
      </c>
      <c r="G220" s="24" t="s">
        <v>1078</v>
      </c>
      <c r="H220" s="24" t="s">
        <v>1079</v>
      </c>
      <c r="I220" s="24" t="s">
        <v>1159</v>
      </c>
      <c r="J220" s="24" t="s">
        <v>1081</v>
      </c>
      <c r="K220" s="24" t="s">
        <v>1082</v>
      </c>
      <c r="L220" s="24" t="s">
        <v>1083</v>
      </c>
      <c r="M220" s="24">
        <v>1</v>
      </c>
      <c r="N220" s="24" t="s">
        <v>1052</v>
      </c>
      <c r="O220" s="24" t="s">
        <v>1219</v>
      </c>
    </row>
    <row r="221" spans="1:15">
      <c r="A221" s="24" t="s">
        <v>1093</v>
      </c>
      <c r="B221" s="24" t="s">
        <v>1005</v>
      </c>
      <c r="C221" s="24" t="s">
        <v>102</v>
      </c>
      <c r="D221" s="24" t="s">
        <v>103</v>
      </c>
      <c r="E221" s="24"/>
      <c r="F221" s="24" t="s">
        <v>1218</v>
      </c>
      <c r="G221" s="24" t="s">
        <v>1078</v>
      </c>
      <c r="H221" s="24" t="s">
        <v>1079</v>
      </c>
      <c r="I221" s="24" t="s">
        <v>1094</v>
      </c>
      <c r="J221" s="24" t="s">
        <v>1081</v>
      </c>
      <c r="K221" s="24" t="s">
        <v>1082</v>
      </c>
      <c r="L221" s="24" t="s">
        <v>1083</v>
      </c>
      <c r="M221" s="24">
        <v>1</v>
      </c>
      <c r="N221" s="24" t="s">
        <v>1052</v>
      </c>
      <c r="O221" s="24" t="s">
        <v>1219</v>
      </c>
    </row>
    <row r="222" spans="1:15">
      <c r="A222" s="24" t="s">
        <v>1160</v>
      </c>
      <c r="B222" s="24" t="s">
        <v>1005</v>
      </c>
      <c r="C222" s="24" t="s">
        <v>71</v>
      </c>
      <c r="D222" s="24" t="s">
        <v>72</v>
      </c>
      <c r="E222" s="24"/>
      <c r="F222" s="24" t="s">
        <v>1218</v>
      </c>
      <c r="G222" s="24" t="s">
        <v>1078</v>
      </c>
      <c r="H222" s="24" t="s">
        <v>1079</v>
      </c>
      <c r="I222" s="24" t="s">
        <v>1161</v>
      </c>
      <c r="J222" s="24" t="s">
        <v>1081</v>
      </c>
      <c r="K222" s="24" t="s">
        <v>1082</v>
      </c>
      <c r="L222" s="24" t="s">
        <v>1083</v>
      </c>
      <c r="M222" s="24">
        <v>1</v>
      </c>
      <c r="N222" s="24" t="s">
        <v>1052</v>
      </c>
      <c r="O222" s="24" t="s">
        <v>1219</v>
      </c>
    </row>
    <row r="223" spans="1:15">
      <c r="A223" s="24" t="s">
        <v>1162</v>
      </c>
      <c r="B223" s="24" t="s">
        <v>1005</v>
      </c>
      <c r="C223" s="24" t="s">
        <v>71</v>
      </c>
      <c r="D223" s="24" t="s">
        <v>72</v>
      </c>
      <c r="E223" s="24"/>
      <c r="F223" s="24" t="s">
        <v>1218</v>
      </c>
      <c r="G223" s="24" t="s">
        <v>1078</v>
      </c>
      <c r="H223" s="24" t="s">
        <v>1079</v>
      </c>
      <c r="I223" s="24" t="s">
        <v>1163</v>
      </c>
      <c r="J223" s="24" t="s">
        <v>1081</v>
      </c>
      <c r="K223" s="24" t="s">
        <v>1082</v>
      </c>
      <c r="L223" s="24" t="s">
        <v>1083</v>
      </c>
      <c r="M223" s="24">
        <v>1</v>
      </c>
      <c r="N223" s="24" t="s">
        <v>1052</v>
      </c>
      <c r="O223" s="24" t="s">
        <v>1219</v>
      </c>
    </row>
    <row r="224" spans="1:15">
      <c r="A224" s="24" t="s">
        <v>1227</v>
      </c>
      <c r="B224" s="24" t="s">
        <v>1005</v>
      </c>
      <c r="C224" s="24" t="s">
        <v>102</v>
      </c>
      <c r="D224" s="24" t="s">
        <v>103</v>
      </c>
      <c r="E224" s="24"/>
      <c r="F224" s="24" t="s">
        <v>1218</v>
      </c>
      <c r="G224" s="24" t="s">
        <v>1078</v>
      </c>
      <c r="H224" s="24" t="s">
        <v>1079</v>
      </c>
      <c r="I224" s="24" t="s">
        <v>1228</v>
      </c>
      <c r="J224" s="24" t="s">
        <v>1081</v>
      </c>
      <c r="K224" s="24" t="s">
        <v>1082</v>
      </c>
      <c r="L224" s="24" t="s">
        <v>1083</v>
      </c>
      <c r="M224" s="24">
        <v>1</v>
      </c>
      <c r="N224" s="24" t="s">
        <v>1052</v>
      </c>
      <c r="O224" s="24" t="s">
        <v>1219</v>
      </c>
    </row>
    <row r="225" spans="1:15">
      <c r="A225" s="24" t="s">
        <v>1164</v>
      </c>
      <c r="B225" s="24" t="s">
        <v>1005</v>
      </c>
      <c r="C225" s="24" t="s">
        <v>71</v>
      </c>
      <c r="D225" s="24" t="s">
        <v>72</v>
      </c>
      <c r="E225" s="24"/>
      <c r="F225" s="24" t="s">
        <v>1218</v>
      </c>
      <c r="G225" s="24" t="s">
        <v>1078</v>
      </c>
      <c r="H225" s="24" t="s">
        <v>1079</v>
      </c>
      <c r="I225" s="24" t="s">
        <v>1122</v>
      </c>
      <c r="J225" s="24" t="s">
        <v>1081</v>
      </c>
      <c r="K225" s="24" t="s">
        <v>1082</v>
      </c>
      <c r="L225" s="24" t="s">
        <v>1083</v>
      </c>
      <c r="M225" s="24">
        <v>1</v>
      </c>
      <c r="N225" s="24" t="s">
        <v>1052</v>
      </c>
      <c r="O225" s="24" t="s">
        <v>1219</v>
      </c>
    </row>
    <row r="226" spans="1:15">
      <c r="A226" s="24" t="s">
        <v>1165</v>
      </c>
      <c r="B226" s="24" t="s">
        <v>1005</v>
      </c>
      <c r="C226" s="24" t="s">
        <v>71</v>
      </c>
      <c r="D226" s="24" t="s">
        <v>72</v>
      </c>
      <c r="E226" s="24"/>
      <c r="F226" s="24" t="s">
        <v>1218</v>
      </c>
      <c r="G226" s="24" t="s">
        <v>1078</v>
      </c>
      <c r="H226" s="24" t="s">
        <v>1079</v>
      </c>
      <c r="I226" s="24" t="s">
        <v>1166</v>
      </c>
      <c r="J226" s="24" t="s">
        <v>1081</v>
      </c>
      <c r="K226" s="24" t="s">
        <v>1082</v>
      </c>
      <c r="L226" s="24" t="s">
        <v>1083</v>
      </c>
      <c r="M226" s="24">
        <v>1</v>
      </c>
      <c r="N226" s="24" t="s">
        <v>1052</v>
      </c>
      <c r="O226" s="24" t="s">
        <v>1219</v>
      </c>
    </row>
    <row r="227" spans="1:15">
      <c r="A227" s="24" t="s">
        <v>1167</v>
      </c>
      <c r="B227" s="24" t="s">
        <v>1005</v>
      </c>
      <c r="C227" s="24" t="s">
        <v>71</v>
      </c>
      <c r="D227" s="24" t="s">
        <v>72</v>
      </c>
      <c r="E227" s="24"/>
      <c r="F227" s="24" t="s">
        <v>1218</v>
      </c>
      <c r="G227" s="24" t="s">
        <v>1078</v>
      </c>
      <c r="H227" s="24" t="s">
        <v>1079</v>
      </c>
      <c r="I227" s="24" t="s">
        <v>1168</v>
      </c>
      <c r="J227" s="24" t="s">
        <v>1081</v>
      </c>
      <c r="K227" s="24" t="s">
        <v>1082</v>
      </c>
      <c r="L227" s="24" t="s">
        <v>1083</v>
      </c>
      <c r="M227" s="24">
        <v>1</v>
      </c>
      <c r="N227" s="24" t="s">
        <v>1052</v>
      </c>
      <c r="O227" s="24" t="s">
        <v>1219</v>
      </c>
    </row>
    <row r="228" spans="1:15">
      <c r="A228" s="24" t="s">
        <v>1169</v>
      </c>
      <c r="B228" s="24" t="s">
        <v>1005</v>
      </c>
      <c r="C228" s="24" t="s">
        <v>71</v>
      </c>
      <c r="D228" s="24" t="s">
        <v>72</v>
      </c>
      <c r="E228" s="24"/>
      <c r="F228" s="24" t="s">
        <v>1218</v>
      </c>
      <c r="G228" s="24" t="s">
        <v>1078</v>
      </c>
      <c r="H228" s="24" t="s">
        <v>1079</v>
      </c>
      <c r="I228" s="24" t="s">
        <v>1122</v>
      </c>
      <c r="J228" s="24" t="s">
        <v>1081</v>
      </c>
      <c r="K228" s="24" t="s">
        <v>1082</v>
      </c>
      <c r="L228" s="24" t="s">
        <v>1083</v>
      </c>
      <c r="M228" s="24">
        <v>1</v>
      </c>
      <c r="N228" s="24" t="s">
        <v>1052</v>
      </c>
      <c r="O228" s="24" t="s">
        <v>1219</v>
      </c>
    </row>
    <row r="229" spans="1:15">
      <c r="A229" s="24" t="s">
        <v>1170</v>
      </c>
      <c r="B229" s="24" t="s">
        <v>1005</v>
      </c>
      <c r="C229" s="24" t="s">
        <v>71</v>
      </c>
      <c r="D229" s="24" t="s">
        <v>72</v>
      </c>
      <c r="E229" s="24"/>
      <c r="F229" s="24" t="s">
        <v>1218</v>
      </c>
      <c r="G229" s="24" t="s">
        <v>1078</v>
      </c>
      <c r="H229" s="24" t="s">
        <v>1079</v>
      </c>
      <c r="I229" s="24" t="s">
        <v>1124</v>
      </c>
      <c r="J229" s="24" t="s">
        <v>1081</v>
      </c>
      <c r="K229" s="24" t="s">
        <v>1082</v>
      </c>
      <c r="L229" s="24" t="s">
        <v>1083</v>
      </c>
      <c r="M229" s="24">
        <v>1</v>
      </c>
      <c r="N229" s="24" t="s">
        <v>1052</v>
      </c>
      <c r="O229" s="24" t="s">
        <v>1219</v>
      </c>
    </row>
    <row r="230" spans="1:15">
      <c r="A230" s="24" t="s">
        <v>1169</v>
      </c>
      <c r="B230" s="24" t="s">
        <v>1005</v>
      </c>
      <c r="C230" s="24" t="s">
        <v>71</v>
      </c>
      <c r="D230" s="24" t="s">
        <v>72</v>
      </c>
      <c r="E230" s="24"/>
      <c r="F230" s="24" t="s">
        <v>1218</v>
      </c>
      <c r="G230" s="24" t="s">
        <v>1078</v>
      </c>
      <c r="H230" s="24" t="s">
        <v>1079</v>
      </c>
      <c r="I230" s="24" t="s">
        <v>1122</v>
      </c>
      <c r="J230" s="24" t="s">
        <v>1081</v>
      </c>
      <c r="K230" s="24" t="s">
        <v>1082</v>
      </c>
      <c r="L230" s="24" t="s">
        <v>1083</v>
      </c>
      <c r="M230" s="24">
        <v>1</v>
      </c>
      <c r="N230" s="24" t="s">
        <v>1052</v>
      </c>
      <c r="O230" s="24" t="s">
        <v>1219</v>
      </c>
    </row>
    <row r="231" spans="1:15">
      <c r="A231" s="24" t="s">
        <v>1170</v>
      </c>
      <c r="B231" s="24" t="s">
        <v>1005</v>
      </c>
      <c r="C231" s="24" t="s">
        <v>71</v>
      </c>
      <c r="D231" s="24" t="s">
        <v>72</v>
      </c>
      <c r="E231" s="24"/>
      <c r="F231" s="24" t="s">
        <v>1218</v>
      </c>
      <c r="G231" s="24" t="s">
        <v>1078</v>
      </c>
      <c r="H231" s="24" t="s">
        <v>1079</v>
      </c>
      <c r="I231" s="24" t="s">
        <v>1124</v>
      </c>
      <c r="J231" s="24" t="s">
        <v>1081</v>
      </c>
      <c r="K231" s="24" t="s">
        <v>1082</v>
      </c>
      <c r="L231" s="24" t="s">
        <v>1083</v>
      </c>
      <c r="M231" s="24">
        <v>1</v>
      </c>
      <c r="N231" s="24" t="s">
        <v>1052</v>
      </c>
      <c r="O231" s="24" t="s">
        <v>1219</v>
      </c>
    </row>
    <row r="232" spans="1:15">
      <c r="A232" s="24" t="s">
        <v>1171</v>
      </c>
      <c r="B232" s="24" t="s">
        <v>1005</v>
      </c>
      <c r="C232" s="24" t="s">
        <v>71</v>
      </c>
      <c r="D232" s="24" t="s">
        <v>72</v>
      </c>
      <c r="E232" s="24"/>
      <c r="F232" s="24" t="s">
        <v>1218</v>
      </c>
      <c r="G232" s="24" t="s">
        <v>1078</v>
      </c>
      <c r="H232" s="24" t="s">
        <v>1079</v>
      </c>
      <c r="I232" s="24" t="s">
        <v>1172</v>
      </c>
      <c r="J232" s="24" t="s">
        <v>1081</v>
      </c>
      <c r="K232" s="24" t="s">
        <v>1082</v>
      </c>
      <c r="L232" s="24" t="s">
        <v>1083</v>
      </c>
      <c r="M232" s="24">
        <v>1</v>
      </c>
      <c r="N232" s="24" t="s">
        <v>1052</v>
      </c>
      <c r="O232" s="24" t="s">
        <v>1219</v>
      </c>
    </row>
    <row r="233" spans="1:15">
      <c r="A233" s="24" t="s">
        <v>1102</v>
      </c>
      <c r="B233" s="24" t="s">
        <v>1005</v>
      </c>
      <c r="C233" s="24" t="s">
        <v>117</v>
      </c>
      <c r="D233" s="24" t="s">
        <v>1229</v>
      </c>
      <c r="E233" s="24"/>
      <c r="F233" s="24" t="s">
        <v>1218</v>
      </c>
      <c r="G233" s="24" t="s">
        <v>1078</v>
      </c>
      <c r="H233" s="24" t="s">
        <v>1079</v>
      </c>
      <c r="I233" s="24" t="s">
        <v>1103</v>
      </c>
      <c r="J233" s="24" t="s">
        <v>1081</v>
      </c>
      <c r="K233" s="24" t="s">
        <v>1082</v>
      </c>
      <c r="L233" s="24" t="s">
        <v>1083</v>
      </c>
      <c r="M233" s="24">
        <v>1</v>
      </c>
      <c r="N233" s="24" t="s">
        <v>1052</v>
      </c>
      <c r="O233" s="24" t="s">
        <v>1219</v>
      </c>
    </row>
    <row r="234" spans="1:15">
      <c r="A234" s="24" t="s">
        <v>1173</v>
      </c>
      <c r="B234" s="24" t="s">
        <v>1005</v>
      </c>
      <c r="C234" s="24" t="s">
        <v>71</v>
      </c>
      <c r="D234" s="24" t="s">
        <v>72</v>
      </c>
      <c r="E234" s="24"/>
      <c r="F234" s="24" t="s">
        <v>1218</v>
      </c>
      <c r="G234" s="24" t="s">
        <v>1078</v>
      </c>
      <c r="H234" s="24" t="s">
        <v>1079</v>
      </c>
      <c r="I234" s="24" t="s">
        <v>1124</v>
      </c>
      <c r="J234" s="24" t="s">
        <v>1081</v>
      </c>
      <c r="K234" s="24" t="s">
        <v>1082</v>
      </c>
      <c r="L234" s="24" t="s">
        <v>1083</v>
      </c>
      <c r="M234" s="24">
        <v>1</v>
      </c>
      <c r="N234" s="24" t="s">
        <v>1052</v>
      </c>
      <c r="O234" s="24" t="s">
        <v>1219</v>
      </c>
    </row>
    <row r="235" spans="1:15">
      <c r="A235" s="24" t="s">
        <v>1174</v>
      </c>
      <c r="B235" s="24" t="s">
        <v>1005</v>
      </c>
      <c r="C235" s="24" t="s">
        <v>71</v>
      </c>
      <c r="D235" s="24" t="s">
        <v>72</v>
      </c>
      <c r="E235" s="24"/>
      <c r="F235" s="24" t="s">
        <v>1218</v>
      </c>
      <c r="G235" s="24" t="s">
        <v>1078</v>
      </c>
      <c r="H235" s="24" t="s">
        <v>1079</v>
      </c>
      <c r="I235" s="24" t="s">
        <v>1126</v>
      </c>
      <c r="J235" s="24" t="s">
        <v>1081</v>
      </c>
      <c r="K235" s="24" t="s">
        <v>1082</v>
      </c>
      <c r="L235" s="24" t="s">
        <v>1083</v>
      </c>
      <c r="M235" s="24">
        <v>1</v>
      </c>
      <c r="N235" s="24" t="s">
        <v>1052</v>
      </c>
      <c r="O235" s="24" t="s">
        <v>1219</v>
      </c>
    </row>
    <row r="236" spans="1:15">
      <c r="A236" s="24" t="s">
        <v>1171</v>
      </c>
      <c r="B236" s="24" t="s">
        <v>1005</v>
      </c>
      <c r="C236" s="24" t="s">
        <v>71</v>
      </c>
      <c r="D236" s="24" t="s">
        <v>72</v>
      </c>
      <c r="E236" s="24"/>
      <c r="F236" s="24" t="s">
        <v>1218</v>
      </c>
      <c r="G236" s="24" t="s">
        <v>1078</v>
      </c>
      <c r="H236" s="24" t="s">
        <v>1079</v>
      </c>
      <c r="I236" s="24" t="s">
        <v>1172</v>
      </c>
      <c r="J236" s="24" t="s">
        <v>1081</v>
      </c>
      <c r="K236" s="24" t="s">
        <v>1082</v>
      </c>
      <c r="L236" s="24" t="s">
        <v>1083</v>
      </c>
      <c r="M236" s="24">
        <v>1</v>
      </c>
      <c r="N236" s="24" t="s">
        <v>1052</v>
      </c>
      <c r="O236" s="24" t="s">
        <v>1219</v>
      </c>
    </row>
    <row r="237" spans="1:15">
      <c r="A237" s="24" t="s">
        <v>1102</v>
      </c>
      <c r="B237" s="24" t="s">
        <v>1005</v>
      </c>
      <c r="C237" s="24" t="s">
        <v>117</v>
      </c>
      <c r="D237" s="24" t="s">
        <v>1229</v>
      </c>
      <c r="E237" s="24"/>
      <c r="F237" s="24" t="s">
        <v>1218</v>
      </c>
      <c r="G237" s="24" t="s">
        <v>1078</v>
      </c>
      <c r="H237" s="24" t="s">
        <v>1079</v>
      </c>
      <c r="I237" s="24" t="s">
        <v>1103</v>
      </c>
      <c r="J237" s="24" t="s">
        <v>1081</v>
      </c>
      <c r="K237" s="24" t="s">
        <v>1082</v>
      </c>
      <c r="L237" s="24" t="s">
        <v>1083</v>
      </c>
      <c r="M237" s="24">
        <v>1</v>
      </c>
      <c r="N237" s="24" t="s">
        <v>1052</v>
      </c>
      <c r="O237" s="24" t="s">
        <v>1219</v>
      </c>
    </row>
    <row r="238" spans="1:15">
      <c r="A238" s="24" t="s">
        <v>1173</v>
      </c>
      <c r="B238" s="24" t="s">
        <v>1005</v>
      </c>
      <c r="C238" s="24" t="s">
        <v>71</v>
      </c>
      <c r="D238" s="24" t="s">
        <v>72</v>
      </c>
      <c r="E238" s="24"/>
      <c r="F238" s="24" t="s">
        <v>1218</v>
      </c>
      <c r="G238" s="24" t="s">
        <v>1078</v>
      </c>
      <c r="H238" s="24" t="s">
        <v>1079</v>
      </c>
      <c r="I238" s="24" t="s">
        <v>1124</v>
      </c>
      <c r="J238" s="24" t="s">
        <v>1081</v>
      </c>
      <c r="K238" s="24" t="s">
        <v>1082</v>
      </c>
      <c r="L238" s="24" t="s">
        <v>1083</v>
      </c>
      <c r="M238" s="24">
        <v>1</v>
      </c>
      <c r="N238" s="24" t="s">
        <v>1052</v>
      </c>
      <c r="O238" s="24" t="s">
        <v>1219</v>
      </c>
    </row>
    <row r="239" spans="1:15">
      <c r="A239" s="24" t="s">
        <v>1174</v>
      </c>
      <c r="B239" s="24" t="s">
        <v>1005</v>
      </c>
      <c r="C239" s="24" t="s">
        <v>71</v>
      </c>
      <c r="D239" s="24" t="s">
        <v>72</v>
      </c>
      <c r="E239" s="24"/>
      <c r="F239" s="24" t="s">
        <v>1218</v>
      </c>
      <c r="G239" s="24" t="s">
        <v>1078</v>
      </c>
      <c r="H239" s="24" t="s">
        <v>1079</v>
      </c>
      <c r="I239" s="24" t="s">
        <v>1126</v>
      </c>
      <c r="J239" s="24" t="s">
        <v>1081</v>
      </c>
      <c r="K239" s="24" t="s">
        <v>1082</v>
      </c>
      <c r="L239" s="24" t="s">
        <v>1083</v>
      </c>
      <c r="M239" s="24">
        <v>1</v>
      </c>
      <c r="N239" s="24" t="s">
        <v>1052</v>
      </c>
      <c r="O239" s="24" t="s">
        <v>1219</v>
      </c>
    </row>
    <row r="240" spans="1:15">
      <c r="A240" s="24" t="s">
        <v>1175</v>
      </c>
      <c r="B240" s="24" t="s">
        <v>1005</v>
      </c>
      <c r="C240" s="24" t="s">
        <v>71</v>
      </c>
      <c r="D240" s="24" t="s">
        <v>72</v>
      </c>
      <c r="E240" s="24"/>
      <c r="F240" s="24" t="s">
        <v>1218</v>
      </c>
      <c r="G240" s="24" t="s">
        <v>1078</v>
      </c>
      <c r="H240" s="24" t="s">
        <v>1079</v>
      </c>
      <c r="I240" s="24" t="s">
        <v>1176</v>
      </c>
      <c r="J240" s="24" t="s">
        <v>1081</v>
      </c>
      <c r="K240" s="24" t="s">
        <v>1082</v>
      </c>
      <c r="L240" s="24" t="s">
        <v>1083</v>
      </c>
      <c r="M240" s="24">
        <v>1</v>
      </c>
      <c r="N240" s="24" t="s">
        <v>1052</v>
      </c>
      <c r="O240" s="24" t="s">
        <v>1219</v>
      </c>
    </row>
    <row r="241" spans="1:15">
      <c r="A241" s="24" t="s">
        <v>1175</v>
      </c>
      <c r="B241" s="24" t="s">
        <v>1005</v>
      </c>
      <c r="C241" s="24" t="s">
        <v>71</v>
      </c>
      <c r="D241" s="24" t="s">
        <v>72</v>
      </c>
      <c r="E241" s="24"/>
      <c r="F241" s="24" t="s">
        <v>1218</v>
      </c>
      <c r="G241" s="24" t="s">
        <v>1078</v>
      </c>
      <c r="H241" s="24" t="s">
        <v>1079</v>
      </c>
      <c r="I241" s="24" t="s">
        <v>1176</v>
      </c>
      <c r="J241" s="24" t="s">
        <v>1081</v>
      </c>
      <c r="K241" s="24" t="s">
        <v>1082</v>
      </c>
      <c r="L241" s="24" t="s">
        <v>1083</v>
      </c>
      <c r="M241" s="24">
        <v>1</v>
      </c>
      <c r="N241" s="24" t="s">
        <v>1052</v>
      </c>
      <c r="O241" s="24" t="s">
        <v>1219</v>
      </c>
    </row>
    <row r="242" spans="1:15">
      <c r="A242" s="24" t="s">
        <v>1177</v>
      </c>
      <c r="B242" s="24" t="s">
        <v>1005</v>
      </c>
      <c r="C242" s="24" t="s">
        <v>71</v>
      </c>
      <c r="D242" s="24" t="s">
        <v>72</v>
      </c>
      <c r="E242" s="24"/>
      <c r="F242" s="24" t="s">
        <v>1218</v>
      </c>
      <c r="G242" s="24" t="s">
        <v>1078</v>
      </c>
      <c r="H242" s="24" t="s">
        <v>1079</v>
      </c>
      <c r="I242" s="24" t="s">
        <v>1126</v>
      </c>
      <c r="J242" s="24" t="s">
        <v>1081</v>
      </c>
      <c r="K242" s="24" t="s">
        <v>1082</v>
      </c>
      <c r="L242" s="24" t="s">
        <v>1083</v>
      </c>
      <c r="M242" s="24">
        <v>1</v>
      </c>
      <c r="N242" s="24" t="s">
        <v>1052</v>
      </c>
      <c r="O242" s="24" t="s">
        <v>1219</v>
      </c>
    </row>
    <row r="243" spans="1:15">
      <c r="A243" s="24" t="s">
        <v>1177</v>
      </c>
      <c r="B243" s="24" t="s">
        <v>1005</v>
      </c>
      <c r="C243" s="24" t="s">
        <v>71</v>
      </c>
      <c r="D243" s="24" t="s">
        <v>72</v>
      </c>
      <c r="E243" s="24"/>
      <c r="F243" s="24" t="s">
        <v>1218</v>
      </c>
      <c r="G243" s="24" t="s">
        <v>1078</v>
      </c>
      <c r="H243" s="24" t="s">
        <v>1079</v>
      </c>
      <c r="I243" s="24" t="s">
        <v>1126</v>
      </c>
      <c r="J243" s="24" t="s">
        <v>1081</v>
      </c>
      <c r="K243" s="24" t="s">
        <v>1082</v>
      </c>
      <c r="L243" s="24" t="s">
        <v>1083</v>
      </c>
      <c r="M243" s="24">
        <v>1</v>
      </c>
      <c r="N243" s="24" t="s">
        <v>1052</v>
      </c>
      <c r="O243" s="24" t="s">
        <v>1219</v>
      </c>
    </row>
    <row r="244" spans="1:15">
      <c r="A244" s="24" t="s">
        <v>1178</v>
      </c>
      <c r="B244" s="24" t="s">
        <v>1005</v>
      </c>
      <c r="C244" s="24" t="s">
        <v>71</v>
      </c>
      <c r="D244" s="24" t="s">
        <v>72</v>
      </c>
      <c r="E244" s="24"/>
      <c r="F244" s="24" t="s">
        <v>1218</v>
      </c>
      <c r="G244" s="24" t="s">
        <v>1078</v>
      </c>
      <c r="H244" s="24" t="s">
        <v>1079</v>
      </c>
      <c r="I244" s="24" t="s">
        <v>1122</v>
      </c>
      <c r="J244" s="24" t="s">
        <v>1081</v>
      </c>
      <c r="K244" s="24" t="s">
        <v>1082</v>
      </c>
      <c r="L244" s="24" t="s">
        <v>1083</v>
      </c>
      <c r="M244" s="24">
        <v>1</v>
      </c>
      <c r="N244" s="24" t="s">
        <v>1052</v>
      </c>
      <c r="O244" s="24" t="s">
        <v>1219</v>
      </c>
    </row>
    <row r="245" spans="1:15">
      <c r="A245" s="24" t="s">
        <v>1179</v>
      </c>
      <c r="B245" s="24" t="s">
        <v>1005</v>
      </c>
      <c r="C245" s="24" t="s">
        <v>71</v>
      </c>
      <c r="D245" s="24" t="s">
        <v>72</v>
      </c>
      <c r="E245" s="24"/>
      <c r="F245" s="24" t="s">
        <v>1218</v>
      </c>
      <c r="G245" s="24" t="s">
        <v>1078</v>
      </c>
      <c r="H245" s="24" t="s">
        <v>1079</v>
      </c>
      <c r="I245" s="24" t="s">
        <v>1124</v>
      </c>
      <c r="J245" s="24" t="s">
        <v>1081</v>
      </c>
      <c r="K245" s="24" t="s">
        <v>1082</v>
      </c>
      <c r="L245" s="24" t="s">
        <v>1083</v>
      </c>
      <c r="M245" s="24">
        <v>1</v>
      </c>
      <c r="N245" s="24" t="s">
        <v>1052</v>
      </c>
      <c r="O245" s="24" t="s">
        <v>1219</v>
      </c>
    </row>
    <row r="246" spans="1:15">
      <c r="A246" s="24" t="s">
        <v>1178</v>
      </c>
      <c r="B246" s="24" t="s">
        <v>1005</v>
      </c>
      <c r="C246" s="24" t="s">
        <v>71</v>
      </c>
      <c r="D246" s="24" t="s">
        <v>72</v>
      </c>
      <c r="E246" s="24"/>
      <c r="F246" s="24" t="s">
        <v>1218</v>
      </c>
      <c r="G246" s="24" t="s">
        <v>1078</v>
      </c>
      <c r="H246" s="24" t="s">
        <v>1079</v>
      </c>
      <c r="I246" s="24" t="s">
        <v>1122</v>
      </c>
      <c r="J246" s="24" t="s">
        <v>1081</v>
      </c>
      <c r="K246" s="24" t="s">
        <v>1082</v>
      </c>
      <c r="L246" s="24" t="s">
        <v>1083</v>
      </c>
      <c r="M246" s="24">
        <v>1</v>
      </c>
      <c r="N246" s="24" t="s">
        <v>1052</v>
      </c>
      <c r="O246" s="24" t="s">
        <v>1219</v>
      </c>
    </row>
    <row r="247" spans="1:15">
      <c r="A247" s="24" t="s">
        <v>1179</v>
      </c>
      <c r="B247" s="24" t="s">
        <v>1005</v>
      </c>
      <c r="C247" s="24" t="s">
        <v>71</v>
      </c>
      <c r="D247" s="24" t="s">
        <v>72</v>
      </c>
      <c r="E247" s="24"/>
      <c r="F247" s="24" t="s">
        <v>1218</v>
      </c>
      <c r="G247" s="24" t="s">
        <v>1078</v>
      </c>
      <c r="H247" s="24" t="s">
        <v>1079</v>
      </c>
      <c r="I247" s="24" t="s">
        <v>1124</v>
      </c>
      <c r="J247" s="24" t="s">
        <v>1081</v>
      </c>
      <c r="K247" s="24" t="s">
        <v>1082</v>
      </c>
      <c r="L247" s="24" t="s">
        <v>1083</v>
      </c>
      <c r="M247" s="24">
        <v>1</v>
      </c>
      <c r="N247" s="24" t="s">
        <v>1052</v>
      </c>
      <c r="O247" s="24" t="s">
        <v>1219</v>
      </c>
    </row>
    <row r="248" spans="1:15">
      <c r="A248" s="24" t="s">
        <v>1180</v>
      </c>
      <c r="B248" s="24" t="s">
        <v>1005</v>
      </c>
      <c r="C248" s="24" t="s">
        <v>71</v>
      </c>
      <c r="D248" s="24" t="s">
        <v>72</v>
      </c>
      <c r="E248" s="24"/>
      <c r="F248" s="24" t="s">
        <v>1218</v>
      </c>
      <c r="G248" s="24" t="s">
        <v>1078</v>
      </c>
      <c r="H248" s="24" t="s">
        <v>1079</v>
      </c>
      <c r="I248" s="24" t="s">
        <v>1126</v>
      </c>
      <c r="J248" s="24" t="s">
        <v>1081</v>
      </c>
      <c r="K248" s="24" t="s">
        <v>1082</v>
      </c>
      <c r="L248" s="24" t="s">
        <v>1083</v>
      </c>
      <c r="M248" s="24">
        <v>1</v>
      </c>
      <c r="N248" s="24" t="s">
        <v>1052</v>
      </c>
      <c r="O248" s="24" t="s">
        <v>1219</v>
      </c>
    </row>
    <row r="249" spans="1:15">
      <c r="A249" s="24" t="s">
        <v>1180</v>
      </c>
      <c r="B249" s="24" t="s">
        <v>1005</v>
      </c>
      <c r="C249" s="24" t="s">
        <v>71</v>
      </c>
      <c r="D249" s="24" t="s">
        <v>72</v>
      </c>
      <c r="E249" s="24"/>
      <c r="F249" s="24" t="s">
        <v>1218</v>
      </c>
      <c r="G249" s="24" t="s">
        <v>1078</v>
      </c>
      <c r="H249" s="24" t="s">
        <v>1079</v>
      </c>
      <c r="I249" s="24" t="s">
        <v>1126</v>
      </c>
      <c r="J249" s="24" t="s">
        <v>1081</v>
      </c>
      <c r="K249" s="24" t="s">
        <v>1082</v>
      </c>
      <c r="L249" s="24" t="s">
        <v>1083</v>
      </c>
      <c r="M249" s="24">
        <v>1</v>
      </c>
      <c r="N249" s="24" t="s">
        <v>1052</v>
      </c>
      <c r="O249" s="24" t="s">
        <v>1219</v>
      </c>
    </row>
    <row r="250" spans="1:15">
      <c r="A250" s="24" t="s">
        <v>1230</v>
      </c>
      <c r="B250" s="24" t="s">
        <v>1005</v>
      </c>
      <c r="C250" s="24" t="s">
        <v>86</v>
      </c>
      <c r="D250" s="24" t="s">
        <v>1231</v>
      </c>
      <c r="E250" s="24"/>
      <c r="F250" s="24" t="s">
        <v>1232</v>
      </c>
      <c r="G250" s="24"/>
      <c r="H250" s="24" t="s">
        <v>1079</v>
      </c>
      <c r="I250" s="24" t="s">
        <v>1233</v>
      </c>
      <c r="J250" s="24" t="s">
        <v>1081</v>
      </c>
      <c r="K250" s="24" t="s">
        <v>1082</v>
      </c>
      <c r="L250" s="24" t="s">
        <v>1083</v>
      </c>
      <c r="M250" s="24">
        <v>13</v>
      </c>
      <c r="N250" s="24" t="s">
        <v>1234</v>
      </c>
      <c r="O250" s="24" t="s">
        <v>1235</v>
      </c>
    </row>
    <row r="251" spans="1:15">
      <c r="A251" s="24" t="s">
        <v>1230</v>
      </c>
      <c r="B251" s="24" t="s">
        <v>1005</v>
      </c>
      <c r="C251" s="24" t="s">
        <v>86</v>
      </c>
      <c r="D251" s="24" t="s">
        <v>1231</v>
      </c>
      <c r="E251" s="24"/>
      <c r="F251" s="24" t="s">
        <v>1232</v>
      </c>
      <c r="G251" s="24"/>
      <c r="H251" s="24" t="s">
        <v>1079</v>
      </c>
      <c r="I251" s="24" t="s">
        <v>1236</v>
      </c>
      <c r="J251" s="24" t="s">
        <v>1081</v>
      </c>
      <c r="K251" s="24" t="s">
        <v>1082</v>
      </c>
      <c r="L251" s="24" t="s">
        <v>1083</v>
      </c>
      <c r="M251" s="24">
        <v>12</v>
      </c>
      <c r="N251" s="24" t="s">
        <v>1234</v>
      </c>
      <c r="O251" s="24" t="s">
        <v>1235</v>
      </c>
    </row>
    <row r="252" spans="1:15">
      <c r="A252" s="24" t="s">
        <v>1230</v>
      </c>
      <c r="B252" s="24" t="s">
        <v>1005</v>
      </c>
      <c r="C252" s="24" t="s">
        <v>86</v>
      </c>
      <c r="D252" s="24" t="s">
        <v>1231</v>
      </c>
      <c r="E252" s="24"/>
      <c r="F252" s="24" t="s">
        <v>1232</v>
      </c>
      <c r="G252" s="24"/>
      <c r="H252" s="24" t="s">
        <v>1079</v>
      </c>
      <c r="I252" s="24" t="s">
        <v>1233</v>
      </c>
      <c r="J252" s="24" t="s">
        <v>1081</v>
      </c>
      <c r="K252" s="24" t="s">
        <v>1082</v>
      </c>
      <c r="L252" s="24" t="s">
        <v>1083</v>
      </c>
      <c r="M252" s="24">
        <v>13</v>
      </c>
      <c r="N252" s="24" t="s">
        <v>1234</v>
      </c>
      <c r="O252" s="24" t="s">
        <v>1235</v>
      </c>
    </row>
    <row r="253" spans="1:15">
      <c r="A253" s="24" t="s">
        <v>1230</v>
      </c>
      <c r="B253" s="24" t="s">
        <v>1005</v>
      </c>
      <c r="C253" s="24" t="s">
        <v>86</v>
      </c>
      <c r="D253" s="24" t="s">
        <v>1231</v>
      </c>
      <c r="E253" s="24"/>
      <c r="F253" s="24" t="s">
        <v>1232</v>
      </c>
      <c r="G253" s="24"/>
      <c r="H253" s="24" t="s">
        <v>1079</v>
      </c>
      <c r="I253" s="24" t="s">
        <v>1236</v>
      </c>
      <c r="J253" s="24" t="s">
        <v>1081</v>
      </c>
      <c r="K253" s="24" t="s">
        <v>1082</v>
      </c>
      <c r="L253" s="24" t="s">
        <v>1083</v>
      </c>
      <c r="M253" s="24">
        <v>12</v>
      </c>
      <c r="N253" s="24" t="s">
        <v>1234</v>
      </c>
      <c r="O253" s="24" t="s">
        <v>1235</v>
      </c>
    </row>
    <row r="254" spans="1:15">
      <c r="A254" s="24" t="s">
        <v>1230</v>
      </c>
      <c r="B254" s="24" t="s">
        <v>1005</v>
      </c>
      <c r="C254" s="24" t="s">
        <v>86</v>
      </c>
      <c r="D254" s="24" t="s">
        <v>1231</v>
      </c>
      <c r="E254" s="24"/>
      <c r="F254" s="24" t="s">
        <v>1232</v>
      </c>
      <c r="G254" s="24"/>
      <c r="H254" s="24" t="s">
        <v>1079</v>
      </c>
      <c r="I254" s="24" t="s">
        <v>1236</v>
      </c>
      <c r="J254" s="24" t="s">
        <v>1081</v>
      </c>
      <c r="K254" s="24" t="s">
        <v>1082</v>
      </c>
      <c r="L254" s="24" t="s">
        <v>1083</v>
      </c>
      <c r="M254" s="24">
        <v>12</v>
      </c>
      <c r="N254" s="24" t="s">
        <v>1234</v>
      </c>
      <c r="O254" s="24" t="s">
        <v>1235</v>
      </c>
    </row>
    <row r="255" spans="1:15">
      <c r="A255" s="24" t="s">
        <v>1201</v>
      </c>
      <c r="B255" s="24" t="s">
        <v>1005</v>
      </c>
      <c r="C255" s="24" t="s">
        <v>95</v>
      </c>
      <c r="D255" s="24" t="s">
        <v>96</v>
      </c>
      <c r="E255" s="24"/>
      <c r="F255" s="24" t="s">
        <v>1237</v>
      </c>
      <c r="G255" s="24" t="s">
        <v>1078</v>
      </c>
      <c r="H255" s="24" t="s">
        <v>1204</v>
      </c>
      <c r="I255" s="24" t="s">
        <v>1238</v>
      </c>
      <c r="J255" s="24" t="s">
        <v>1081</v>
      </c>
      <c r="K255" s="24" t="s">
        <v>1082</v>
      </c>
      <c r="L255" s="24" t="s">
        <v>1083</v>
      </c>
      <c r="M255" s="24">
        <v>7045</v>
      </c>
      <c r="N255" s="24" t="s">
        <v>1059</v>
      </c>
      <c r="O255" s="24" t="s">
        <v>1239</v>
      </c>
    </row>
    <row r="256" spans="1:15">
      <c r="A256" s="24" t="s">
        <v>1240</v>
      </c>
      <c r="B256" s="24" t="s">
        <v>1022</v>
      </c>
      <c r="C256" s="24" t="s">
        <v>109</v>
      </c>
      <c r="D256" s="24" t="s">
        <v>110</v>
      </c>
      <c r="E256" s="24" t="s">
        <v>1241</v>
      </c>
      <c r="F256" s="24" t="s">
        <v>1242</v>
      </c>
      <c r="G256" s="24" t="s">
        <v>1078</v>
      </c>
      <c r="H256" s="24" t="s">
        <v>1209</v>
      </c>
      <c r="I256" s="24" t="s">
        <v>1243</v>
      </c>
      <c r="J256" s="24" t="s">
        <v>1081</v>
      </c>
      <c r="K256" s="24" t="s">
        <v>1082</v>
      </c>
      <c r="L256" s="24" t="s">
        <v>1083</v>
      </c>
      <c r="M256" s="24">
        <v>4104</v>
      </c>
      <c r="N256" s="24" t="s">
        <v>1058</v>
      </c>
      <c r="O256" s="24" t="s">
        <v>1244</v>
      </c>
    </row>
    <row r="257" spans="1:15">
      <c r="A257" s="24" t="s">
        <v>1245</v>
      </c>
      <c r="B257" s="24" t="s">
        <v>1022</v>
      </c>
      <c r="C257" s="24" t="s">
        <v>117</v>
      </c>
      <c r="D257" s="24" t="s">
        <v>118</v>
      </c>
      <c r="E257" s="24" t="s">
        <v>1246</v>
      </c>
      <c r="F257" s="24" t="s">
        <v>1242</v>
      </c>
      <c r="G257" s="24" t="s">
        <v>1078</v>
      </c>
      <c r="H257" s="24" t="s">
        <v>1209</v>
      </c>
      <c r="I257" s="24" t="s">
        <v>1247</v>
      </c>
      <c r="J257" s="24" t="s">
        <v>1081</v>
      </c>
      <c r="K257" s="24" t="s">
        <v>1082</v>
      </c>
      <c r="L257" s="24" t="s">
        <v>1083</v>
      </c>
      <c r="M257" s="24">
        <v>4104</v>
      </c>
      <c r="N257" s="24" t="s">
        <v>1058</v>
      </c>
      <c r="O257" s="24" t="s">
        <v>1244</v>
      </c>
    </row>
    <row r="258" spans="1:15">
      <c r="A258" s="24" t="s">
        <v>1144</v>
      </c>
      <c r="B258" s="24" t="s">
        <v>1022</v>
      </c>
      <c r="C258" s="24" t="s">
        <v>86</v>
      </c>
      <c r="D258" s="24" t="s">
        <v>87</v>
      </c>
      <c r="E258" s="24" t="s">
        <v>1248</v>
      </c>
      <c r="F258" s="24" t="s">
        <v>1249</v>
      </c>
      <c r="G258" s="24" t="s">
        <v>1078</v>
      </c>
      <c r="H258" s="24" t="s">
        <v>1079</v>
      </c>
      <c r="I258" s="24" t="s">
        <v>1145</v>
      </c>
      <c r="J258" s="24" t="s">
        <v>1081</v>
      </c>
      <c r="K258" s="24" t="s">
        <v>1082</v>
      </c>
      <c r="L258" s="24" t="s">
        <v>1083</v>
      </c>
      <c r="M258" s="24">
        <v>1</v>
      </c>
      <c r="N258" s="24" t="s">
        <v>1052</v>
      </c>
      <c r="O258" s="24" t="s">
        <v>1250</v>
      </c>
    </row>
    <row r="259" spans="1:15">
      <c r="A259" s="24" t="s">
        <v>1196</v>
      </c>
      <c r="B259" s="24" t="s">
        <v>1022</v>
      </c>
      <c r="C259" s="24" t="s">
        <v>86</v>
      </c>
      <c r="D259" s="24" t="s">
        <v>87</v>
      </c>
      <c r="E259" s="24" t="s">
        <v>1248</v>
      </c>
      <c r="F259" s="24" t="s">
        <v>1249</v>
      </c>
      <c r="G259" s="24" t="s">
        <v>1078</v>
      </c>
      <c r="H259" s="24" t="s">
        <v>1079</v>
      </c>
      <c r="I259" s="24" t="s">
        <v>1197</v>
      </c>
      <c r="J259" s="24" t="s">
        <v>1081</v>
      </c>
      <c r="K259" s="24" t="s">
        <v>1082</v>
      </c>
      <c r="L259" s="24" t="s">
        <v>1083</v>
      </c>
      <c r="M259" s="24">
        <v>1</v>
      </c>
      <c r="N259" s="24" t="s">
        <v>1052</v>
      </c>
      <c r="O259" s="24" t="s">
        <v>1250</v>
      </c>
    </row>
    <row r="260" spans="1:15">
      <c r="A260" s="24" t="s">
        <v>1144</v>
      </c>
      <c r="B260" s="24" t="s">
        <v>1022</v>
      </c>
      <c r="C260" s="24" t="s">
        <v>86</v>
      </c>
      <c r="D260" s="24" t="s">
        <v>87</v>
      </c>
      <c r="E260" s="24" t="s">
        <v>1248</v>
      </c>
      <c r="F260" s="24" t="s">
        <v>1249</v>
      </c>
      <c r="G260" s="24" t="s">
        <v>1078</v>
      </c>
      <c r="H260" s="24" t="s">
        <v>1079</v>
      </c>
      <c r="I260" s="24" t="s">
        <v>1145</v>
      </c>
      <c r="J260" s="24" t="s">
        <v>1081</v>
      </c>
      <c r="K260" s="24" t="s">
        <v>1082</v>
      </c>
      <c r="L260" s="24" t="s">
        <v>1083</v>
      </c>
      <c r="M260" s="24">
        <v>1</v>
      </c>
      <c r="N260" s="24" t="s">
        <v>1052</v>
      </c>
      <c r="O260" s="24" t="s">
        <v>1250</v>
      </c>
    </row>
    <row r="261" spans="1:15">
      <c r="A261" s="24" t="s">
        <v>1196</v>
      </c>
      <c r="B261" s="24" t="s">
        <v>1022</v>
      </c>
      <c r="C261" s="24" t="s">
        <v>86</v>
      </c>
      <c r="D261" s="24" t="s">
        <v>87</v>
      </c>
      <c r="E261" s="24" t="s">
        <v>1248</v>
      </c>
      <c r="F261" s="24" t="s">
        <v>1249</v>
      </c>
      <c r="G261" s="24" t="s">
        <v>1078</v>
      </c>
      <c r="H261" s="24" t="s">
        <v>1079</v>
      </c>
      <c r="I261" s="24" t="s">
        <v>1197</v>
      </c>
      <c r="J261" s="24" t="s">
        <v>1081</v>
      </c>
      <c r="K261" s="24" t="s">
        <v>1082</v>
      </c>
      <c r="L261" s="24" t="s">
        <v>1083</v>
      </c>
      <c r="M261" s="24">
        <v>1</v>
      </c>
      <c r="N261" s="24" t="s">
        <v>1052</v>
      </c>
      <c r="O261" s="24" t="s">
        <v>1250</v>
      </c>
    </row>
    <row r="262" spans="1:15">
      <c r="A262" s="24" t="s">
        <v>1149</v>
      </c>
      <c r="B262" s="24" t="s">
        <v>1022</v>
      </c>
      <c r="C262" s="24" t="s">
        <v>95</v>
      </c>
      <c r="D262" s="24" t="s">
        <v>96</v>
      </c>
      <c r="E262" s="24" t="s">
        <v>1251</v>
      </c>
      <c r="F262" s="24" t="s">
        <v>1249</v>
      </c>
      <c r="G262" s="24" t="s">
        <v>1078</v>
      </c>
      <c r="H262" s="24" t="s">
        <v>1079</v>
      </c>
      <c r="I262" s="24" t="s">
        <v>1150</v>
      </c>
      <c r="J262" s="24" t="s">
        <v>1081</v>
      </c>
      <c r="K262" s="24" t="s">
        <v>1082</v>
      </c>
      <c r="L262" s="24" t="s">
        <v>1083</v>
      </c>
      <c r="M262" s="24">
        <v>1</v>
      </c>
      <c r="N262" s="24" t="s">
        <v>1052</v>
      </c>
      <c r="O262" s="24" t="s">
        <v>1250</v>
      </c>
    </row>
    <row r="263" spans="1:15">
      <c r="A263" s="24" t="s">
        <v>1222</v>
      </c>
      <c r="B263" s="24" t="s">
        <v>1022</v>
      </c>
      <c r="C263" s="24" t="s">
        <v>95</v>
      </c>
      <c r="D263" s="24" t="s">
        <v>96</v>
      </c>
      <c r="E263" s="24" t="s">
        <v>1251</v>
      </c>
      <c r="F263" s="24" t="s">
        <v>1249</v>
      </c>
      <c r="G263" s="24" t="s">
        <v>1078</v>
      </c>
      <c r="H263" s="24" t="s">
        <v>1079</v>
      </c>
      <c r="I263" s="24" t="s">
        <v>1223</v>
      </c>
      <c r="J263" s="24" t="s">
        <v>1081</v>
      </c>
      <c r="K263" s="24" t="s">
        <v>1082</v>
      </c>
      <c r="L263" s="24" t="s">
        <v>1083</v>
      </c>
      <c r="M263" s="24">
        <v>1</v>
      </c>
      <c r="N263" s="24" t="s">
        <v>1052</v>
      </c>
      <c r="O263" s="24" t="s">
        <v>1250</v>
      </c>
    </row>
    <row r="264" spans="1:15">
      <c r="A264" s="24" t="s">
        <v>1149</v>
      </c>
      <c r="B264" s="24" t="s">
        <v>1022</v>
      </c>
      <c r="C264" s="24" t="s">
        <v>95</v>
      </c>
      <c r="D264" s="24" t="s">
        <v>96</v>
      </c>
      <c r="E264" s="24" t="s">
        <v>1251</v>
      </c>
      <c r="F264" s="24" t="s">
        <v>1249</v>
      </c>
      <c r="G264" s="24" t="s">
        <v>1078</v>
      </c>
      <c r="H264" s="24" t="s">
        <v>1079</v>
      </c>
      <c r="I264" s="24" t="s">
        <v>1150</v>
      </c>
      <c r="J264" s="24" t="s">
        <v>1081</v>
      </c>
      <c r="K264" s="24" t="s">
        <v>1082</v>
      </c>
      <c r="L264" s="24" t="s">
        <v>1083</v>
      </c>
      <c r="M264" s="24">
        <v>1</v>
      </c>
      <c r="N264" s="24" t="s">
        <v>1052</v>
      </c>
      <c r="O264" s="24" t="s">
        <v>1250</v>
      </c>
    </row>
    <row r="265" spans="1:15">
      <c r="A265" s="24" t="s">
        <v>1222</v>
      </c>
      <c r="B265" s="24" t="s">
        <v>1022</v>
      </c>
      <c r="C265" s="24" t="s">
        <v>95</v>
      </c>
      <c r="D265" s="24" t="s">
        <v>96</v>
      </c>
      <c r="E265" s="24" t="s">
        <v>1251</v>
      </c>
      <c r="F265" s="24" t="s">
        <v>1249</v>
      </c>
      <c r="G265" s="24" t="s">
        <v>1078</v>
      </c>
      <c r="H265" s="24" t="s">
        <v>1079</v>
      </c>
      <c r="I265" s="24" t="s">
        <v>1223</v>
      </c>
      <c r="J265" s="24" t="s">
        <v>1081</v>
      </c>
      <c r="K265" s="24" t="s">
        <v>1082</v>
      </c>
      <c r="L265" s="24" t="s">
        <v>1083</v>
      </c>
      <c r="M265" s="24">
        <v>1</v>
      </c>
      <c r="N265" s="24" t="s">
        <v>1052</v>
      </c>
      <c r="O265" s="24" t="s">
        <v>1250</v>
      </c>
    </row>
    <row r="266" spans="1:15">
      <c r="A266" s="24" t="s">
        <v>1175</v>
      </c>
      <c r="B266" s="24" t="s">
        <v>1022</v>
      </c>
      <c r="C266" s="24" t="s">
        <v>48</v>
      </c>
      <c r="D266" s="24" t="s">
        <v>1252</v>
      </c>
      <c r="E266" s="24" t="s">
        <v>1253</v>
      </c>
      <c r="F266" s="24" t="s">
        <v>1249</v>
      </c>
      <c r="G266" s="24" t="s">
        <v>1078</v>
      </c>
      <c r="H266" s="24" t="s">
        <v>1079</v>
      </c>
      <c r="I266" s="24" t="s">
        <v>1176</v>
      </c>
      <c r="J266" s="24" t="s">
        <v>1081</v>
      </c>
      <c r="K266" s="24" t="s">
        <v>1082</v>
      </c>
      <c r="L266" s="24" t="s">
        <v>1083</v>
      </c>
      <c r="M266" s="24">
        <v>1</v>
      </c>
      <c r="N266" s="24" t="s">
        <v>1052</v>
      </c>
      <c r="O266" s="24" t="s">
        <v>1250</v>
      </c>
    </row>
    <row r="267" spans="1:15">
      <c r="A267" s="24" t="s">
        <v>1106</v>
      </c>
      <c r="B267" s="24" t="s">
        <v>1022</v>
      </c>
      <c r="C267" s="24" t="s">
        <v>48</v>
      </c>
      <c r="D267" s="24" t="s">
        <v>1252</v>
      </c>
      <c r="E267" s="24" t="s">
        <v>1253</v>
      </c>
      <c r="F267" s="24" t="s">
        <v>1249</v>
      </c>
      <c r="G267" s="24" t="s">
        <v>1078</v>
      </c>
      <c r="H267" s="24" t="s">
        <v>1079</v>
      </c>
      <c r="I267" s="24" t="s">
        <v>1107</v>
      </c>
      <c r="J267" s="24" t="s">
        <v>1081</v>
      </c>
      <c r="K267" s="24" t="s">
        <v>1082</v>
      </c>
      <c r="L267" s="24" t="s">
        <v>1083</v>
      </c>
      <c r="M267" s="24">
        <v>1</v>
      </c>
      <c r="N267" s="24" t="s">
        <v>1052</v>
      </c>
      <c r="O267" s="24" t="s">
        <v>1250</v>
      </c>
    </row>
    <row r="268" spans="1:15">
      <c r="A268" s="24" t="s">
        <v>1175</v>
      </c>
      <c r="B268" s="24" t="s">
        <v>1022</v>
      </c>
      <c r="C268" s="24" t="s">
        <v>48</v>
      </c>
      <c r="D268" s="24" t="s">
        <v>1252</v>
      </c>
      <c r="E268" s="24" t="s">
        <v>1253</v>
      </c>
      <c r="F268" s="24" t="s">
        <v>1249</v>
      </c>
      <c r="G268" s="24" t="s">
        <v>1078</v>
      </c>
      <c r="H268" s="24" t="s">
        <v>1079</v>
      </c>
      <c r="I268" s="24" t="s">
        <v>1176</v>
      </c>
      <c r="J268" s="24" t="s">
        <v>1081</v>
      </c>
      <c r="K268" s="24" t="s">
        <v>1082</v>
      </c>
      <c r="L268" s="24" t="s">
        <v>1083</v>
      </c>
      <c r="M268" s="24">
        <v>1</v>
      </c>
      <c r="N268" s="24" t="s">
        <v>1052</v>
      </c>
      <c r="O268" s="24" t="s">
        <v>1250</v>
      </c>
    </row>
    <row r="269" spans="1:15">
      <c r="A269" s="24" t="s">
        <v>1106</v>
      </c>
      <c r="B269" s="24" t="s">
        <v>1022</v>
      </c>
      <c r="C269" s="24" t="s">
        <v>48</v>
      </c>
      <c r="D269" s="24" t="s">
        <v>1252</v>
      </c>
      <c r="E269" s="24" t="s">
        <v>1253</v>
      </c>
      <c r="F269" s="24" t="s">
        <v>1249</v>
      </c>
      <c r="G269" s="24" t="s">
        <v>1078</v>
      </c>
      <c r="H269" s="24" t="s">
        <v>1079</v>
      </c>
      <c r="I269" s="24" t="s">
        <v>1107</v>
      </c>
      <c r="J269" s="24" t="s">
        <v>1081</v>
      </c>
      <c r="K269" s="24" t="s">
        <v>1082</v>
      </c>
      <c r="L269" s="24" t="s">
        <v>1083</v>
      </c>
      <c r="M269" s="24">
        <v>1</v>
      </c>
      <c r="N269" s="24" t="s">
        <v>1052</v>
      </c>
      <c r="O269" s="24" t="s">
        <v>1250</v>
      </c>
    </row>
    <row r="270" spans="1:15">
      <c r="A270" s="24" t="s">
        <v>1201</v>
      </c>
      <c r="B270" s="24" t="s">
        <v>1022</v>
      </c>
      <c r="C270" s="24" t="s">
        <v>95</v>
      </c>
      <c r="D270" s="24" t="s">
        <v>96</v>
      </c>
      <c r="E270" s="24" t="s">
        <v>1254</v>
      </c>
      <c r="F270" s="24" t="s">
        <v>1255</v>
      </c>
      <c r="G270" s="24" t="s">
        <v>1078</v>
      </c>
      <c r="H270" s="24" t="s">
        <v>1204</v>
      </c>
      <c r="I270" s="24" t="s">
        <v>1256</v>
      </c>
      <c r="J270" s="24" t="s">
        <v>1081</v>
      </c>
      <c r="K270" s="24" t="s">
        <v>1082</v>
      </c>
      <c r="L270" s="24" t="s">
        <v>1083</v>
      </c>
      <c r="M270" s="24">
        <v>7045</v>
      </c>
      <c r="N270" s="24" t="s">
        <v>1059</v>
      </c>
      <c r="O270" s="24" t="s">
        <v>1257</v>
      </c>
    </row>
    <row r="271" spans="1:15">
      <c r="A271" s="24" t="s">
        <v>1258</v>
      </c>
      <c r="B271" s="24" t="s">
        <v>1022</v>
      </c>
      <c r="C271" s="24" t="s">
        <v>48</v>
      </c>
      <c r="D271" s="24" t="s">
        <v>1259</v>
      </c>
      <c r="E271" s="24" t="s">
        <v>1260</v>
      </c>
      <c r="F271" s="24" t="s">
        <v>1261</v>
      </c>
      <c r="G271" s="24" t="s">
        <v>1078</v>
      </c>
      <c r="H271" s="24" t="s">
        <v>1079</v>
      </c>
      <c r="I271" s="24" t="s">
        <v>1262</v>
      </c>
      <c r="J271" s="24" t="s">
        <v>1081</v>
      </c>
      <c r="K271" s="24" t="s">
        <v>1082</v>
      </c>
      <c r="L271" s="24" t="s">
        <v>1083</v>
      </c>
      <c r="M271" s="24">
        <v>3</v>
      </c>
      <c r="N271" s="24" t="s">
        <v>1053</v>
      </c>
      <c r="O271" s="24" t="s">
        <v>1263</v>
      </c>
    </row>
    <row r="272" spans="1:15">
      <c r="A272" s="24" t="s">
        <v>1258</v>
      </c>
      <c r="B272" s="24" t="s">
        <v>1022</v>
      </c>
      <c r="C272" s="24" t="s">
        <v>48</v>
      </c>
      <c r="D272" s="24" t="s">
        <v>1259</v>
      </c>
      <c r="E272" s="24" t="s">
        <v>1260</v>
      </c>
      <c r="F272" s="24" t="s">
        <v>1261</v>
      </c>
      <c r="G272" s="24" t="s">
        <v>1078</v>
      </c>
      <c r="H272" s="24" t="s">
        <v>1079</v>
      </c>
      <c r="I272" s="24" t="s">
        <v>1262</v>
      </c>
      <c r="J272" s="24" t="s">
        <v>1081</v>
      </c>
      <c r="K272" s="24" t="s">
        <v>1082</v>
      </c>
      <c r="L272" s="24" t="s">
        <v>1083</v>
      </c>
      <c r="M272" s="24">
        <v>3</v>
      </c>
      <c r="N272" s="24" t="s">
        <v>1053</v>
      </c>
      <c r="O272" s="24" t="s">
        <v>1263</v>
      </c>
    </row>
    <row r="273" spans="1:15">
      <c r="A273" s="24" t="s">
        <v>1258</v>
      </c>
      <c r="B273" s="24" t="s">
        <v>1022</v>
      </c>
      <c r="C273" s="24" t="s">
        <v>48</v>
      </c>
      <c r="D273" s="24" t="s">
        <v>1259</v>
      </c>
      <c r="E273" s="24" t="s">
        <v>1260</v>
      </c>
      <c r="F273" s="24" t="s">
        <v>1261</v>
      </c>
      <c r="G273" s="24" t="s">
        <v>1078</v>
      </c>
      <c r="H273" s="24" t="s">
        <v>1079</v>
      </c>
      <c r="I273" s="24" t="s">
        <v>1262</v>
      </c>
      <c r="J273" s="24" t="s">
        <v>1081</v>
      </c>
      <c r="K273" s="24" t="s">
        <v>1082</v>
      </c>
      <c r="L273" s="24" t="s">
        <v>1083</v>
      </c>
      <c r="M273" s="24">
        <v>3</v>
      </c>
      <c r="N273" s="24" t="s">
        <v>1053</v>
      </c>
      <c r="O273" s="24" t="s">
        <v>1263</v>
      </c>
    </row>
    <row r="274" spans="1:15">
      <c r="A274" s="24" t="s">
        <v>1258</v>
      </c>
      <c r="B274" s="24" t="s">
        <v>1022</v>
      </c>
      <c r="C274" s="24" t="s">
        <v>48</v>
      </c>
      <c r="D274" s="24" t="s">
        <v>1259</v>
      </c>
      <c r="E274" s="24" t="s">
        <v>1260</v>
      </c>
      <c r="F274" s="24" t="s">
        <v>1261</v>
      </c>
      <c r="G274" s="24" t="s">
        <v>1078</v>
      </c>
      <c r="H274" s="24" t="s">
        <v>1079</v>
      </c>
      <c r="I274" s="24" t="s">
        <v>1262</v>
      </c>
      <c r="J274" s="24" t="s">
        <v>1081</v>
      </c>
      <c r="K274" s="24" t="s">
        <v>1082</v>
      </c>
      <c r="L274" s="24" t="s">
        <v>1083</v>
      </c>
      <c r="M274" s="24">
        <v>3</v>
      </c>
      <c r="N274" s="24" t="s">
        <v>1053</v>
      </c>
      <c r="O274" s="24" t="s">
        <v>1263</v>
      </c>
    </row>
    <row r="275" spans="1:15">
      <c r="A275" s="24" t="s">
        <v>1207</v>
      </c>
      <c r="B275" s="24" t="s">
        <v>606</v>
      </c>
      <c r="C275" s="24" t="s">
        <v>62</v>
      </c>
      <c r="D275" s="24" t="s">
        <v>63</v>
      </c>
      <c r="E275" s="24" t="s">
        <v>1264</v>
      </c>
      <c r="F275" s="24" t="s">
        <v>1265</v>
      </c>
      <c r="G275" s="24" t="s">
        <v>1078</v>
      </c>
      <c r="H275" s="24" t="s">
        <v>1209</v>
      </c>
      <c r="I275" s="24" t="s">
        <v>1210</v>
      </c>
      <c r="J275" s="24" t="s">
        <v>1081</v>
      </c>
      <c r="K275" s="24" t="s">
        <v>1082</v>
      </c>
      <c r="L275" s="24" t="s">
        <v>1083</v>
      </c>
      <c r="M275" s="24">
        <v>4104</v>
      </c>
      <c r="N275" s="24" t="s">
        <v>1058</v>
      </c>
      <c r="O275" s="24" t="s">
        <v>1266</v>
      </c>
    </row>
    <row r="276" spans="1:15">
      <c r="A276" s="24" t="s">
        <v>1216</v>
      </c>
      <c r="B276" s="24" t="s">
        <v>606</v>
      </c>
      <c r="C276" s="24" t="s">
        <v>62</v>
      </c>
      <c r="D276" s="24" t="s">
        <v>63</v>
      </c>
      <c r="E276" s="24" t="s">
        <v>1264</v>
      </c>
      <c r="F276" s="24" t="s">
        <v>1265</v>
      </c>
      <c r="G276" s="24" t="s">
        <v>1078</v>
      </c>
      <c r="H276" s="24" t="s">
        <v>1209</v>
      </c>
      <c r="I276" s="24" t="s">
        <v>1217</v>
      </c>
      <c r="J276" s="24" t="s">
        <v>1081</v>
      </c>
      <c r="K276" s="24" t="s">
        <v>1082</v>
      </c>
      <c r="L276" s="24" t="s">
        <v>1083</v>
      </c>
      <c r="M276" s="24">
        <v>4104</v>
      </c>
      <c r="N276" s="24" t="s">
        <v>1058</v>
      </c>
      <c r="O276" s="24" t="s">
        <v>1266</v>
      </c>
    </row>
    <row r="277" spans="1:15">
      <c r="A277" s="24" t="s">
        <v>1121</v>
      </c>
      <c r="B277" s="24" t="s">
        <v>606</v>
      </c>
      <c r="C277" s="24" t="s">
        <v>71</v>
      </c>
      <c r="D277" s="24" t="s">
        <v>72</v>
      </c>
      <c r="E277" s="24" t="s">
        <v>1267</v>
      </c>
      <c r="F277" s="24" t="s">
        <v>1268</v>
      </c>
      <c r="G277" s="24" t="s">
        <v>1078</v>
      </c>
      <c r="H277" s="24" t="s">
        <v>1079</v>
      </c>
      <c r="I277" s="24" t="s">
        <v>1122</v>
      </c>
      <c r="J277" s="24" t="s">
        <v>1081</v>
      </c>
      <c r="K277" s="24" t="s">
        <v>1082</v>
      </c>
      <c r="L277" s="24" t="s">
        <v>1083</v>
      </c>
      <c r="M277" s="24">
        <v>1</v>
      </c>
      <c r="N277" s="24" t="s">
        <v>1052</v>
      </c>
      <c r="O277" s="24" t="s">
        <v>1269</v>
      </c>
    </row>
    <row r="278" spans="1:15">
      <c r="A278" s="24" t="s">
        <v>1123</v>
      </c>
      <c r="B278" s="24" t="s">
        <v>606</v>
      </c>
      <c r="C278" s="24" t="s">
        <v>71</v>
      </c>
      <c r="D278" s="24" t="s">
        <v>72</v>
      </c>
      <c r="E278" s="24" t="s">
        <v>1267</v>
      </c>
      <c r="F278" s="24" t="s">
        <v>1268</v>
      </c>
      <c r="G278" s="24" t="s">
        <v>1078</v>
      </c>
      <c r="H278" s="24" t="s">
        <v>1079</v>
      </c>
      <c r="I278" s="24" t="s">
        <v>1124</v>
      </c>
      <c r="J278" s="24" t="s">
        <v>1081</v>
      </c>
      <c r="K278" s="24" t="s">
        <v>1082</v>
      </c>
      <c r="L278" s="24" t="s">
        <v>1083</v>
      </c>
      <c r="M278" s="24">
        <v>1</v>
      </c>
      <c r="N278" s="24" t="s">
        <v>1052</v>
      </c>
      <c r="O278" s="24" t="s">
        <v>1269</v>
      </c>
    </row>
    <row r="279" spans="1:15">
      <c r="A279" s="24" t="s">
        <v>1121</v>
      </c>
      <c r="B279" s="24" t="s">
        <v>606</v>
      </c>
      <c r="C279" s="24" t="s">
        <v>71</v>
      </c>
      <c r="D279" s="24" t="s">
        <v>72</v>
      </c>
      <c r="E279" s="24" t="s">
        <v>1267</v>
      </c>
      <c r="F279" s="24" t="s">
        <v>1268</v>
      </c>
      <c r="G279" s="24" t="s">
        <v>1078</v>
      </c>
      <c r="H279" s="24" t="s">
        <v>1079</v>
      </c>
      <c r="I279" s="24" t="s">
        <v>1122</v>
      </c>
      <c r="J279" s="24" t="s">
        <v>1081</v>
      </c>
      <c r="K279" s="24" t="s">
        <v>1082</v>
      </c>
      <c r="L279" s="24" t="s">
        <v>1083</v>
      </c>
      <c r="M279" s="24">
        <v>1</v>
      </c>
      <c r="N279" s="24" t="s">
        <v>1052</v>
      </c>
      <c r="O279" s="24" t="s">
        <v>1269</v>
      </c>
    </row>
    <row r="280" spans="1:15">
      <c r="A280" s="24" t="s">
        <v>1123</v>
      </c>
      <c r="B280" s="24" t="s">
        <v>606</v>
      </c>
      <c r="C280" s="24" t="s">
        <v>71</v>
      </c>
      <c r="D280" s="24" t="s">
        <v>72</v>
      </c>
      <c r="E280" s="24" t="s">
        <v>1267</v>
      </c>
      <c r="F280" s="24" t="s">
        <v>1268</v>
      </c>
      <c r="G280" s="24" t="s">
        <v>1078</v>
      </c>
      <c r="H280" s="24" t="s">
        <v>1079</v>
      </c>
      <c r="I280" s="24" t="s">
        <v>1124</v>
      </c>
      <c r="J280" s="24" t="s">
        <v>1081</v>
      </c>
      <c r="K280" s="24" t="s">
        <v>1082</v>
      </c>
      <c r="L280" s="24" t="s">
        <v>1083</v>
      </c>
      <c r="M280" s="24">
        <v>1</v>
      </c>
      <c r="N280" s="24" t="s">
        <v>1052</v>
      </c>
      <c r="O280" s="24" t="s">
        <v>1269</v>
      </c>
    </row>
    <row r="281" spans="1:15">
      <c r="A281" s="24" t="s">
        <v>1125</v>
      </c>
      <c r="B281" s="24" t="s">
        <v>606</v>
      </c>
      <c r="C281" s="24" t="s">
        <v>71</v>
      </c>
      <c r="D281" s="24" t="s">
        <v>72</v>
      </c>
      <c r="E281" s="24" t="s">
        <v>1267</v>
      </c>
      <c r="F281" s="24" t="s">
        <v>1268</v>
      </c>
      <c r="G281" s="24" t="s">
        <v>1078</v>
      </c>
      <c r="H281" s="24" t="s">
        <v>1079</v>
      </c>
      <c r="I281" s="24" t="s">
        <v>1126</v>
      </c>
      <c r="J281" s="24" t="s">
        <v>1081</v>
      </c>
      <c r="K281" s="24" t="s">
        <v>1082</v>
      </c>
      <c r="L281" s="24" t="s">
        <v>1083</v>
      </c>
      <c r="M281" s="24">
        <v>1</v>
      </c>
      <c r="N281" s="24" t="s">
        <v>1052</v>
      </c>
      <c r="O281" s="24" t="s">
        <v>1269</v>
      </c>
    </row>
    <row r="282" spans="1:15">
      <c r="A282" s="24" t="s">
        <v>1125</v>
      </c>
      <c r="B282" s="24" t="s">
        <v>606</v>
      </c>
      <c r="C282" s="24" t="s">
        <v>71</v>
      </c>
      <c r="D282" s="24" t="s">
        <v>72</v>
      </c>
      <c r="E282" s="24" t="s">
        <v>1267</v>
      </c>
      <c r="F282" s="24" t="s">
        <v>1268</v>
      </c>
      <c r="G282" s="24" t="s">
        <v>1078</v>
      </c>
      <c r="H282" s="24" t="s">
        <v>1079</v>
      </c>
      <c r="I282" s="24" t="s">
        <v>1126</v>
      </c>
      <c r="J282" s="24" t="s">
        <v>1081</v>
      </c>
      <c r="K282" s="24" t="s">
        <v>1082</v>
      </c>
      <c r="L282" s="24" t="s">
        <v>1083</v>
      </c>
      <c r="M282" s="24">
        <v>1</v>
      </c>
      <c r="N282" s="24" t="s">
        <v>1052</v>
      </c>
      <c r="O282" s="24" t="s">
        <v>1269</v>
      </c>
    </row>
    <row r="283" spans="1:15">
      <c r="A283" s="24" t="s">
        <v>1127</v>
      </c>
      <c r="B283" s="24" t="s">
        <v>606</v>
      </c>
      <c r="C283" s="24" t="s">
        <v>71</v>
      </c>
      <c r="D283" s="24" t="s">
        <v>72</v>
      </c>
      <c r="E283" s="24" t="s">
        <v>1267</v>
      </c>
      <c r="F283" s="24" t="s">
        <v>1268</v>
      </c>
      <c r="G283" s="24" t="s">
        <v>1078</v>
      </c>
      <c r="H283" s="24" t="s">
        <v>1079</v>
      </c>
      <c r="I283" s="24" t="s">
        <v>1128</v>
      </c>
      <c r="J283" s="24" t="s">
        <v>1081</v>
      </c>
      <c r="K283" s="24" t="s">
        <v>1082</v>
      </c>
      <c r="L283" s="24" t="s">
        <v>1083</v>
      </c>
      <c r="M283" s="24">
        <v>1</v>
      </c>
      <c r="N283" s="24" t="s">
        <v>1052</v>
      </c>
      <c r="O283" s="24" t="s">
        <v>1269</v>
      </c>
    </row>
    <row r="284" spans="1:15">
      <c r="A284" s="24" t="s">
        <v>1129</v>
      </c>
      <c r="B284" s="24" t="s">
        <v>606</v>
      </c>
      <c r="C284" s="24" t="s">
        <v>71</v>
      </c>
      <c r="D284" s="24" t="s">
        <v>72</v>
      </c>
      <c r="E284" s="24" t="s">
        <v>1267</v>
      </c>
      <c r="F284" s="24" t="s">
        <v>1268</v>
      </c>
      <c r="G284" s="24" t="s">
        <v>1078</v>
      </c>
      <c r="H284" s="24" t="s">
        <v>1079</v>
      </c>
      <c r="I284" s="24" t="s">
        <v>1130</v>
      </c>
      <c r="J284" s="24" t="s">
        <v>1081</v>
      </c>
      <c r="K284" s="24" t="s">
        <v>1082</v>
      </c>
      <c r="L284" s="24" t="s">
        <v>1083</v>
      </c>
      <c r="M284" s="24">
        <v>1</v>
      </c>
      <c r="N284" s="24" t="s">
        <v>1052</v>
      </c>
      <c r="O284" s="24" t="s">
        <v>1269</v>
      </c>
    </row>
    <row r="285" spans="1:15">
      <c r="A285" s="24" t="s">
        <v>1131</v>
      </c>
      <c r="B285" s="24" t="s">
        <v>606</v>
      </c>
      <c r="C285" s="24" t="s">
        <v>71</v>
      </c>
      <c r="D285" s="24" t="s">
        <v>72</v>
      </c>
      <c r="E285" s="24" t="s">
        <v>1267</v>
      </c>
      <c r="F285" s="24" t="s">
        <v>1268</v>
      </c>
      <c r="G285" s="24" t="s">
        <v>1078</v>
      </c>
      <c r="H285" s="24" t="s">
        <v>1079</v>
      </c>
      <c r="I285" s="24" t="s">
        <v>1132</v>
      </c>
      <c r="J285" s="24" t="s">
        <v>1081</v>
      </c>
      <c r="K285" s="24" t="s">
        <v>1082</v>
      </c>
      <c r="L285" s="24" t="s">
        <v>1083</v>
      </c>
      <c r="M285" s="24">
        <v>1</v>
      </c>
      <c r="N285" s="24" t="s">
        <v>1052</v>
      </c>
      <c r="O285" s="24" t="s">
        <v>1269</v>
      </c>
    </row>
    <row r="286" spans="1:15">
      <c r="A286" s="24" t="s">
        <v>1133</v>
      </c>
      <c r="B286" s="24" t="s">
        <v>606</v>
      </c>
      <c r="C286" s="24" t="s">
        <v>71</v>
      </c>
      <c r="D286" s="24" t="s">
        <v>72</v>
      </c>
      <c r="E286" s="24" t="s">
        <v>1267</v>
      </c>
      <c r="F286" s="24" t="s">
        <v>1268</v>
      </c>
      <c r="G286" s="24" t="s">
        <v>1078</v>
      </c>
      <c r="H286" s="24" t="s">
        <v>1079</v>
      </c>
      <c r="I286" s="24" t="s">
        <v>1134</v>
      </c>
      <c r="J286" s="24" t="s">
        <v>1081</v>
      </c>
      <c r="K286" s="24" t="s">
        <v>1082</v>
      </c>
      <c r="L286" s="24" t="s">
        <v>1083</v>
      </c>
      <c r="M286" s="24">
        <v>1</v>
      </c>
      <c r="N286" s="24" t="s">
        <v>1052</v>
      </c>
      <c r="O286" s="24" t="s">
        <v>1269</v>
      </c>
    </row>
    <row r="287" spans="1:15">
      <c r="A287" s="24" t="s">
        <v>1127</v>
      </c>
      <c r="B287" s="24" t="s">
        <v>606</v>
      </c>
      <c r="C287" s="24" t="s">
        <v>71</v>
      </c>
      <c r="D287" s="24" t="s">
        <v>72</v>
      </c>
      <c r="E287" s="24" t="s">
        <v>1267</v>
      </c>
      <c r="F287" s="24" t="s">
        <v>1268</v>
      </c>
      <c r="G287" s="24" t="s">
        <v>1078</v>
      </c>
      <c r="H287" s="24" t="s">
        <v>1079</v>
      </c>
      <c r="I287" s="24" t="s">
        <v>1128</v>
      </c>
      <c r="J287" s="24" t="s">
        <v>1081</v>
      </c>
      <c r="K287" s="24" t="s">
        <v>1082</v>
      </c>
      <c r="L287" s="24" t="s">
        <v>1083</v>
      </c>
      <c r="M287" s="24">
        <v>1</v>
      </c>
      <c r="N287" s="24" t="s">
        <v>1052</v>
      </c>
      <c r="O287" s="24" t="s">
        <v>1269</v>
      </c>
    </row>
    <row r="288" spans="1:15">
      <c r="A288" s="24" t="s">
        <v>1129</v>
      </c>
      <c r="B288" s="24" t="s">
        <v>606</v>
      </c>
      <c r="C288" s="24" t="s">
        <v>71</v>
      </c>
      <c r="D288" s="24" t="s">
        <v>72</v>
      </c>
      <c r="E288" s="24" t="s">
        <v>1267</v>
      </c>
      <c r="F288" s="24" t="s">
        <v>1268</v>
      </c>
      <c r="G288" s="24" t="s">
        <v>1078</v>
      </c>
      <c r="H288" s="24" t="s">
        <v>1079</v>
      </c>
      <c r="I288" s="24" t="s">
        <v>1130</v>
      </c>
      <c r="J288" s="24" t="s">
        <v>1081</v>
      </c>
      <c r="K288" s="24" t="s">
        <v>1082</v>
      </c>
      <c r="L288" s="24" t="s">
        <v>1083</v>
      </c>
      <c r="M288" s="24">
        <v>1</v>
      </c>
      <c r="N288" s="24" t="s">
        <v>1052</v>
      </c>
      <c r="O288" s="24" t="s">
        <v>1269</v>
      </c>
    </row>
    <row r="289" spans="1:15">
      <c r="A289" s="24" t="s">
        <v>1131</v>
      </c>
      <c r="B289" s="24" t="s">
        <v>606</v>
      </c>
      <c r="C289" s="24" t="s">
        <v>71</v>
      </c>
      <c r="D289" s="24" t="s">
        <v>72</v>
      </c>
      <c r="E289" s="24" t="s">
        <v>1267</v>
      </c>
      <c r="F289" s="24" t="s">
        <v>1268</v>
      </c>
      <c r="G289" s="24" t="s">
        <v>1078</v>
      </c>
      <c r="H289" s="24" t="s">
        <v>1079</v>
      </c>
      <c r="I289" s="24" t="s">
        <v>1132</v>
      </c>
      <c r="J289" s="24" t="s">
        <v>1081</v>
      </c>
      <c r="K289" s="24" t="s">
        <v>1082</v>
      </c>
      <c r="L289" s="24" t="s">
        <v>1083</v>
      </c>
      <c r="M289" s="24">
        <v>1</v>
      </c>
      <c r="N289" s="24" t="s">
        <v>1052</v>
      </c>
      <c r="O289" s="24" t="s">
        <v>1269</v>
      </c>
    </row>
    <row r="290" spans="1:15">
      <c r="A290" s="24" t="s">
        <v>1133</v>
      </c>
      <c r="B290" s="24" t="s">
        <v>606</v>
      </c>
      <c r="C290" s="24" t="s">
        <v>71</v>
      </c>
      <c r="D290" s="24" t="s">
        <v>72</v>
      </c>
      <c r="E290" s="24" t="s">
        <v>1267</v>
      </c>
      <c r="F290" s="24" t="s">
        <v>1268</v>
      </c>
      <c r="G290" s="24" t="s">
        <v>1078</v>
      </c>
      <c r="H290" s="24" t="s">
        <v>1079</v>
      </c>
      <c r="I290" s="24" t="s">
        <v>1134</v>
      </c>
      <c r="J290" s="24" t="s">
        <v>1081</v>
      </c>
      <c r="K290" s="24" t="s">
        <v>1082</v>
      </c>
      <c r="L290" s="24" t="s">
        <v>1083</v>
      </c>
      <c r="M290" s="24">
        <v>1</v>
      </c>
      <c r="N290" s="24" t="s">
        <v>1052</v>
      </c>
      <c r="O290" s="24" t="s">
        <v>1269</v>
      </c>
    </row>
    <row r="291" spans="1:15">
      <c r="A291" s="24" t="s">
        <v>1135</v>
      </c>
      <c r="B291" s="24" t="s">
        <v>606</v>
      </c>
      <c r="C291" s="24" t="s">
        <v>71</v>
      </c>
      <c r="D291" s="24" t="s">
        <v>72</v>
      </c>
      <c r="E291" s="24" t="s">
        <v>1267</v>
      </c>
      <c r="F291" s="24" t="s">
        <v>1268</v>
      </c>
      <c r="G291" s="24" t="s">
        <v>1078</v>
      </c>
      <c r="H291" s="24" t="s">
        <v>1079</v>
      </c>
      <c r="I291" s="24" t="s">
        <v>1136</v>
      </c>
      <c r="J291" s="24" t="s">
        <v>1081</v>
      </c>
      <c r="K291" s="24" t="s">
        <v>1082</v>
      </c>
      <c r="L291" s="24" t="s">
        <v>1083</v>
      </c>
      <c r="M291" s="24">
        <v>1</v>
      </c>
      <c r="N291" s="24" t="s">
        <v>1052</v>
      </c>
      <c r="O291" s="24" t="s">
        <v>1269</v>
      </c>
    </row>
    <row r="292" spans="1:15">
      <c r="A292" s="24" t="s">
        <v>1186</v>
      </c>
      <c r="B292" s="24" t="s">
        <v>606</v>
      </c>
      <c r="C292" s="24" t="s">
        <v>71</v>
      </c>
      <c r="D292" s="24" t="s">
        <v>72</v>
      </c>
      <c r="E292" s="24" t="s">
        <v>1267</v>
      </c>
      <c r="F292" s="24" t="s">
        <v>1268</v>
      </c>
      <c r="G292" s="24" t="s">
        <v>1078</v>
      </c>
      <c r="H292" s="24" t="s">
        <v>1079</v>
      </c>
      <c r="I292" s="24" t="s">
        <v>1187</v>
      </c>
      <c r="J292" s="24" t="s">
        <v>1081</v>
      </c>
      <c r="K292" s="24" t="s">
        <v>1082</v>
      </c>
      <c r="L292" s="24" t="s">
        <v>1083</v>
      </c>
      <c r="M292" s="24">
        <v>1</v>
      </c>
      <c r="N292" s="24" t="s">
        <v>1052</v>
      </c>
      <c r="O292" s="24" t="s">
        <v>1269</v>
      </c>
    </row>
    <row r="293" spans="1:15">
      <c r="A293" s="24" t="s">
        <v>1141</v>
      </c>
      <c r="B293" s="24" t="s">
        <v>606</v>
      </c>
      <c r="C293" s="24" t="s">
        <v>71</v>
      </c>
      <c r="D293" s="24" t="s">
        <v>72</v>
      </c>
      <c r="E293" s="24" t="s">
        <v>1267</v>
      </c>
      <c r="F293" s="24" t="s">
        <v>1268</v>
      </c>
      <c r="G293" s="24" t="s">
        <v>1078</v>
      </c>
      <c r="H293" s="24" t="s">
        <v>1079</v>
      </c>
      <c r="I293" s="24" t="s">
        <v>1142</v>
      </c>
      <c r="J293" s="24" t="s">
        <v>1081</v>
      </c>
      <c r="K293" s="24" t="s">
        <v>1082</v>
      </c>
      <c r="L293" s="24" t="s">
        <v>1083</v>
      </c>
      <c r="M293" s="24">
        <v>1</v>
      </c>
      <c r="N293" s="24" t="s">
        <v>1052</v>
      </c>
      <c r="O293" s="24" t="s">
        <v>1269</v>
      </c>
    </row>
    <row r="294" spans="1:15">
      <c r="A294" s="24" t="s">
        <v>1135</v>
      </c>
      <c r="B294" s="24" t="s">
        <v>606</v>
      </c>
      <c r="C294" s="24" t="s">
        <v>71</v>
      </c>
      <c r="D294" s="24" t="s">
        <v>72</v>
      </c>
      <c r="E294" s="24" t="s">
        <v>1267</v>
      </c>
      <c r="F294" s="24" t="s">
        <v>1268</v>
      </c>
      <c r="G294" s="24" t="s">
        <v>1078</v>
      </c>
      <c r="H294" s="24" t="s">
        <v>1079</v>
      </c>
      <c r="I294" s="24" t="s">
        <v>1136</v>
      </c>
      <c r="J294" s="24" t="s">
        <v>1081</v>
      </c>
      <c r="K294" s="24" t="s">
        <v>1082</v>
      </c>
      <c r="L294" s="24" t="s">
        <v>1083</v>
      </c>
      <c r="M294" s="24">
        <v>1</v>
      </c>
      <c r="N294" s="24" t="s">
        <v>1052</v>
      </c>
      <c r="O294" s="24" t="s">
        <v>1269</v>
      </c>
    </row>
    <row r="295" spans="1:15">
      <c r="A295" s="24" t="s">
        <v>1186</v>
      </c>
      <c r="B295" s="24" t="s">
        <v>606</v>
      </c>
      <c r="C295" s="24" t="s">
        <v>71</v>
      </c>
      <c r="D295" s="24" t="s">
        <v>72</v>
      </c>
      <c r="E295" s="24" t="s">
        <v>1267</v>
      </c>
      <c r="F295" s="24" t="s">
        <v>1268</v>
      </c>
      <c r="G295" s="24" t="s">
        <v>1078</v>
      </c>
      <c r="H295" s="24" t="s">
        <v>1079</v>
      </c>
      <c r="I295" s="24" t="s">
        <v>1187</v>
      </c>
      <c r="J295" s="24" t="s">
        <v>1081</v>
      </c>
      <c r="K295" s="24" t="s">
        <v>1082</v>
      </c>
      <c r="L295" s="24" t="s">
        <v>1083</v>
      </c>
      <c r="M295" s="24">
        <v>1</v>
      </c>
      <c r="N295" s="24" t="s">
        <v>1052</v>
      </c>
      <c r="O295" s="24" t="s">
        <v>1269</v>
      </c>
    </row>
    <row r="296" spans="1:15">
      <c r="A296" s="24" t="s">
        <v>1141</v>
      </c>
      <c r="B296" s="24" t="s">
        <v>606</v>
      </c>
      <c r="C296" s="24" t="s">
        <v>71</v>
      </c>
      <c r="D296" s="24" t="s">
        <v>72</v>
      </c>
      <c r="E296" s="24" t="s">
        <v>1267</v>
      </c>
      <c r="F296" s="24" t="s">
        <v>1268</v>
      </c>
      <c r="G296" s="24" t="s">
        <v>1078</v>
      </c>
      <c r="H296" s="24" t="s">
        <v>1079</v>
      </c>
      <c r="I296" s="24" t="s">
        <v>1142</v>
      </c>
      <c r="J296" s="24" t="s">
        <v>1081</v>
      </c>
      <c r="K296" s="24" t="s">
        <v>1082</v>
      </c>
      <c r="L296" s="24" t="s">
        <v>1083</v>
      </c>
      <c r="M296" s="24">
        <v>1</v>
      </c>
      <c r="N296" s="24" t="s">
        <v>1052</v>
      </c>
      <c r="O296" s="24" t="s">
        <v>1269</v>
      </c>
    </row>
    <row r="297" spans="1:15">
      <c r="A297" s="24" t="s">
        <v>1149</v>
      </c>
      <c r="B297" s="24" t="s">
        <v>606</v>
      </c>
      <c r="C297" s="24" t="s">
        <v>71</v>
      </c>
      <c r="D297" s="24" t="s">
        <v>72</v>
      </c>
      <c r="E297" s="24" t="s">
        <v>1267</v>
      </c>
      <c r="F297" s="24" t="s">
        <v>1268</v>
      </c>
      <c r="G297" s="24" t="s">
        <v>1078</v>
      </c>
      <c r="H297" s="24" t="s">
        <v>1079</v>
      </c>
      <c r="I297" s="24" t="s">
        <v>1150</v>
      </c>
      <c r="J297" s="24" t="s">
        <v>1081</v>
      </c>
      <c r="K297" s="24" t="s">
        <v>1082</v>
      </c>
      <c r="L297" s="24" t="s">
        <v>1083</v>
      </c>
      <c r="M297" s="24">
        <v>1</v>
      </c>
      <c r="N297" s="24" t="s">
        <v>1052</v>
      </c>
      <c r="O297" s="24" t="s">
        <v>1269</v>
      </c>
    </row>
    <row r="298" spans="1:15">
      <c r="A298" s="24" t="s">
        <v>1222</v>
      </c>
      <c r="B298" s="24" t="s">
        <v>606</v>
      </c>
      <c r="C298" s="24" t="s">
        <v>71</v>
      </c>
      <c r="D298" s="24" t="s">
        <v>72</v>
      </c>
      <c r="E298" s="24" t="s">
        <v>1267</v>
      </c>
      <c r="F298" s="24" t="s">
        <v>1268</v>
      </c>
      <c r="G298" s="24" t="s">
        <v>1078</v>
      </c>
      <c r="H298" s="24" t="s">
        <v>1079</v>
      </c>
      <c r="I298" s="24" t="s">
        <v>1223</v>
      </c>
      <c r="J298" s="24" t="s">
        <v>1081</v>
      </c>
      <c r="K298" s="24" t="s">
        <v>1082</v>
      </c>
      <c r="L298" s="24" t="s">
        <v>1083</v>
      </c>
      <c r="M298" s="24">
        <v>1</v>
      </c>
      <c r="N298" s="24" t="s">
        <v>1052</v>
      </c>
      <c r="O298" s="24" t="s">
        <v>1269</v>
      </c>
    </row>
    <row r="299" spans="1:15">
      <c r="A299" s="24" t="s">
        <v>1149</v>
      </c>
      <c r="B299" s="24" t="s">
        <v>606</v>
      </c>
      <c r="C299" s="24" t="s">
        <v>71</v>
      </c>
      <c r="D299" s="24" t="s">
        <v>72</v>
      </c>
      <c r="E299" s="24" t="s">
        <v>1267</v>
      </c>
      <c r="F299" s="24" t="s">
        <v>1268</v>
      </c>
      <c r="G299" s="24" t="s">
        <v>1078</v>
      </c>
      <c r="H299" s="24" t="s">
        <v>1079</v>
      </c>
      <c r="I299" s="24" t="s">
        <v>1150</v>
      </c>
      <c r="J299" s="24" t="s">
        <v>1081</v>
      </c>
      <c r="K299" s="24" t="s">
        <v>1082</v>
      </c>
      <c r="L299" s="24" t="s">
        <v>1083</v>
      </c>
      <c r="M299" s="24">
        <v>1</v>
      </c>
      <c r="N299" s="24" t="s">
        <v>1052</v>
      </c>
      <c r="O299" s="24" t="s">
        <v>1269</v>
      </c>
    </row>
    <row r="300" spans="1:15">
      <c r="A300" s="24" t="s">
        <v>1222</v>
      </c>
      <c r="B300" s="24" t="s">
        <v>606</v>
      </c>
      <c r="C300" s="24" t="s">
        <v>71</v>
      </c>
      <c r="D300" s="24" t="s">
        <v>72</v>
      </c>
      <c r="E300" s="24" t="s">
        <v>1267</v>
      </c>
      <c r="F300" s="24" t="s">
        <v>1268</v>
      </c>
      <c r="G300" s="24" t="s">
        <v>1078</v>
      </c>
      <c r="H300" s="24" t="s">
        <v>1079</v>
      </c>
      <c r="I300" s="24" t="s">
        <v>1223</v>
      </c>
      <c r="J300" s="24" t="s">
        <v>1081</v>
      </c>
      <c r="K300" s="24" t="s">
        <v>1082</v>
      </c>
      <c r="L300" s="24" t="s">
        <v>1083</v>
      </c>
      <c r="M300" s="24">
        <v>1</v>
      </c>
      <c r="N300" s="24" t="s">
        <v>1052</v>
      </c>
      <c r="O300" s="24" t="s">
        <v>1269</v>
      </c>
    </row>
    <row r="301" spans="1:15">
      <c r="A301" s="24" t="s">
        <v>1155</v>
      </c>
      <c r="B301" s="24" t="s">
        <v>606</v>
      </c>
      <c r="C301" s="24" t="s">
        <v>71</v>
      </c>
      <c r="D301" s="24" t="s">
        <v>72</v>
      </c>
      <c r="E301" s="24" t="s">
        <v>1267</v>
      </c>
      <c r="F301" s="24" t="s">
        <v>1268</v>
      </c>
      <c r="G301" s="24" t="s">
        <v>1078</v>
      </c>
      <c r="H301" s="24" t="s">
        <v>1079</v>
      </c>
      <c r="I301" s="24" t="s">
        <v>1156</v>
      </c>
      <c r="J301" s="24" t="s">
        <v>1081</v>
      </c>
      <c r="K301" s="24" t="s">
        <v>1082</v>
      </c>
      <c r="L301" s="24" t="s">
        <v>1083</v>
      </c>
      <c r="M301" s="24">
        <v>1</v>
      </c>
      <c r="N301" s="24" t="s">
        <v>1052</v>
      </c>
      <c r="O301" s="24" t="s">
        <v>1269</v>
      </c>
    </row>
    <row r="302" spans="1:15">
      <c r="A302" s="24" t="s">
        <v>1155</v>
      </c>
      <c r="B302" s="24" t="s">
        <v>606</v>
      </c>
      <c r="C302" s="24" t="s">
        <v>71</v>
      </c>
      <c r="D302" s="24" t="s">
        <v>72</v>
      </c>
      <c r="E302" s="24" t="s">
        <v>1267</v>
      </c>
      <c r="F302" s="24" t="s">
        <v>1268</v>
      </c>
      <c r="G302" s="24" t="s">
        <v>1078</v>
      </c>
      <c r="H302" s="24" t="s">
        <v>1079</v>
      </c>
      <c r="I302" s="24" t="s">
        <v>1156</v>
      </c>
      <c r="J302" s="24" t="s">
        <v>1081</v>
      </c>
      <c r="K302" s="24" t="s">
        <v>1082</v>
      </c>
      <c r="L302" s="24" t="s">
        <v>1083</v>
      </c>
      <c r="M302" s="24">
        <v>1</v>
      </c>
      <c r="N302" s="24" t="s">
        <v>1052</v>
      </c>
      <c r="O302" s="24" t="s">
        <v>1269</v>
      </c>
    </row>
    <row r="303" spans="1:15">
      <c r="A303" s="24" t="s">
        <v>1158</v>
      </c>
      <c r="B303" s="24" t="s">
        <v>606</v>
      </c>
      <c r="C303" s="24" t="s">
        <v>71</v>
      </c>
      <c r="D303" s="24" t="s">
        <v>72</v>
      </c>
      <c r="E303" s="24" t="s">
        <v>1267</v>
      </c>
      <c r="F303" s="24" t="s">
        <v>1268</v>
      </c>
      <c r="G303" s="24" t="s">
        <v>1078</v>
      </c>
      <c r="H303" s="24" t="s">
        <v>1079</v>
      </c>
      <c r="I303" s="24" t="s">
        <v>1159</v>
      </c>
      <c r="J303" s="24" t="s">
        <v>1081</v>
      </c>
      <c r="K303" s="24" t="s">
        <v>1082</v>
      </c>
      <c r="L303" s="24" t="s">
        <v>1083</v>
      </c>
      <c r="M303" s="24">
        <v>1</v>
      </c>
      <c r="N303" s="24" t="s">
        <v>1052</v>
      </c>
      <c r="O303" s="24" t="s">
        <v>1269</v>
      </c>
    </row>
    <row r="304" spans="1:15">
      <c r="A304" s="24" t="s">
        <v>1164</v>
      </c>
      <c r="B304" s="24" t="s">
        <v>606</v>
      </c>
      <c r="C304" s="24" t="s">
        <v>71</v>
      </c>
      <c r="D304" s="24" t="s">
        <v>72</v>
      </c>
      <c r="E304" s="24" t="s">
        <v>1267</v>
      </c>
      <c r="F304" s="24" t="s">
        <v>1268</v>
      </c>
      <c r="G304" s="24" t="s">
        <v>1078</v>
      </c>
      <c r="H304" s="24" t="s">
        <v>1079</v>
      </c>
      <c r="I304" s="24" t="s">
        <v>1122</v>
      </c>
      <c r="J304" s="24" t="s">
        <v>1081</v>
      </c>
      <c r="K304" s="24" t="s">
        <v>1082</v>
      </c>
      <c r="L304" s="24" t="s">
        <v>1083</v>
      </c>
      <c r="M304" s="24">
        <v>1</v>
      </c>
      <c r="N304" s="24" t="s">
        <v>1052</v>
      </c>
      <c r="O304" s="24" t="s">
        <v>1269</v>
      </c>
    </row>
    <row r="305" spans="1:15">
      <c r="A305" s="24" t="s">
        <v>1165</v>
      </c>
      <c r="B305" s="24" t="s">
        <v>606</v>
      </c>
      <c r="C305" s="24" t="s">
        <v>71</v>
      </c>
      <c r="D305" s="24" t="s">
        <v>72</v>
      </c>
      <c r="E305" s="24" t="s">
        <v>1267</v>
      </c>
      <c r="F305" s="24" t="s">
        <v>1268</v>
      </c>
      <c r="G305" s="24" t="s">
        <v>1078</v>
      </c>
      <c r="H305" s="24" t="s">
        <v>1079</v>
      </c>
      <c r="I305" s="24" t="s">
        <v>1166</v>
      </c>
      <c r="J305" s="24" t="s">
        <v>1081</v>
      </c>
      <c r="K305" s="24" t="s">
        <v>1082</v>
      </c>
      <c r="L305" s="24" t="s">
        <v>1083</v>
      </c>
      <c r="M305" s="24">
        <v>1</v>
      </c>
      <c r="N305" s="24" t="s">
        <v>1052</v>
      </c>
      <c r="O305" s="24" t="s">
        <v>1269</v>
      </c>
    </row>
    <row r="306" spans="1:15">
      <c r="A306" s="24" t="s">
        <v>1167</v>
      </c>
      <c r="B306" s="24" t="s">
        <v>606</v>
      </c>
      <c r="C306" s="24" t="s">
        <v>71</v>
      </c>
      <c r="D306" s="24" t="s">
        <v>72</v>
      </c>
      <c r="E306" s="24" t="s">
        <v>1267</v>
      </c>
      <c r="F306" s="24" t="s">
        <v>1268</v>
      </c>
      <c r="G306" s="24" t="s">
        <v>1078</v>
      </c>
      <c r="H306" s="24" t="s">
        <v>1079</v>
      </c>
      <c r="I306" s="24" t="s">
        <v>1168</v>
      </c>
      <c r="J306" s="24" t="s">
        <v>1081</v>
      </c>
      <c r="K306" s="24" t="s">
        <v>1082</v>
      </c>
      <c r="L306" s="24" t="s">
        <v>1083</v>
      </c>
      <c r="M306" s="24">
        <v>1</v>
      </c>
      <c r="N306" s="24" t="s">
        <v>1052</v>
      </c>
      <c r="O306" s="24" t="s">
        <v>1269</v>
      </c>
    </row>
    <row r="307" spans="1:15">
      <c r="A307" s="24" t="s">
        <v>1158</v>
      </c>
      <c r="B307" s="24" t="s">
        <v>606</v>
      </c>
      <c r="C307" s="24" t="s">
        <v>71</v>
      </c>
      <c r="D307" s="24" t="s">
        <v>72</v>
      </c>
      <c r="E307" s="24" t="s">
        <v>1267</v>
      </c>
      <c r="F307" s="24" t="s">
        <v>1268</v>
      </c>
      <c r="G307" s="24" t="s">
        <v>1078</v>
      </c>
      <c r="H307" s="24" t="s">
        <v>1079</v>
      </c>
      <c r="I307" s="24" t="s">
        <v>1159</v>
      </c>
      <c r="J307" s="24" t="s">
        <v>1081</v>
      </c>
      <c r="K307" s="24" t="s">
        <v>1082</v>
      </c>
      <c r="L307" s="24" t="s">
        <v>1083</v>
      </c>
      <c r="M307" s="24">
        <v>1</v>
      </c>
      <c r="N307" s="24" t="s">
        <v>1052</v>
      </c>
      <c r="O307" s="24" t="s">
        <v>1269</v>
      </c>
    </row>
    <row r="308" spans="1:15">
      <c r="A308" s="24" t="s">
        <v>1164</v>
      </c>
      <c r="B308" s="24" t="s">
        <v>606</v>
      </c>
      <c r="C308" s="24" t="s">
        <v>71</v>
      </c>
      <c r="D308" s="24" t="s">
        <v>72</v>
      </c>
      <c r="E308" s="24" t="s">
        <v>1267</v>
      </c>
      <c r="F308" s="24" t="s">
        <v>1268</v>
      </c>
      <c r="G308" s="24" t="s">
        <v>1078</v>
      </c>
      <c r="H308" s="24" t="s">
        <v>1079</v>
      </c>
      <c r="I308" s="24" t="s">
        <v>1122</v>
      </c>
      <c r="J308" s="24" t="s">
        <v>1081</v>
      </c>
      <c r="K308" s="24" t="s">
        <v>1082</v>
      </c>
      <c r="L308" s="24" t="s">
        <v>1083</v>
      </c>
      <c r="M308" s="24">
        <v>1</v>
      </c>
      <c r="N308" s="24" t="s">
        <v>1052</v>
      </c>
      <c r="O308" s="24" t="s">
        <v>1269</v>
      </c>
    </row>
    <row r="309" spans="1:15">
      <c r="A309" s="24" t="s">
        <v>1165</v>
      </c>
      <c r="B309" s="24" t="s">
        <v>606</v>
      </c>
      <c r="C309" s="24" t="s">
        <v>71</v>
      </c>
      <c r="D309" s="24" t="s">
        <v>72</v>
      </c>
      <c r="E309" s="24" t="s">
        <v>1267</v>
      </c>
      <c r="F309" s="24" t="s">
        <v>1268</v>
      </c>
      <c r="G309" s="24" t="s">
        <v>1078</v>
      </c>
      <c r="H309" s="24" t="s">
        <v>1079</v>
      </c>
      <c r="I309" s="24" t="s">
        <v>1166</v>
      </c>
      <c r="J309" s="24" t="s">
        <v>1081</v>
      </c>
      <c r="K309" s="24" t="s">
        <v>1082</v>
      </c>
      <c r="L309" s="24" t="s">
        <v>1083</v>
      </c>
      <c r="M309" s="24">
        <v>1</v>
      </c>
      <c r="N309" s="24" t="s">
        <v>1052</v>
      </c>
      <c r="O309" s="24" t="s">
        <v>1269</v>
      </c>
    </row>
    <row r="310" spans="1:15">
      <c r="A310" s="24" t="s">
        <v>1167</v>
      </c>
      <c r="B310" s="24" t="s">
        <v>606</v>
      </c>
      <c r="C310" s="24" t="s">
        <v>71</v>
      </c>
      <c r="D310" s="24" t="s">
        <v>72</v>
      </c>
      <c r="E310" s="24" t="s">
        <v>1267</v>
      </c>
      <c r="F310" s="24" t="s">
        <v>1268</v>
      </c>
      <c r="G310" s="24" t="s">
        <v>1078</v>
      </c>
      <c r="H310" s="24" t="s">
        <v>1079</v>
      </c>
      <c r="I310" s="24" t="s">
        <v>1168</v>
      </c>
      <c r="J310" s="24" t="s">
        <v>1081</v>
      </c>
      <c r="K310" s="24" t="s">
        <v>1082</v>
      </c>
      <c r="L310" s="24" t="s">
        <v>1083</v>
      </c>
      <c r="M310" s="24">
        <v>1</v>
      </c>
      <c r="N310" s="24" t="s">
        <v>1052</v>
      </c>
      <c r="O310" s="24" t="s">
        <v>1269</v>
      </c>
    </row>
    <row r="311" spans="1:15">
      <c r="A311" s="24" t="s">
        <v>1169</v>
      </c>
      <c r="B311" s="24" t="s">
        <v>606</v>
      </c>
      <c r="C311" s="24" t="s">
        <v>71</v>
      </c>
      <c r="D311" s="24" t="s">
        <v>72</v>
      </c>
      <c r="E311" s="24" t="s">
        <v>1267</v>
      </c>
      <c r="F311" s="24" t="s">
        <v>1268</v>
      </c>
      <c r="G311" s="24" t="s">
        <v>1078</v>
      </c>
      <c r="H311" s="24" t="s">
        <v>1079</v>
      </c>
      <c r="I311" s="24" t="s">
        <v>1122</v>
      </c>
      <c r="J311" s="24" t="s">
        <v>1081</v>
      </c>
      <c r="K311" s="24" t="s">
        <v>1082</v>
      </c>
      <c r="L311" s="24" t="s">
        <v>1083</v>
      </c>
      <c r="M311" s="24">
        <v>1</v>
      </c>
      <c r="N311" s="24" t="s">
        <v>1052</v>
      </c>
      <c r="O311" s="24" t="s">
        <v>1269</v>
      </c>
    </row>
    <row r="312" spans="1:15">
      <c r="A312" s="24" t="s">
        <v>1170</v>
      </c>
      <c r="B312" s="24" t="s">
        <v>606</v>
      </c>
      <c r="C312" s="24" t="s">
        <v>71</v>
      </c>
      <c r="D312" s="24" t="s">
        <v>72</v>
      </c>
      <c r="E312" s="24" t="s">
        <v>1267</v>
      </c>
      <c r="F312" s="24" t="s">
        <v>1268</v>
      </c>
      <c r="G312" s="24" t="s">
        <v>1078</v>
      </c>
      <c r="H312" s="24" t="s">
        <v>1079</v>
      </c>
      <c r="I312" s="24" t="s">
        <v>1124</v>
      </c>
      <c r="J312" s="24" t="s">
        <v>1081</v>
      </c>
      <c r="K312" s="24" t="s">
        <v>1082</v>
      </c>
      <c r="L312" s="24" t="s">
        <v>1083</v>
      </c>
      <c r="M312" s="24">
        <v>1</v>
      </c>
      <c r="N312" s="24" t="s">
        <v>1052</v>
      </c>
      <c r="O312" s="24" t="s">
        <v>1269</v>
      </c>
    </row>
    <row r="313" spans="1:15">
      <c r="A313" s="24" t="s">
        <v>1169</v>
      </c>
      <c r="B313" s="24" t="s">
        <v>606</v>
      </c>
      <c r="C313" s="24" t="s">
        <v>71</v>
      </c>
      <c r="D313" s="24" t="s">
        <v>72</v>
      </c>
      <c r="E313" s="24" t="s">
        <v>1267</v>
      </c>
      <c r="F313" s="24" t="s">
        <v>1268</v>
      </c>
      <c r="G313" s="24" t="s">
        <v>1078</v>
      </c>
      <c r="H313" s="24" t="s">
        <v>1079</v>
      </c>
      <c r="I313" s="24" t="s">
        <v>1122</v>
      </c>
      <c r="J313" s="24" t="s">
        <v>1081</v>
      </c>
      <c r="K313" s="24" t="s">
        <v>1082</v>
      </c>
      <c r="L313" s="24" t="s">
        <v>1083</v>
      </c>
      <c r="M313" s="24">
        <v>1</v>
      </c>
      <c r="N313" s="24" t="s">
        <v>1052</v>
      </c>
      <c r="O313" s="24" t="s">
        <v>1269</v>
      </c>
    </row>
    <row r="314" spans="1:15">
      <c r="A314" s="24" t="s">
        <v>1170</v>
      </c>
      <c r="B314" s="24" t="s">
        <v>606</v>
      </c>
      <c r="C314" s="24" t="s">
        <v>71</v>
      </c>
      <c r="D314" s="24" t="s">
        <v>72</v>
      </c>
      <c r="E314" s="24" t="s">
        <v>1267</v>
      </c>
      <c r="F314" s="24" t="s">
        <v>1268</v>
      </c>
      <c r="G314" s="24" t="s">
        <v>1078</v>
      </c>
      <c r="H314" s="24" t="s">
        <v>1079</v>
      </c>
      <c r="I314" s="24" t="s">
        <v>1124</v>
      </c>
      <c r="J314" s="24" t="s">
        <v>1081</v>
      </c>
      <c r="K314" s="24" t="s">
        <v>1082</v>
      </c>
      <c r="L314" s="24" t="s">
        <v>1083</v>
      </c>
      <c r="M314" s="24">
        <v>1</v>
      </c>
      <c r="N314" s="24" t="s">
        <v>1052</v>
      </c>
      <c r="O314" s="24" t="s">
        <v>1269</v>
      </c>
    </row>
    <row r="315" spans="1:15">
      <c r="A315" s="24" t="s">
        <v>1171</v>
      </c>
      <c r="B315" s="24" t="s">
        <v>606</v>
      </c>
      <c r="C315" s="24" t="s">
        <v>71</v>
      </c>
      <c r="D315" s="24" t="s">
        <v>72</v>
      </c>
      <c r="E315" s="24" t="s">
        <v>1267</v>
      </c>
      <c r="F315" s="24" t="s">
        <v>1268</v>
      </c>
      <c r="G315" s="24" t="s">
        <v>1078</v>
      </c>
      <c r="H315" s="24" t="s">
        <v>1079</v>
      </c>
      <c r="I315" s="24" t="s">
        <v>1172</v>
      </c>
      <c r="J315" s="24" t="s">
        <v>1081</v>
      </c>
      <c r="K315" s="24" t="s">
        <v>1082</v>
      </c>
      <c r="L315" s="24" t="s">
        <v>1083</v>
      </c>
      <c r="M315" s="24">
        <v>1</v>
      </c>
      <c r="N315" s="24" t="s">
        <v>1052</v>
      </c>
      <c r="O315" s="24" t="s">
        <v>1269</v>
      </c>
    </row>
    <row r="316" spans="1:15">
      <c r="A316" s="24" t="s">
        <v>1173</v>
      </c>
      <c r="B316" s="24" t="s">
        <v>606</v>
      </c>
      <c r="C316" s="24" t="s">
        <v>71</v>
      </c>
      <c r="D316" s="24" t="s">
        <v>72</v>
      </c>
      <c r="E316" s="24" t="s">
        <v>1267</v>
      </c>
      <c r="F316" s="24" t="s">
        <v>1268</v>
      </c>
      <c r="G316" s="24" t="s">
        <v>1078</v>
      </c>
      <c r="H316" s="24" t="s">
        <v>1079</v>
      </c>
      <c r="I316" s="24" t="s">
        <v>1124</v>
      </c>
      <c r="J316" s="24" t="s">
        <v>1081</v>
      </c>
      <c r="K316" s="24" t="s">
        <v>1082</v>
      </c>
      <c r="L316" s="24" t="s">
        <v>1083</v>
      </c>
      <c r="M316" s="24">
        <v>1</v>
      </c>
      <c r="N316" s="24" t="s">
        <v>1052</v>
      </c>
      <c r="O316" s="24" t="s">
        <v>1269</v>
      </c>
    </row>
    <row r="317" spans="1:15">
      <c r="A317" s="24" t="s">
        <v>1174</v>
      </c>
      <c r="B317" s="24" t="s">
        <v>606</v>
      </c>
      <c r="C317" s="24" t="s">
        <v>71</v>
      </c>
      <c r="D317" s="24" t="s">
        <v>72</v>
      </c>
      <c r="E317" s="24" t="s">
        <v>1267</v>
      </c>
      <c r="F317" s="24" t="s">
        <v>1268</v>
      </c>
      <c r="G317" s="24" t="s">
        <v>1078</v>
      </c>
      <c r="H317" s="24" t="s">
        <v>1079</v>
      </c>
      <c r="I317" s="24" t="s">
        <v>1126</v>
      </c>
      <c r="J317" s="24" t="s">
        <v>1081</v>
      </c>
      <c r="K317" s="24" t="s">
        <v>1082</v>
      </c>
      <c r="L317" s="24" t="s">
        <v>1083</v>
      </c>
      <c r="M317" s="24">
        <v>1</v>
      </c>
      <c r="N317" s="24" t="s">
        <v>1052</v>
      </c>
      <c r="O317" s="24" t="s">
        <v>1269</v>
      </c>
    </row>
    <row r="318" spans="1:15">
      <c r="A318" s="24" t="s">
        <v>1171</v>
      </c>
      <c r="B318" s="24" t="s">
        <v>606</v>
      </c>
      <c r="C318" s="24" t="s">
        <v>71</v>
      </c>
      <c r="D318" s="24" t="s">
        <v>72</v>
      </c>
      <c r="E318" s="24" t="s">
        <v>1267</v>
      </c>
      <c r="F318" s="24" t="s">
        <v>1268</v>
      </c>
      <c r="G318" s="24" t="s">
        <v>1078</v>
      </c>
      <c r="H318" s="24" t="s">
        <v>1079</v>
      </c>
      <c r="I318" s="24" t="s">
        <v>1172</v>
      </c>
      <c r="J318" s="24" t="s">
        <v>1081</v>
      </c>
      <c r="K318" s="24" t="s">
        <v>1082</v>
      </c>
      <c r="L318" s="24" t="s">
        <v>1083</v>
      </c>
      <c r="M318" s="24">
        <v>1</v>
      </c>
      <c r="N318" s="24" t="s">
        <v>1052</v>
      </c>
      <c r="O318" s="24" t="s">
        <v>1269</v>
      </c>
    </row>
    <row r="319" spans="1:15">
      <c r="A319" s="24" t="s">
        <v>1173</v>
      </c>
      <c r="B319" s="24" t="s">
        <v>606</v>
      </c>
      <c r="C319" s="24" t="s">
        <v>71</v>
      </c>
      <c r="D319" s="24" t="s">
        <v>72</v>
      </c>
      <c r="E319" s="24" t="s">
        <v>1267</v>
      </c>
      <c r="F319" s="24" t="s">
        <v>1268</v>
      </c>
      <c r="G319" s="24" t="s">
        <v>1078</v>
      </c>
      <c r="H319" s="24" t="s">
        <v>1079</v>
      </c>
      <c r="I319" s="24" t="s">
        <v>1124</v>
      </c>
      <c r="J319" s="24" t="s">
        <v>1081</v>
      </c>
      <c r="K319" s="24" t="s">
        <v>1082</v>
      </c>
      <c r="L319" s="24" t="s">
        <v>1083</v>
      </c>
      <c r="M319" s="24">
        <v>1</v>
      </c>
      <c r="N319" s="24" t="s">
        <v>1052</v>
      </c>
      <c r="O319" s="24" t="s">
        <v>1269</v>
      </c>
    </row>
    <row r="320" spans="1:15">
      <c r="A320" s="24" t="s">
        <v>1174</v>
      </c>
      <c r="B320" s="24" t="s">
        <v>606</v>
      </c>
      <c r="C320" s="24" t="s">
        <v>71</v>
      </c>
      <c r="D320" s="24" t="s">
        <v>72</v>
      </c>
      <c r="E320" s="24" t="s">
        <v>1267</v>
      </c>
      <c r="F320" s="24" t="s">
        <v>1268</v>
      </c>
      <c r="G320" s="24" t="s">
        <v>1078</v>
      </c>
      <c r="H320" s="24" t="s">
        <v>1079</v>
      </c>
      <c r="I320" s="24" t="s">
        <v>1126</v>
      </c>
      <c r="J320" s="24" t="s">
        <v>1081</v>
      </c>
      <c r="K320" s="24" t="s">
        <v>1082</v>
      </c>
      <c r="L320" s="24" t="s">
        <v>1083</v>
      </c>
      <c r="M320" s="24">
        <v>1</v>
      </c>
      <c r="N320" s="24" t="s">
        <v>1052</v>
      </c>
      <c r="O320" s="24" t="s">
        <v>1269</v>
      </c>
    </row>
    <row r="321" spans="1:15">
      <c r="A321" s="24" t="s">
        <v>1175</v>
      </c>
      <c r="B321" s="24" t="s">
        <v>606</v>
      </c>
      <c r="C321" s="24" t="s">
        <v>71</v>
      </c>
      <c r="D321" s="24" t="s">
        <v>72</v>
      </c>
      <c r="E321" s="24" t="s">
        <v>1267</v>
      </c>
      <c r="F321" s="24" t="s">
        <v>1268</v>
      </c>
      <c r="G321" s="24" t="s">
        <v>1078</v>
      </c>
      <c r="H321" s="24" t="s">
        <v>1079</v>
      </c>
      <c r="I321" s="24" t="s">
        <v>1176</v>
      </c>
      <c r="J321" s="24" t="s">
        <v>1081</v>
      </c>
      <c r="K321" s="24" t="s">
        <v>1082</v>
      </c>
      <c r="L321" s="24" t="s">
        <v>1083</v>
      </c>
      <c r="M321" s="24">
        <v>1</v>
      </c>
      <c r="N321" s="24" t="s">
        <v>1052</v>
      </c>
      <c r="O321" s="24" t="s">
        <v>1269</v>
      </c>
    </row>
    <row r="322" spans="1:15">
      <c r="A322" s="24" t="s">
        <v>1175</v>
      </c>
      <c r="B322" s="24" t="s">
        <v>606</v>
      </c>
      <c r="C322" s="24" t="s">
        <v>71</v>
      </c>
      <c r="D322" s="24" t="s">
        <v>72</v>
      </c>
      <c r="E322" s="24" t="s">
        <v>1267</v>
      </c>
      <c r="F322" s="24" t="s">
        <v>1268</v>
      </c>
      <c r="G322" s="24" t="s">
        <v>1078</v>
      </c>
      <c r="H322" s="24" t="s">
        <v>1079</v>
      </c>
      <c r="I322" s="24" t="s">
        <v>1176</v>
      </c>
      <c r="J322" s="24" t="s">
        <v>1081</v>
      </c>
      <c r="K322" s="24" t="s">
        <v>1082</v>
      </c>
      <c r="L322" s="24" t="s">
        <v>1083</v>
      </c>
      <c r="M322" s="24">
        <v>1</v>
      </c>
      <c r="N322" s="24" t="s">
        <v>1052</v>
      </c>
      <c r="O322" s="24" t="s">
        <v>1269</v>
      </c>
    </row>
    <row r="323" spans="1:15">
      <c r="A323" s="24" t="s">
        <v>1177</v>
      </c>
      <c r="B323" s="24" t="s">
        <v>606</v>
      </c>
      <c r="C323" s="24" t="s">
        <v>71</v>
      </c>
      <c r="D323" s="24" t="s">
        <v>72</v>
      </c>
      <c r="E323" s="24" t="s">
        <v>1267</v>
      </c>
      <c r="F323" s="24" t="s">
        <v>1268</v>
      </c>
      <c r="G323" s="24" t="s">
        <v>1078</v>
      </c>
      <c r="H323" s="24" t="s">
        <v>1079</v>
      </c>
      <c r="I323" s="24" t="s">
        <v>1126</v>
      </c>
      <c r="J323" s="24" t="s">
        <v>1081</v>
      </c>
      <c r="K323" s="24" t="s">
        <v>1082</v>
      </c>
      <c r="L323" s="24" t="s">
        <v>1083</v>
      </c>
      <c r="M323" s="24">
        <v>1</v>
      </c>
      <c r="N323" s="24" t="s">
        <v>1052</v>
      </c>
      <c r="O323" s="24" t="s">
        <v>1269</v>
      </c>
    </row>
    <row r="324" spans="1:15">
      <c r="A324" s="24" t="s">
        <v>1177</v>
      </c>
      <c r="B324" s="24" t="s">
        <v>606</v>
      </c>
      <c r="C324" s="24" t="s">
        <v>71</v>
      </c>
      <c r="D324" s="24" t="s">
        <v>72</v>
      </c>
      <c r="E324" s="24" t="s">
        <v>1267</v>
      </c>
      <c r="F324" s="24" t="s">
        <v>1268</v>
      </c>
      <c r="G324" s="24" t="s">
        <v>1078</v>
      </c>
      <c r="H324" s="24" t="s">
        <v>1079</v>
      </c>
      <c r="I324" s="24" t="s">
        <v>1126</v>
      </c>
      <c r="J324" s="24" t="s">
        <v>1081</v>
      </c>
      <c r="K324" s="24" t="s">
        <v>1082</v>
      </c>
      <c r="L324" s="24" t="s">
        <v>1083</v>
      </c>
      <c r="M324" s="24">
        <v>1</v>
      </c>
      <c r="N324" s="24" t="s">
        <v>1052</v>
      </c>
      <c r="O324" s="24" t="s">
        <v>1269</v>
      </c>
    </row>
    <row r="325" spans="1:15">
      <c r="A325" s="24" t="s">
        <v>1178</v>
      </c>
      <c r="B325" s="24" t="s">
        <v>606</v>
      </c>
      <c r="C325" s="24" t="s">
        <v>71</v>
      </c>
      <c r="D325" s="24" t="s">
        <v>72</v>
      </c>
      <c r="E325" s="24" t="s">
        <v>1267</v>
      </c>
      <c r="F325" s="24" t="s">
        <v>1268</v>
      </c>
      <c r="G325" s="24" t="s">
        <v>1078</v>
      </c>
      <c r="H325" s="24" t="s">
        <v>1079</v>
      </c>
      <c r="I325" s="24" t="s">
        <v>1122</v>
      </c>
      <c r="J325" s="24" t="s">
        <v>1081</v>
      </c>
      <c r="K325" s="24" t="s">
        <v>1082</v>
      </c>
      <c r="L325" s="24" t="s">
        <v>1083</v>
      </c>
      <c r="M325" s="24">
        <v>1</v>
      </c>
      <c r="N325" s="24" t="s">
        <v>1052</v>
      </c>
      <c r="O325" s="24" t="s">
        <v>1269</v>
      </c>
    </row>
    <row r="326" spans="1:15">
      <c r="A326" s="24" t="s">
        <v>1179</v>
      </c>
      <c r="B326" s="24" t="s">
        <v>606</v>
      </c>
      <c r="C326" s="24" t="s">
        <v>71</v>
      </c>
      <c r="D326" s="24" t="s">
        <v>72</v>
      </c>
      <c r="E326" s="24" t="s">
        <v>1267</v>
      </c>
      <c r="F326" s="24" t="s">
        <v>1268</v>
      </c>
      <c r="G326" s="24" t="s">
        <v>1078</v>
      </c>
      <c r="H326" s="24" t="s">
        <v>1079</v>
      </c>
      <c r="I326" s="24" t="s">
        <v>1124</v>
      </c>
      <c r="J326" s="24" t="s">
        <v>1081</v>
      </c>
      <c r="K326" s="24" t="s">
        <v>1082</v>
      </c>
      <c r="L326" s="24" t="s">
        <v>1083</v>
      </c>
      <c r="M326" s="24">
        <v>1</v>
      </c>
      <c r="N326" s="24" t="s">
        <v>1052</v>
      </c>
      <c r="O326" s="24" t="s">
        <v>1269</v>
      </c>
    </row>
    <row r="327" spans="1:15">
      <c r="A327" s="24" t="s">
        <v>1178</v>
      </c>
      <c r="B327" s="24" t="s">
        <v>606</v>
      </c>
      <c r="C327" s="24" t="s">
        <v>71</v>
      </c>
      <c r="D327" s="24" t="s">
        <v>72</v>
      </c>
      <c r="E327" s="24" t="s">
        <v>1267</v>
      </c>
      <c r="F327" s="24" t="s">
        <v>1268</v>
      </c>
      <c r="G327" s="24" t="s">
        <v>1078</v>
      </c>
      <c r="H327" s="24" t="s">
        <v>1079</v>
      </c>
      <c r="I327" s="24" t="s">
        <v>1122</v>
      </c>
      <c r="J327" s="24" t="s">
        <v>1081</v>
      </c>
      <c r="K327" s="24" t="s">
        <v>1082</v>
      </c>
      <c r="L327" s="24" t="s">
        <v>1083</v>
      </c>
      <c r="M327" s="24">
        <v>1</v>
      </c>
      <c r="N327" s="24" t="s">
        <v>1052</v>
      </c>
      <c r="O327" s="24" t="s">
        <v>1269</v>
      </c>
    </row>
    <row r="328" spans="1:15">
      <c r="A328" s="24" t="s">
        <v>1179</v>
      </c>
      <c r="B328" s="24" t="s">
        <v>606</v>
      </c>
      <c r="C328" s="24" t="s">
        <v>71</v>
      </c>
      <c r="D328" s="24" t="s">
        <v>72</v>
      </c>
      <c r="E328" s="24" t="s">
        <v>1267</v>
      </c>
      <c r="F328" s="24" t="s">
        <v>1268</v>
      </c>
      <c r="G328" s="24" t="s">
        <v>1078</v>
      </c>
      <c r="H328" s="24" t="s">
        <v>1079</v>
      </c>
      <c r="I328" s="24" t="s">
        <v>1124</v>
      </c>
      <c r="J328" s="24" t="s">
        <v>1081</v>
      </c>
      <c r="K328" s="24" t="s">
        <v>1082</v>
      </c>
      <c r="L328" s="24" t="s">
        <v>1083</v>
      </c>
      <c r="M328" s="24">
        <v>1</v>
      </c>
      <c r="N328" s="24" t="s">
        <v>1052</v>
      </c>
      <c r="O328" s="24" t="s">
        <v>1269</v>
      </c>
    </row>
    <row r="329" spans="1:15">
      <c r="A329" s="24" t="s">
        <v>1180</v>
      </c>
      <c r="B329" s="24" t="s">
        <v>606</v>
      </c>
      <c r="C329" s="24" t="s">
        <v>71</v>
      </c>
      <c r="D329" s="24" t="s">
        <v>72</v>
      </c>
      <c r="E329" s="24" t="s">
        <v>1267</v>
      </c>
      <c r="F329" s="24" t="s">
        <v>1268</v>
      </c>
      <c r="G329" s="24" t="s">
        <v>1078</v>
      </c>
      <c r="H329" s="24" t="s">
        <v>1079</v>
      </c>
      <c r="I329" s="24" t="s">
        <v>1126</v>
      </c>
      <c r="J329" s="24" t="s">
        <v>1081</v>
      </c>
      <c r="K329" s="24" t="s">
        <v>1082</v>
      </c>
      <c r="L329" s="24" t="s">
        <v>1083</v>
      </c>
      <c r="M329" s="24">
        <v>1</v>
      </c>
      <c r="N329" s="24" t="s">
        <v>1052</v>
      </c>
      <c r="O329" s="24" t="s">
        <v>1269</v>
      </c>
    </row>
    <row r="330" spans="1:15">
      <c r="A330" s="24" t="s">
        <v>1180</v>
      </c>
      <c r="B330" s="24" t="s">
        <v>606</v>
      </c>
      <c r="C330" s="24" t="s">
        <v>71</v>
      </c>
      <c r="D330" s="24" t="s">
        <v>72</v>
      </c>
      <c r="E330" s="24" t="s">
        <v>1267</v>
      </c>
      <c r="F330" s="24" t="s">
        <v>1268</v>
      </c>
      <c r="G330" s="24" t="s">
        <v>1078</v>
      </c>
      <c r="H330" s="24" t="s">
        <v>1079</v>
      </c>
      <c r="I330" s="24" t="s">
        <v>1126</v>
      </c>
      <c r="J330" s="24" t="s">
        <v>1081</v>
      </c>
      <c r="K330" s="24" t="s">
        <v>1082</v>
      </c>
      <c r="L330" s="24" t="s">
        <v>1083</v>
      </c>
      <c r="M330" s="24">
        <v>1</v>
      </c>
      <c r="N330" s="24" t="s">
        <v>1052</v>
      </c>
      <c r="O330" s="24" t="s">
        <v>1269</v>
      </c>
    </row>
    <row r="331" spans="1:15">
      <c r="A331" s="24" t="s">
        <v>1112</v>
      </c>
      <c r="B331" s="24" t="s">
        <v>606</v>
      </c>
      <c r="C331" s="24" t="s">
        <v>78</v>
      </c>
      <c r="D331" s="24" t="s">
        <v>79</v>
      </c>
      <c r="E331" s="24" t="s">
        <v>1270</v>
      </c>
      <c r="F331" s="24" t="s">
        <v>1271</v>
      </c>
      <c r="G331" s="24" t="s">
        <v>1078</v>
      </c>
      <c r="H331" s="24" t="s">
        <v>1079</v>
      </c>
      <c r="I331" s="24" t="s">
        <v>1115</v>
      </c>
      <c r="J331" s="24" t="s">
        <v>1081</v>
      </c>
      <c r="K331" s="24" t="s">
        <v>1082</v>
      </c>
      <c r="L331" s="24" t="s">
        <v>1083</v>
      </c>
      <c r="M331" s="24">
        <v>1</v>
      </c>
      <c r="N331" s="24" t="s">
        <v>1052</v>
      </c>
      <c r="O331" s="24" t="s">
        <v>1272</v>
      </c>
    </row>
    <row r="332" spans="1:15">
      <c r="A332" s="24" t="s">
        <v>1181</v>
      </c>
      <c r="B332" s="24" t="s">
        <v>606</v>
      </c>
      <c r="C332" s="24" t="s">
        <v>78</v>
      </c>
      <c r="D332" s="24" t="s">
        <v>79</v>
      </c>
      <c r="E332" s="24" t="s">
        <v>1270</v>
      </c>
      <c r="F332" s="24" t="s">
        <v>1271</v>
      </c>
      <c r="G332" s="24" t="s">
        <v>1078</v>
      </c>
      <c r="H332" s="24" t="s">
        <v>1079</v>
      </c>
      <c r="I332" s="24" t="s">
        <v>1184</v>
      </c>
      <c r="J332" s="24" t="s">
        <v>1081</v>
      </c>
      <c r="K332" s="24" t="s">
        <v>1082</v>
      </c>
      <c r="L332" s="24" t="s">
        <v>1083</v>
      </c>
      <c r="M332" s="24">
        <v>1</v>
      </c>
      <c r="N332" s="24" t="s">
        <v>1052</v>
      </c>
      <c r="O332" s="24" t="s">
        <v>1272</v>
      </c>
    </row>
    <row r="333" spans="1:15">
      <c r="A333" s="24" t="s">
        <v>1112</v>
      </c>
      <c r="B333" s="24" t="s">
        <v>606</v>
      </c>
      <c r="C333" s="24" t="s">
        <v>78</v>
      </c>
      <c r="D333" s="24" t="s">
        <v>79</v>
      </c>
      <c r="E333" s="24" t="s">
        <v>1270</v>
      </c>
      <c r="F333" s="24" t="s">
        <v>1271</v>
      </c>
      <c r="G333" s="24" t="s">
        <v>1078</v>
      </c>
      <c r="H333" s="24" t="s">
        <v>1079</v>
      </c>
      <c r="I333" s="24" t="s">
        <v>1115</v>
      </c>
      <c r="J333" s="24" t="s">
        <v>1081</v>
      </c>
      <c r="K333" s="24" t="s">
        <v>1082</v>
      </c>
      <c r="L333" s="24" t="s">
        <v>1083</v>
      </c>
      <c r="M333" s="24">
        <v>1</v>
      </c>
      <c r="N333" s="24" t="s">
        <v>1052</v>
      </c>
      <c r="O333" s="24" t="s">
        <v>1272</v>
      </c>
    </row>
    <row r="334" spans="1:15">
      <c r="A334" s="24" t="s">
        <v>1181</v>
      </c>
      <c r="B334" s="24" t="s">
        <v>606</v>
      </c>
      <c r="C334" s="24" t="s">
        <v>78</v>
      </c>
      <c r="D334" s="24" t="s">
        <v>79</v>
      </c>
      <c r="E334" s="24" t="s">
        <v>1270</v>
      </c>
      <c r="F334" s="24" t="s">
        <v>1271</v>
      </c>
      <c r="G334" s="24" t="s">
        <v>1078</v>
      </c>
      <c r="H334" s="24" t="s">
        <v>1079</v>
      </c>
      <c r="I334" s="24" t="s">
        <v>1184</v>
      </c>
      <c r="J334" s="24" t="s">
        <v>1081</v>
      </c>
      <c r="K334" s="24" t="s">
        <v>1082</v>
      </c>
      <c r="L334" s="24" t="s">
        <v>1083</v>
      </c>
      <c r="M334" s="24">
        <v>1</v>
      </c>
      <c r="N334" s="24" t="s">
        <v>1052</v>
      </c>
      <c r="O334" s="24" t="s">
        <v>1272</v>
      </c>
    </row>
    <row r="335" spans="1:15">
      <c r="A335" s="24" t="s">
        <v>1135</v>
      </c>
      <c r="B335" s="24" t="s">
        <v>606</v>
      </c>
      <c r="C335" s="24" t="s">
        <v>78</v>
      </c>
      <c r="D335" s="24" t="s">
        <v>79</v>
      </c>
      <c r="E335" s="24" t="s">
        <v>1270</v>
      </c>
      <c r="F335" s="24" t="s">
        <v>1271</v>
      </c>
      <c r="G335" s="24" t="s">
        <v>1078</v>
      </c>
      <c r="H335" s="24" t="s">
        <v>1079</v>
      </c>
      <c r="I335" s="24" t="s">
        <v>1136</v>
      </c>
      <c r="J335" s="24" t="s">
        <v>1081</v>
      </c>
      <c r="K335" s="24" t="s">
        <v>1082</v>
      </c>
      <c r="L335" s="24" t="s">
        <v>1083</v>
      </c>
      <c r="M335" s="24">
        <v>1</v>
      </c>
      <c r="N335" s="24" t="s">
        <v>1052</v>
      </c>
      <c r="O335" s="24" t="s">
        <v>1272</v>
      </c>
    </row>
    <row r="336" spans="1:15">
      <c r="A336" s="24" t="s">
        <v>1186</v>
      </c>
      <c r="B336" s="24" t="s">
        <v>606</v>
      </c>
      <c r="C336" s="24" t="s">
        <v>78</v>
      </c>
      <c r="D336" s="24" t="s">
        <v>79</v>
      </c>
      <c r="E336" s="24" t="s">
        <v>1270</v>
      </c>
      <c r="F336" s="24" t="s">
        <v>1271</v>
      </c>
      <c r="G336" s="24" t="s">
        <v>1078</v>
      </c>
      <c r="H336" s="24" t="s">
        <v>1079</v>
      </c>
      <c r="I336" s="24" t="s">
        <v>1187</v>
      </c>
      <c r="J336" s="24" t="s">
        <v>1081</v>
      </c>
      <c r="K336" s="24" t="s">
        <v>1082</v>
      </c>
      <c r="L336" s="24" t="s">
        <v>1083</v>
      </c>
      <c r="M336" s="24">
        <v>1</v>
      </c>
      <c r="N336" s="24" t="s">
        <v>1052</v>
      </c>
      <c r="O336" s="24" t="s">
        <v>1272</v>
      </c>
    </row>
    <row r="337" spans="1:15">
      <c r="A337" s="24" t="s">
        <v>1139</v>
      </c>
      <c r="B337" s="24" t="s">
        <v>606</v>
      </c>
      <c r="C337" s="24" t="s">
        <v>78</v>
      </c>
      <c r="D337" s="24" t="s">
        <v>79</v>
      </c>
      <c r="E337" s="24" t="s">
        <v>1270</v>
      </c>
      <c r="F337" s="24" t="s">
        <v>1271</v>
      </c>
      <c r="G337" s="24" t="s">
        <v>1078</v>
      </c>
      <c r="H337" s="24" t="s">
        <v>1079</v>
      </c>
      <c r="I337" s="24" t="s">
        <v>1140</v>
      </c>
      <c r="J337" s="24" t="s">
        <v>1081</v>
      </c>
      <c r="K337" s="24" t="s">
        <v>1082</v>
      </c>
      <c r="L337" s="24" t="s">
        <v>1083</v>
      </c>
      <c r="M337" s="24">
        <v>1</v>
      </c>
      <c r="N337" s="24" t="s">
        <v>1052</v>
      </c>
      <c r="O337" s="24" t="s">
        <v>1272</v>
      </c>
    </row>
    <row r="338" spans="1:15">
      <c r="A338" s="24" t="s">
        <v>1188</v>
      </c>
      <c r="B338" s="24" t="s">
        <v>606</v>
      </c>
      <c r="C338" s="24" t="s">
        <v>78</v>
      </c>
      <c r="D338" s="24" t="s">
        <v>79</v>
      </c>
      <c r="E338" s="24" t="s">
        <v>1270</v>
      </c>
      <c r="F338" s="24" t="s">
        <v>1271</v>
      </c>
      <c r="G338" s="24" t="s">
        <v>1078</v>
      </c>
      <c r="H338" s="24" t="s">
        <v>1079</v>
      </c>
      <c r="I338" s="24" t="s">
        <v>1189</v>
      </c>
      <c r="J338" s="24" t="s">
        <v>1081</v>
      </c>
      <c r="K338" s="24" t="s">
        <v>1082</v>
      </c>
      <c r="L338" s="24" t="s">
        <v>1083</v>
      </c>
      <c r="M338" s="24">
        <v>1</v>
      </c>
      <c r="N338" s="24" t="s">
        <v>1052</v>
      </c>
      <c r="O338" s="24" t="s">
        <v>1272</v>
      </c>
    </row>
    <row r="339" spans="1:15">
      <c r="A339" s="24" t="s">
        <v>1143</v>
      </c>
      <c r="B339" s="24" t="s">
        <v>606</v>
      </c>
      <c r="C339" s="24" t="s">
        <v>78</v>
      </c>
      <c r="D339" s="24" t="s">
        <v>79</v>
      </c>
      <c r="E339" s="24" t="s">
        <v>1270</v>
      </c>
      <c r="F339" s="24" t="s">
        <v>1271</v>
      </c>
      <c r="G339" s="24" t="s">
        <v>1078</v>
      </c>
      <c r="H339" s="24" t="s">
        <v>1079</v>
      </c>
      <c r="I339" s="24" t="s">
        <v>1115</v>
      </c>
      <c r="J339" s="24" t="s">
        <v>1081</v>
      </c>
      <c r="K339" s="24" t="s">
        <v>1082</v>
      </c>
      <c r="L339" s="24" t="s">
        <v>1083</v>
      </c>
      <c r="M339" s="24">
        <v>1</v>
      </c>
      <c r="N339" s="24" t="s">
        <v>1052</v>
      </c>
      <c r="O339" s="24" t="s">
        <v>1272</v>
      </c>
    </row>
    <row r="340" spans="1:15">
      <c r="A340" s="24" t="s">
        <v>1190</v>
      </c>
      <c r="B340" s="24" t="s">
        <v>606</v>
      </c>
      <c r="C340" s="24" t="s">
        <v>78</v>
      </c>
      <c r="D340" s="24" t="s">
        <v>79</v>
      </c>
      <c r="E340" s="24" t="s">
        <v>1270</v>
      </c>
      <c r="F340" s="24" t="s">
        <v>1271</v>
      </c>
      <c r="G340" s="24" t="s">
        <v>1078</v>
      </c>
      <c r="H340" s="24" t="s">
        <v>1079</v>
      </c>
      <c r="I340" s="24" t="s">
        <v>1184</v>
      </c>
      <c r="J340" s="24" t="s">
        <v>1081</v>
      </c>
      <c r="K340" s="24" t="s">
        <v>1082</v>
      </c>
      <c r="L340" s="24" t="s">
        <v>1083</v>
      </c>
      <c r="M340" s="24">
        <v>1</v>
      </c>
      <c r="N340" s="24" t="s">
        <v>1052</v>
      </c>
      <c r="O340" s="24" t="s">
        <v>1272</v>
      </c>
    </row>
    <row r="341" spans="1:15">
      <c r="A341" s="24" t="s">
        <v>1135</v>
      </c>
      <c r="B341" s="24" t="s">
        <v>606</v>
      </c>
      <c r="C341" s="24" t="s">
        <v>78</v>
      </c>
      <c r="D341" s="24" t="s">
        <v>79</v>
      </c>
      <c r="E341" s="24" t="s">
        <v>1270</v>
      </c>
      <c r="F341" s="24" t="s">
        <v>1271</v>
      </c>
      <c r="G341" s="24" t="s">
        <v>1078</v>
      </c>
      <c r="H341" s="24" t="s">
        <v>1079</v>
      </c>
      <c r="I341" s="24" t="s">
        <v>1136</v>
      </c>
      <c r="J341" s="24" t="s">
        <v>1081</v>
      </c>
      <c r="K341" s="24" t="s">
        <v>1082</v>
      </c>
      <c r="L341" s="24" t="s">
        <v>1083</v>
      </c>
      <c r="M341" s="24">
        <v>1</v>
      </c>
      <c r="N341" s="24" t="s">
        <v>1052</v>
      </c>
      <c r="O341" s="24" t="s">
        <v>1272</v>
      </c>
    </row>
    <row r="342" spans="1:15">
      <c r="A342" s="24" t="s">
        <v>1186</v>
      </c>
      <c r="B342" s="24" t="s">
        <v>606</v>
      </c>
      <c r="C342" s="24" t="s">
        <v>78</v>
      </c>
      <c r="D342" s="24" t="s">
        <v>79</v>
      </c>
      <c r="E342" s="24" t="s">
        <v>1270</v>
      </c>
      <c r="F342" s="24" t="s">
        <v>1271</v>
      </c>
      <c r="G342" s="24" t="s">
        <v>1078</v>
      </c>
      <c r="H342" s="24" t="s">
        <v>1079</v>
      </c>
      <c r="I342" s="24" t="s">
        <v>1187</v>
      </c>
      <c r="J342" s="24" t="s">
        <v>1081</v>
      </c>
      <c r="K342" s="24" t="s">
        <v>1082</v>
      </c>
      <c r="L342" s="24" t="s">
        <v>1083</v>
      </c>
      <c r="M342" s="24">
        <v>1</v>
      </c>
      <c r="N342" s="24" t="s">
        <v>1052</v>
      </c>
      <c r="O342" s="24" t="s">
        <v>1272</v>
      </c>
    </row>
    <row r="343" spans="1:15">
      <c r="A343" s="24" t="s">
        <v>1139</v>
      </c>
      <c r="B343" s="24" t="s">
        <v>606</v>
      </c>
      <c r="C343" s="24" t="s">
        <v>78</v>
      </c>
      <c r="D343" s="24" t="s">
        <v>79</v>
      </c>
      <c r="E343" s="24" t="s">
        <v>1270</v>
      </c>
      <c r="F343" s="24" t="s">
        <v>1271</v>
      </c>
      <c r="G343" s="24" t="s">
        <v>1078</v>
      </c>
      <c r="H343" s="24" t="s">
        <v>1079</v>
      </c>
      <c r="I343" s="24" t="s">
        <v>1140</v>
      </c>
      <c r="J343" s="24" t="s">
        <v>1081</v>
      </c>
      <c r="K343" s="24" t="s">
        <v>1082</v>
      </c>
      <c r="L343" s="24" t="s">
        <v>1083</v>
      </c>
      <c r="M343" s="24">
        <v>1</v>
      </c>
      <c r="N343" s="24" t="s">
        <v>1052</v>
      </c>
      <c r="O343" s="24" t="s">
        <v>1272</v>
      </c>
    </row>
    <row r="344" spans="1:15">
      <c r="A344" s="24" t="s">
        <v>1188</v>
      </c>
      <c r="B344" s="24" t="s">
        <v>606</v>
      </c>
      <c r="C344" s="24" t="s">
        <v>78</v>
      </c>
      <c r="D344" s="24" t="s">
        <v>79</v>
      </c>
      <c r="E344" s="24" t="s">
        <v>1270</v>
      </c>
      <c r="F344" s="24" t="s">
        <v>1271</v>
      </c>
      <c r="G344" s="24" t="s">
        <v>1078</v>
      </c>
      <c r="H344" s="24" t="s">
        <v>1079</v>
      </c>
      <c r="I344" s="24" t="s">
        <v>1189</v>
      </c>
      <c r="J344" s="24" t="s">
        <v>1081</v>
      </c>
      <c r="K344" s="24" t="s">
        <v>1082</v>
      </c>
      <c r="L344" s="24" t="s">
        <v>1083</v>
      </c>
      <c r="M344" s="24">
        <v>1</v>
      </c>
      <c r="N344" s="24" t="s">
        <v>1052</v>
      </c>
      <c r="O344" s="24" t="s">
        <v>1272</v>
      </c>
    </row>
    <row r="345" spans="1:15">
      <c r="A345" s="24" t="s">
        <v>1143</v>
      </c>
      <c r="B345" s="24" t="s">
        <v>606</v>
      </c>
      <c r="C345" s="24" t="s">
        <v>78</v>
      </c>
      <c r="D345" s="24" t="s">
        <v>79</v>
      </c>
      <c r="E345" s="24" t="s">
        <v>1270</v>
      </c>
      <c r="F345" s="24" t="s">
        <v>1271</v>
      </c>
      <c r="G345" s="24" t="s">
        <v>1078</v>
      </c>
      <c r="H345" s="24" t="s">
        <v>1079</v>
      </c>
      <c r="I345" s="24" t="s">
        <v>1115</v>
      </c>
      <c r="J345" s="24" t="s">
        <v>1081</v>
      </c>
      <c r="K345" s="24" t="s">
        <v>1082</v>
      </c>
      <c r="L345" s="24" t="s">
        <v>1083</v>
      </c>
      <c r="M345" s="24">
        <v>1</v>
      </c>
      <c r="N345" s="24" t="s">
        <v>1052</v>
      </c>
      <c r="O345" s="24" t="s">
        <v>1272</v>
      </c>
    </row>
    <row r="346" spans="1:15">
      <c r="A346" s="24" t="s">
        <v>1190</v>
      </c>
      <c r="B346" s="24" t="s">
        <v>606</v>
      </c>
      <c r="C346" s="24" t="s">
        <v>78</v>
      </c>
      <c r="D346" s="24" t="s">
        <v>79</v>
      </c>
      <c r="E346" s="24" t="s">
        <v>1270</v>
      </c>
      <c r="F346" s="24" t="s">
        <v>1271</v>
      </c>
      <c r="G346" s="24" t="s">
        <v>1078</v>
      </c>
      <c r="H346" s="24" t="s">
        <v>1079</v>
      </c>
      <c r="I346" s="24" t="s">
        <v>1184</v>
      </c>
      <c r="J346" s="24" t="s">
        <v>1081</v>
      </c>
      <c r="K346" s="24" t="s">
        <v>1082</v>
      </c>
      <c r="L346" s="24" t="s">
        <v>1083</v>
      </c>
      <c r="M346" s="24">
        <v>1</v>
      </c>
      <c r="N346" s="24" t="s">
        <v>1052</v>
      </c>
      <c r="O346" s="24" t="s">
        <v>1272</v>
      </c>
    </row>
    <row r="347" spans="1:15">
      <c r="A347" s="24" t="s">
        <v>1119</v>
      </c>
      <c r="B347" s="24" t="s">
        <v>606</v>
      </c>
      <c r="C347" s="24" t="s">
        <v>86</v>
      </c>
      <c r="D347" s="24" t="s">
        <v>87</v>
      </c>
      <c r="E347" s="24" t="s">
        <v>1273</v>
      </c>
      <c r="F347" s="24" t="s">
        <v>1274</v>
      </c>
      <c r="G347" s="24" t="s">
        <v>1078</v>
      </c>
      <c r="H347" s="24" t="s">
        <v>1079</v>
      </c>
      <c r="I347" s="24" t="s">
        <v>1120</v>
      </c>
      <c r="J347" s="24" t="s">
        <v>1081</v>
      </c>
      <c r="K347" s="24" t="s">
        <v>1082</v>
      </c>
      <c r="L347" s="24" t="s">
        <v>1083</v>
      </c>
      <c r="M347" s="24">
        <v>1</v>
      </c>
      <c r="N347" s="24" t="s">
        <v>1052</v>
      </c>
      <c r="O347" s="24" t="s">
        <v>1275</v>
      </c>
    </row>
    <row r="348" spans="1:15">
      <c r="A348" s="24" t="s">
        <v>1191</v>
      </c>
      <c r="B348" s="24" t="s">
        <v>606</v>
      </c>
      <c r="C348" s="24" t="s">
        <v>86</v>
      </c>
      <c r="D348" s="24" t="s">
        <v>87</v>
      </c>
      <c r="E348" s="24" t="s">
        <v>1273</v>
      </c>
      <c r="F348" s="24" t="s">
        <v>1274</v>
      </c>
      <c r="G348" s="24" t="s">
        <v>1078</v>
      </c>
      <c r="H348" s="24" t="s">
        <v>1079</v>
      </c>
      <c r="I348" s="24" t="s">
        <v>1194</v>
      </c>
      <c r="J348" s="24" t="s">
        <v>1081</v>
      </c>
      <c r="K348" s="24" t="s">
        <v>1082</v>
      </c>
      <c r="L348" s="24" t="s">
        <v>1083</v>
      </c>
      <c r="M348" s="24">
        <v>1</v>
      </c>
      <c r="N348" s="24" t="s">
        <v>1052</v>
      </c>
      <c r="O348" s="24" t="s">
        <v>1275</v>
      </c>
    </row>
    <row r="349" spans="1:15">
      <c r="A349" s="24" t="s">
        <v>1119</v>
      </c>
      <c r="B349" s="24" t="s">
        <v>606</v>
      </c>
      <c r="C349" s="24" t="s">
        <v>86</v>
      </c>
      <c r="D349" s="24" t="s">
        <v>87</v>
      </c>
      <c r="E349" s="24" t="s">
        <v>1273</v>
      </c>
      <c r="F349" s="24" t="s">
        <v>1274</v>
      </c>
      <c r="G349" s="24" t="s">
        <v>1078</v>
      </c>
      <c r="H349" s="24" t="s">
        <v>1079</v>
      </c>
      <c r="I349" s="24" t="s">
        <v>1120</v>
      </c>
      <c r="J349" s="24" t="s">
        <v>1081</v>
      </c>
      <c r="K349" s="24" t="s">
        <v>1082</v>
      </c>
      <c r="L349" s="24" t="s">
        <v>1083</v>
      </c>
      <c r="M349" s="24">
        <v>1</v>
      </c>
      <c r="N349" s="24" t="s">
        <v>1052</v>
      </c>
      <c r="O349" s="24" t="s">
        <v>1275</v>
      </c>
    </row>
    <row r="350" spans="1:15">
      <c r="A350" s="24" t="s">
        <v>1191</v>
      </c>
      <c r="B350" s="24" t="s">
        <v>606</v>
      </c>
      <c r="C350" s="24" t="s">
        <v>86</v>
      </c>
      <c r="D350" s="24" t="s">
        <v>87</v>
      </c>
      <c r="E350" s="24" t="s">
        <v>1273</v>
      </c>
      <c r="F350" s="24" t="s">
        <v>1274</v>
      </c>
      <c r="G350" s="24" t="s">
        <v>1078</v>
      </c>
      <c r="H350" s="24" t="s">
        <v>1079</v>
      </c>
      <c r="I350" s="24" t="s">
        <v>1194</v>
      </c>
      <c r="J350" s="24" t="s">
        <v>1081</v>
      </c>
      <c r="K350" s="24" t="s">
        <v>1082</v>
      </c>
      <c r="L350" s="24" t="s">
        <v>1083</v>
      </c>
      <c r="M350" s="24">
        <v>1</v>
      </c>
      <c r="N350" s="24" t="s">
        <v>1052</v>
      </c>
      <c r="O350" s="24" t="s">
        <v>1275</v>
      </c>
    </row>
    <row r="351" spans="1:15">
      <c r="A351" s="24" t="s">
        <v>1144</v>
      </c>
      <c r="B351" s="24" t="s">
        <v>606</v>
      </c>
      <c r="C351" s="24" t="s">
        <v>86</v>
      </c>
      <c r="D351" s="24" t="s">
        <v>87</v>
      </c>
      <c r="E351" s="24" t="s">
        <v>1273</v>
      </c>
      <c r="F351" s="24" t="s">
        <v>1274</v>
      </c>
      <c r="G351" s="24" t="s">
        <v>1078</v>
      </c>
      <c r="H351" s="24" t="s">
        <v>1079</v>
      </c>
      <c r="I351" s="24" t="s">
        <v>1145</v>
      </c>
      <c r="J351" s="24" t="s">
        <v>1081</v>
      </c>
      <c r="K351" s="24" t="s">
        <v>1082</v>
      </c>
      <c r="L351" s="24" t="s">
        <v>1083</v>
      </c>
      <c r="M351" s="24">
        <v>1</v>
      </c>
      <c r="N351" s="24" t="s">
        <v>1052</v>
      </c>
      <c r="O351" s="24" t="s">
        <v>1275</v>
      </c>
    </row>
    <row r="352" spans="1:15">
      <c r="A352" s="24" t="s">
        <v>1196</v>
      </c>
      <c r="B352" s="24" t="s">
        <v>606</v>
      </c>
      <c r="C352" s="24" t="s">
        <v>86</v>
      </c>
      <c r="D352" s="24" t="s">
        <v>87</v>
      </c>
      <c r="E352" s="24" t="s">
        <v>1273</v>
      </c>
      <c r="F352" s="24" t="s">
        <v>1274</v>
      </c>
      <c r="G352" s="24" t="s">
        <v>1078</v>
      </c>
      <c r="H352" s="24" t="s">
        <v>1079</v>
      </c>
      <c r="I352" s="24" t="s">
        <v>1197</v>
      </c>
      <c r="J352" s="24" t="s">
        <v>1081</v>
      </c>
      <c r="K352" s="24" t="s">
        <v>1082</v>
      </c>
      <c r="L352" s="24" t="s">
        <v>1083</v>
      </c>
      <c r="M352" s="24">
        <v>1</v>
      </c>
      <c r="N352" s="24" t="s">
        <v>1052</v>
      </c>
      <c r="O352" s="24" t="s">
        <v>1275</v>
      </c>
    </row>
    <row r="353" spans="1:15">
      <c r="A353" s="24" t="s">
        <v>1148</v>
      </c>
      <c r="B353" s="24" t="s">
        <v>606</v>
      </c>
      <c r="C353" s="24" t="s">
        <v>86</v>
      </c>
      <c r="D353" s="24" t="s">
        <v>87</v>
      </c>
      <c r="E353" s="24" t="s">
        <v>1273</v>
      </c>
      <c r="F353" s="24" t="s">
        <v>1274</v>
      </c>
      <c r="G353" s="24" t="s">
        <v>1078</v>
      </c>
      <c r="H353" s="24" t="s">
        <v>1079</v>
      </c>
      <c r="I353" s="24" t="s">
        <v>1120</v>
      </c>
      <c r="J353" s="24" t="s">
        <v>1081</v>
      </c>
      <c r="K353" s="24" t="s">
        <v>1082</v>
      </c>
      <c r="L353" s="24" t="s">
        <v>1083</v>
      </c>
      <c r="M353" s="24">
        <v>1</v>
      </c>
      <c r="N353" s="24" t="s">
        <v>1052</v>
      </c>
      <c r="O353" s="24" t="s">
        <v>1275</v>
      </c>
    </row>
    <row r="354" spans="1:15">
      <c r="A354" s="24" t="s">
        <v>1200</v>
      </c>
      <c r="B354" s="24" t="s">
        <v>606</v>
      </c>
      <c r="C354" s="24" t="s">
        <v>86</v>
      </c>
      <c r="D354" s="24" t="s">
        <v>87</v>
      </c>
      <c r="E354" s="24" t="s">
        <v>1273</v>
      </c>
      <c r="F354" s="24" t="s">
        <v>1274</v>
      </c>
      <c r="G354" s="24" t="s">
        <v>1078</v>
      </c>
      <c r="H354" s="24" t="s">
        <v>1079</v>
      </c>
      <c r="I354" s="24" t="s">
        <v>1194</v>
      </c>
      <c r="J354" s="24" t="s">
        <v>1081</v>
      </c>
      <c r="K354" s="24" t="s">
        <v>1082</v>
      </c>
      <c r="L354" s="24" t="s">
        <v>1083</v>
      </c>
      <c r="M354" s="24">
        <v>1</v>
      </c>
      <c r="N354" s="24" t="s">
        <v>1052</v>
      </c>
      <c r="O354" s="24" t="s">
        <v>1275</v>
      </c>
    </row>
    <row r="355" spans="1:15">
      <c r="A355" s="24" t="s">
        <v>1144</v>
      </c>
      <c r="B355" s="24" t="s">
        <v>606</v>
      </c>
      <c r="C355" s="24" t="s">
        <v>86</v>
      </c>
      <c r="D355" s="24" t="s">
        <v>87</v>
      </c>
      <c r="E355" s="24" t="s">
        <v>1273</v>
      </c>
      <c r="F355" s="24" t="s">
        <v>1274</v>
      </c>
      <c r="G355" s="24" t="s">
        <v>1078</v>
      </c>
      <c r="H355" s="24" t="s">
        <v>1079</v>
      </c>
      <c r="I355" s="24" t="s">
        <v>1145</v>
      </c>
      <c r="J355" s="24" t="s">
        <v>1081</v>
      </c>
      <c r="K355" s="24" t="s">
        <v>1082</v>
      </c>
      <c r="L355" s="24" t="s">
        <v>1083</v>
      </c>
      <c r="M355" s="24">
        <v>1</v>
      </c>
      <c r="N355" s="24" t="s">
        <v>1052</v>
      </c>
      <c r="O355" s="24" t="s">
        <v>1275</v>
      </c>
    </row>
    <row r="356" spans="1:15">
      <c r="A356" s="24" t="s">
        <v>1196</v>
      </c>
      <c r="B356" s="24" t="s">
        <v>606</v>
      </c>
      <c r="C356" s="24" t="s">
        <v>86</v>
      </c>
      <c r="D356" s="24" t="s">
        <v>87</v>
      </c>
      <c r="E356" s="24" t="s">
        <v>1273</v>
      </c>
      <c r="F356" s="24" t="s">
        <v>1274</v>
      </c>
      <c r="G356" s="24" t="s">
        <v>1078</v>
      </c>
      <c r="H356" s="24" t="s">
        <v>1079</v>
      </c>
      <c r="I356" s="24" t="s">
        <v>1197</v>
      </c>
      <c r="J356" s="24" t="s">
        <v>1081</v>
      </c>
      <c r="K356" s="24" t="s">
        <v>1082</v>
      </c>
      <c r="L356" s="24" t="s">
        <v>1083</v>
      </c>
      <c r="M356" s="24">
        <v>1</v>
      </c>
      <c r="N356" s="24" t="s">
        <v>1052</v>
      </c>
      <c r="O356" s="24" t="s">
        <v>1275</v>
      </c>
    </row>
    <row r="357" spans="1:15">
      <c r="A357" s="24" t="s">
        <v>1148</v>
      </c>
      <c r="B357" s="24" t="s">
        <v>606</v>
      </c>
      <c r="C357" s="24" t="s">
        <v>86</v>
      </c>
      <c r="D357" s="24" t="s">
        <v>87</v>
      </c>
      <c r="E357" s="24" t="s">
        <v>1273</v>
      </c>
      <c r="F357" s="24" t="s">
        <v>1274</v>
      </c>
      <c r="G357" s="24" t="s">
        <v>1078</v>
      </c>
      <c r="H357" s="24" t="s">
        <v>1079</v>
      </c>
      <c r="I357" s="24" t="s">
        <v>1120</v>
      </c>
      <c r="J357" s="24" t="s">
        <v>1081</v>
      </c>
      <c r="K357" s="24" t="s">
        <v>1082</v>
      </c>
      <c r="L357" s="24" t="s">
        <v>1083</v>
      </c>
      <c r="M357" s="24">
        <v>1</v>
      </c>
      <c r="N357" s="24" t="s">
        <v>1052</v>
      </c>
      <c r="O357" s="24" t="s">
        <v>1275</v>
      </c>
    </row>
    <row r="358" spans="1:15">
      <c r="A358" s="24" t="s">
        <v>1200</v>
      </c>
      <c r="B358" s="24" t="s">
        <v>606</v>
      </c>
      <c r="C358" s="24" t="s">
        <v>86</v>
      </c>
      <c r="D358" s="24" t="s">
        <v>87</v>
      </c>
      <c r="E358" s="24" t="s">
        <v>1273</v>
      </c>
      <c r="F358" s="24" t="s">
        <v>1274</v>
      </c>
      <c r="G358" s="24" t="s">
        <v>1078</v>
      </c>
      <c r="H358" s="24" t="s">
        <v>1079</v>
      </c>
      <c r="I358" s="24" t="s">
        <v>1194</v>
      </c>
      <c r="J358" s="24" t="s">
        <v>1081</v>
      </c>
      <c r="K358" s="24" t="s">
        <v>1082</v>
      </c>
      <c r="L358" s="24" t="s">
        <v>1083</v>
      </c>
      <c r="M358" s="24">
        <v>1</v>
      </c>
      <c r="N358" s="24" t="s">
        <v>1052</v>
      </c>
      <c r="O358" s="24" t="s">
        <v>1275</v>
      </c>
    </row>
    <row r="359" spans="1:15">
      <c r="A359" s="24" t="s">
        <v>1201</v>
      </c>
      <c r="B359" s="24" t="s">
        <v>606</v>
      </c>
      <c r="C359" s="24" t="s">
        <v>95</v>
      </c>
      <c r="D359" s="24" t="s">
        <v>96</v>
      </c>
      <c r="E359" s="24" t="s">
        <v>1276</v>
      </c>
      <c r="F359" s="24" t="s">
        <v>1277</v>
      </c>
      <c r="G359" s="24" t="s">
        <v>1078</v>
      </c>
      <c r="H359" s="24" t="s">
        <v>1204</v>
      </c>
      <c r="I359" s="24" t="s">
        <v>1238</v>
      </c>
      <c r="J359" s="24" t="s">
        <v>1081</v>
      </c>
      <c r="K359" s="24" t="s">
        <v>1082</v>
      </c>
      <c r="L359" s="24" t="s">
        <v>1083</v>
      </c>
      <c r="M359" s="24">
        <v>7045</v>
      </c>
      <c r="N359" s="24" t="s">
        <v>1059</v>
      </c>
      <c r="O359" s="24" t="s">
        <v>1278</v>
      </c>
    </row>
    <row r="360" spans="1:15">
      <c r="A360" s="24" t="s">
        <v>1212</v>
      </c>
      <c r="B360" s="24" t="s">
        <v>606</v>
      </c>
      <c r="C360" s="24" t="s">
        <v>102</v>
      </c>
      <c r="D360" s="24" t="s">
        <v>103</v>
      </c>
      <c r="E360" s="24" t="s">
        <v>1279</v>
      </c>
      <c r="F360" s="24" t="s">
        <v>1280</v>
      </c>
      <c r="G360" s="24" t="s">
        <v>1078</v>
      </c>
      <c r="H360" s="24" t="s">
        <v>1209</v>
      </c>
      <c r="I360" s="24" t="s">
        <v>1213</v>
      </c>
      <c r="J360" s="24" t="s">
        <v>1081</v>
      </c>
      <c r="K360" s="24" t="s">
        <v>1082</v>
      </c>
      <c r="L360" s="24" t="s">
        <v>1083</v>
      </c>
      <c r="M360" s="24">
        <v>4104</v>
      </c>
      <c r="N360" s="24" t="s">
        <v>1058</v>
      </c>
      <c r="O360" s="24" t="s">
        <v>1281</v>
      </c>
    </row>
    <row r="361" spans="1:15">
      <c r="A361" s="24" t="s">
        <v>1214</v>
      </c>
      <c r="B361" s="24" t="s">
        <v>606</v>
      </c>
      <c r="C361" s="24" t="s">
        <v>102</v>
      </c>
      <c r="D361" s="24" t="s">
        <v>103</v>
      </c>
      <c r="E361" s="24" t="s">
        <v>1279</v>
      </c>
      <c r="F361" s="24" t="s">
        <v>1280</v>
      </c>
      <c r="G361" s="24" t="s">
        <v>1078</v>
      </c>
      <c r="H361" s="24" t="s">
        <v>1209</v>
      </c>
      <c r="I361" s="24" t="s">
        <v>1215</v>
      </c>
      <c r="J361" s="24" t="s">
        <v>1081</v>
      </c>
      <c r="K361" s="24" t="s">
        <v>1082</v>
      </c>
      <c r="L361" s="24" t="s">
        <v>1083</v>
      </c>
      <c r="M361" s="24">
        <v>4104</v>
      </c>
      <c r="N361" s="24" t="s">
        <v>1058</v>
      </c>
      <c r="O361" s="24" t="s">
        <v>1281</v>
      </c>
    </row>
    <row r="362" spans="1:15">
      <c r="A362" s="24" t="s">
        <v>1158</v>
      </c>
      <c r="B362" s="24" t="s">
        <v>606</v>
      </c>
      <c r="C362" s="24" t="s">
        <v>102</v>
      </c>
      <c r="D362" s="24" t="s">
        <v>1282</v>
      </c>
      <c r="E362" s="24" t="s">
        <v>1283</v>
      </c>
      <c r="F362" s="24" t="s">
        <v>1284</v>
      </c>
      <c r="G362" s="24" t="s">
        <v>1078</v>
      </c>
      <c r="H362" s="24" t="s">
        <v>1079</v>
      </c>
      <c r="I362" s="24" t="s">
        <v>1159</v>
      </c>
      <c r="J362" s="24" t="s">
        <v>1081</v>
      </c>
      <c r="K362" s="24" t="s">
        <v>1082</v>
      </c>
      <c r="L362" s="24" t="s">
        <v>1083</v>
      </c>
      <c r="M362" s="24">
        <v>1</v>
      </c>
      <c r="N362" s="24" t="s">
        <v>1052</v>
      </c>
      <c r="O362" s="24" t="s">
        <v>1285</v>
      </c>
    </row>
    <row r="363" spans="1:15">
      <c r="A363" s="24" t="s">
        <v>1093</v>
      </c>
      <c r="B363" s="24" t="s">
        <v>606</v>
      </c>
      <c r="C363" s="24" t="s">
        <v>102</v>
      </c>
      <c r="D363" s="24" t="s">
        <v>1282</v>
      </c>
      <c r="E363" s="24" t="s">
        <v>1283</v>
      </c>
      <c r="F363" s="24" t="s">
        <v>1284</v>
      </c>
      <c r="G363" s="24" t="s">
        <v>1078</v>
      </c>
      <c r="H363" s="24" t="s">
        <v>1079</v>
      </c>
      <c r="I363" s="24" t="s">
        <v>1094</v>
      </c>
      <c r="J363" s="24" t="s">
        <v>1081</v>
      </c>
      <c r="K363" s="24" t="s">
        <v>1082</v>
      </c>
      <c r="L363" s="24" t="s">
        <v>1083</v>
      </c>
      <c r="M363" s="24">
        <v>1</v>
      </c>
      <c r="N363" s="24" t="s">
        <v>1052</v>
      </c>
      <c r="O363" s="24" t="s">
        <v>1285</v>
      </c>
    </row>
    <row r="364" spans="1:15">
      <c r="A364" s="24" t="s">
        <v>1160</v>
      </c>
      <c r="B364" s="24" t="s">
        <v>606</v>
      </c>
      <c r="C364" s="24" t="s">
        <v>102</v>
      </c>
      <c r="D364" s="24" t="s">
        <v>1282</v>
      </c>
      <c r="E364" s="24" t="s">
        <v>1283</v>
      </c>
      <c r="F364" s="24" t="s">
        <v>1284</v>
      </c>
      <c r="G364" s="24" t="s">
        <v>1078</v>
      </c>
      <c r="H364" s="24" t="s">
        <v>1079</v>
      </c>
      <c r="I364" s="24" t="s">
        <v>1161</v>
      </c>
      <c r="J364" s="24" t="s">
        <v>1081</v>
      </c>
      <c r="K364" s="24" t="s">
        <v>1082</v>
      </c>
      <c r="L364" s="24" t="s">
        <v>1083</v>
      </c>
      <c r="M364" s="24">
        <v>1</v>
      </c>
      <c r="N364" s="24" t="s">
        <v>1052</v>
      </c>
      <c r="O364" s="24" t="s">
        <v>1285</v>
      </c>
    </row>
    <row r="365" spans="1:15">
      <c r="A365" s="24" t="s">
        <v>1162</v>
      </c>
      <c r="B365" s="24" t="s">
        <v>606</v>
      </c>
      <c r="C365" s="24" t="s">
        <v>102</v>
      </c>
      <c r="D365" s="24" t="s">
        <v>1282</v>
      </c>
      <c r="E365" s="24" t="s">
        <v>1283</v>
      </c>
      <c r="F365" s="24" t="s">
        <v>1284</v>
      </c>
      <c r="G365" s="24" t="s">
        <v>1078</v>
      </c>
      <c r="H365" s="24" t="s">
        <v>1079</v>
      </c>
      <c r="I365" s="24" t="s">
        <v>1163</v>
      </c>
      <c r="J365" s="24" t="s">
        <v>1081</v>
      </c>
      <c r="K365" s="24" t="s">
        <v>1082</v>
      </c>
      <c r="L365" s="24" t="s">
        <v>1083</v>
      </c>
      <c r="M365" s="24">
        <v>1</v>
      </c>
      <c r="N365" s="24" t="s">
        <v>1052</v>
      </c>
      <c r="O365" s="24" t="s">
        <v>1285</v>
      </c>
    </row>
    <row r="366" spans="1:15">
      <c r="A366" s="24" t="s">
        <v>1227</v>
      </c>
      <c r="B366" s="24" t="s">
        <v>606</v>
      </c>
      <c r="C366" s="24" t="s">
        <v>102</v>
      </c>
      <c r="D366" s="24" t="s">
        <v>1282</v>
      </c>
      <c r="E366" s="24" t="s">
        <v>1283</v>
      </c>
      <c r="F366" s="24" t="s">
        <v>1284</v>
      </c>
      <c r="G366" s="24" t="s">
        <v>1078</v>
      </c>
      <c r="H366" s="24" t="s">
        <v>1079</v>
      </c>
      <c r="I366" s="24" t="s">
        <v>1228</v>
      </c>
      <c r="J366" s="24" t="s">
        <v>1081</v>
      </c>
      <c r="K366" s="24" t="s">
        <v>1082</v>
      </c>
      <c r="L366" s="24" t="s">
        <v>1083</v>
      </c>
      <c r="M366" s="24">
        <v>1</v>
      </c>
      <c r="N366" s="24" t="s">
        <v>1052</v>
      </c>
      <c r="O366" s="24" t="s">
        <v>1285</v>
      </c>
    </row>
    <row r="367" spans="1:15">
      <c r="A367" s="24" t="s">
        <v>1158</v>
      </c>
      <c r="B367" s="24" t="s">
        <v>606</v>
      </c>
      <c r="C367" s="24" t="s">
        <v>102</v>
      </c>
      <c r="D367" s="24" t="s">
        <v>1282</v>
      </c>
      <c r="E367" s="24" t="s">
        <v>1283</v>
      </c>
      <c r="F367" s="24" t="s">
        <v>1284</v>
      </c>
      <c r="G367" s="24" t="s">
        <v>1078</v>
      </c>
      <c r="H367" s="24" t="s">
        <v>1079</v>
      </c>
      <c r="I367" s="24" t="s">
        <v>1159</v>
      </c>
      <c r="J367" s="24" t="s">
        <v>1081</v>
      </c>
      <c r="K367" s="24" t="s">
        <v>1082</v>
      </c>
      <c r="L367" s="24" t="s">
        <v>1083</v>
      </c>
      <c r="M367" s="24">
        <v>1</v>
      </c>
      <c r="N367" s="24" t="s">
        <v>1052</v>
      </c>
      <c r="O367" s="24" t="s">
        <v>1285</v>
      </c>
    </row>
    <row r="368" spans="1:15">
      <c r="A368" s="24" t="s">
        <v>1093</v>
      </c>
      <c r="B368" s="24" t="s">
        <v>606</v>
      </c>
      <c r="C368" s="24" t="s">
        <v>102</v>
      </c>
      <c r="D368" s="24" t="s">
        <v>1282</v>
      </c>
      <c r="E368" s="24" t="s">
        <v>1283</v>
      </c>
      <c r="F368" s="24" t="s">
        <v>1284</v>
      </c>
      <c r="G368" s="24" t="s">
        <v>1078</v>
      </c>
      <c r="H368" s="24" t="s">
        <v>1079</v>
      </c>
      <c r="I368" s="24" t="s">
        <v>1094</v>
      </c>
      <c r="J368" s="24" t="s">
        <v>1081</v>
      </c>
      <c r="K368" s="24" t="s">
        <v>1082</v>
      </c>
      <c r="L368" s="24" t="s">
        <v>1083</v>
      </c>
      <c r="M368" s="24">
        <v>1</v>
      </c>
      <c r="N368" s="24" t="s">
        <v>1052</v>
      </c>
      <c r="O368" s="24" t="s">
        <v>1285</v>
      </c>
    </row>
    <row r="369" spans="1:15">
      <c r="A369" s="24" t="s">
        <v>1160</v>
      </c>
      <c r="B369" s="24" t="s">
        <v>606</v>
      </c>
      <c r="C369" s="24" t="s">
        <v>102</v>
      </c>
      <c r="D369" s="24" t="s">
        <v>1282</v>
      </c>
      <c r="E369" s="24" t="s">
        <v>1283</v>
      </c>
      <c r="F369" s="24" t="s">
        <v>1284</v>
      </c>
      <c r="G369" s="24" t="s">
        <v>1078</v>
      </c>
      <c r="H369" s="24" t="s">
        <v>1079</v>
      </c>
      <c r="I369" s="24" t="s">
        <v>1161</v>
      </c>
      <c r="J369" s="24" t="s">
        <v>1081</v>
      </c>
      <c r="K369" s="24" t="s">
        <v>1082</v>
      </c>
      <c r="L369" s="24" t="s">
        <v>1083</v>
      </c>
      <c r="M369" s="24">
        <v>1</v>
      </c>
      <c r="N369" s="24" t="s">
        <v>1052</v>
      </c>
      <c r="O369" s="24" t="s">
        <v>1285</v>
      </c>
    </row>
    <row r="370" spans="1:15">
      <c r="A370" s="24" t="s">
        <v>1162</v>
      </c>
      <c r="B370" s="24" t="s">
        <v>606</v>
      </c>
      <c r="C370" s="24" t="s">
        <v>102</v>
      </c>
      <c r="D370" s="24" t="s">
        <v>1282</v>
      </c>
      <c r="E370" s="24" t="s">
        <v>1283</v>
      </c>
      <c r="F370" s="24" t="s">
        <v>1284</v>
      </c>
      <c r="G370" s="24" t="s">
        <v>1078</v>
      </c>
      <c r="H370" s="24" t="s">
        <v>1079</v>
      </c>
      <c r="I370" s="24" t="s">
        <v>1163</v>
      </c>
      <c r="J370" s="24" t="s">
        <v>1081</v>
      </c>
      <c r="K370" s="24" t="s">
        <v>1082</v>
      </c>
      <c r="L370" s="24" t="s">
        <v>1083</v>
      </c>
      <c r="M370" s="24">
        <v>1</v>
      </c>
      <c r="N370" s="24" t="s">
        <v>1052</v>
      </c>
      <c r="O370" s="24" t="s">
        <v>1285</v>
      </c>
    </row>
    <row r="371" spans="1:15">
      <c r="A371" s="24" t="s">
        <v>1227</v>
      </c>
      <c r="B371" s="24" t="s">
        <v>606</v>
      </c>
      <c r="C371" s="24" t="s">
        <v>102</v>
      </c>
      <c r="D371" s="24" t="s">
        <v>1282</v>
      </c>
      <c r="E371" s="24" t="s">
        <v>1283</v>
      </c>
      <c r="F371" s="24" t="s">
        <v>1284</v>
      </c>
      <c r="G371" s="24" t="s">
        <v>1078</v>
      </c>
      <c r="H371" s="24" t="s">
        <v>1079</v>
      </c>
      <c r="I371" s="24" t="s">
        <v>1228</v>
      </c>
      <c r="J371" s="24" t="s">
        <v>1081</v>
      </c>
      <c r="K371" s="24" t="s">
        <v>1082</v>
      </c>
      <c r="L371" s="24" t="s">
        <v>1083</v>
      </c>
      <c r="M371" s="24">
        <v>1</v>
      </c>
      <c r="N371" s="24" t="s">
        <v>1052</v>
      </c>
      <c r="O371" s="24" t="s">
        <v>1285</v>
      </c>
    </row>
    <row r="372" spans="1:15">
      <c r="A372" s="24" t="s">
        <v>1286</v>
      </c>
      <c r="B372" s="24" t="s">
        <v>606</v>
      </c>
      <c r="C372" s="24" t="s">
        <v>109</v>
      </c>
      <c r="D372" s="24" t="s">
        <v>110</v>
      </c>
      <c r="E372" s="24" t="s">
        <v>1287</v>
      </c>
      <c r="F372" s="24" t="s">
        <v>1288</v>
      </c>
      <c r="G372" s="24" t="s">
        <v>1078</v>
      </c>
      <c r="H372" s="24" t="s">
        <v>1209</v>
      </c>
      <c r="I372" s="24" t="s">
        <v>1289</v>
      </c>
      <c r="J372" s="24" t="s">
        <v>1081</v>
      </c>
      <c r="K372" s="24" t="s">
        <v>1082</v>
      </c>
      <c r="L372" s="24" t="s">
        <v>1083</v>
      </c>
      <c r="M372" s="24">
        <v>4104</v>
      </c>
      <c r="N372" s="24" t="s">
        <v>1058</v>
      </c>
      <c r="O372" s="24" t="s">
        <v>1290</v>
      </c>
    </row>
    <row r="373" spans="1:15">
      <c r="A373" s="24" t="s">
        <v>1291</v>
      </c>
      <c r="B373" s="24" t="s">
        <v>606</v>
      </c>
      <c r="C373" s="24" t="s">
        <v>109</v>
      </c>
      <c r="D373" s="24" t="s">
        <v>110</v>
      </c>
      <c r="E373" s="24" t="s">
        <v>1287</v>
      </c>
      <c r="F373" s="24" t="s">
        <v>1288</v>
      </c>
      <c r="G373" s="24" t="s">
        <v>1078</v>
      </c>
      <c r="H373" s="24" t="s">
        <v>1209</v>
      </c>
      <c r="I373" s="24" t="s">
        <v>1292</v>
      </c>
      <c r="J373" s="24" t="s">
        <v>1081</v>
      </c>
      <c r="K373" s="24" t="s">
        <v>1082</v>
      </c>
      <c r="L373" s="24" t="s">
        <v>1083</v>
      </c>
      <c r="M373" s="24">
        <v>4104</v>
      </c>
      <c r="N373" s="24" t="s">
        <v>1058</v>
      </c>
      <c r="O373" s="24" t="s">
        <v>1290</v>
      </c>
    </row>
    <row r="374" spans="1:15">
      <c r="A374" s="24" t="s">
        <v>1240</v>
      </c>
      <c r="B374" s="24" t="s">
        <v>606</v>
      </c>
      <c r="C374" s="24" t="s">
        <v>109</v>
      </c>
      <c r="D374" s="24" t="s">
        <v>110</v>
      </c>
      <c r="E374" s="24" t="s">
        <v>1287</v>
      </c>
      <c r="F374" s="24" t="s">
        <v>1288</v>
      </c>
      <c r="G374" s="24" t="s">
        <v>1078</v>
      </c>
      <c r="H374" s="24" t="s">
        <v>1209</v>
      </c>
      <c r="I374" s="24" t="s">
        <v>1243</v>
      </c>
      <c r="J374" s="24" t="s">
        <v>1081</v>
      </c>
      <c r="K374" s="24" t="s">
        <v>1082</v>
      </c>
      <c r="L374" s="24" t="s">
        <v>1083</v>
      </c>
      <c r="M374" s="24">
        <v>4104</v>
      </c>
      <c r="N374" s="24" t="s">
        <v>1058</v>
      </c>
      <c r="O374" s="24" t="s">
        <v>1290</v>
      </c>
    </row>
    <row r="375" spans="1:15">
      <c r="A375" s="24" t="s">
        <v>1293</v>
      </c>
      <c r="B375" s="24" t="s">
        <v>606</v>
      </c>
      <c r="C375" s="24" t="s">
        <v>109</v>
      </c>
      <c r="D375" s="24" t="s">
        <v>110</v>
      </c>
      <c r="E375" s="24" t="s">
        <v>1287</v>
      </c>
      <c r="F375" s="24" t="s">
        <v>1288</v>
      </c>
      <c r="G375" s="24" t="s">
        <v>1078</v>
      </c>
      <c r="H375" s="24" t="s">
        <v>1209</v>
      </c>
      <c r="I375" s="24" t="s">
        <v>1294</v>
      </c>
      <c r="J375" s="24" t="s">
        <v>1081</v>
      </c>
      <c r="K375" s="24" t="s">
        <v>1082</v>
      </c>
      <c r="L375" s="24" t="s">
        <v>1083</v>
      </c>
      <c r="M375" s="24">
        <v>4104</v>
      </c>
      <c r="N375" s="24" t="s">
        <v>1058</v>
      </c>
      <c r="O375" s="24" t="s">
        <v>1290</v>
      </c>
    </row>
    <row r="376" spans="1:15">
      <c r="A376" s="24" t="s">
        <v>1245</v>
      </c>
      <c r="B376" s="24" t="s">
        <v>606</v>
      </c>
      <c r="C376" s="24" t="s">
        <v>117</v>
      </c>
      <c r="D376" s="24" t="s">
        <v>118</v>
      </c>
      <c r="E376" s="24" t="s">
        <v>873</v>
      </c>
      <c r="F376" s="24" t="s">
        <v>1295</v>
      </c>
      <c r="G376" s="24" t="s">
        <v>1078</v>
      </c>
      <c r="H376" s="24" t="s">
        <v>1209</v>
      </c>
      <c r="I376" s="24" t="s">
        <v>1247</v>
      </c>
      <c r="J376" s="24" t="s">
        <v>1081</v>
      </c>
      <c r="K376" s="24" t="s">
        <v>1082</v>
      </c>
      <c r="L376" s="24" t="s">
        <v>1083</v>
      </c>
      <c r="M376" s="24">
        <v>4104</v>
      </c>
      <c r="N376" s="24" t="s">
        <v>1058</v>
      </c>
      <c r="O376" s="24" t="s">
        <v>1296</v>
      </c>
    </row>
    <row r="377" spans="1:15">
      <c r="A377" s="24" t="s">
        <v>1258</v>
      </c>
      <c r="B377" s="24" t="s">
        <v>606</v>
      </c>
      <c r="C377" s="24" t="s">
        <v>48</v>
      </c>
      <c r="D377" s="24" t="s">
        <v>1297</v>
      </c>
      <c r="E377" s="24" t="s">
        <v>1298</v>
      </c>
      <c r="F377" s="24" t="s">
        <v>1299</v>
      </c>
      <c r="G377" s="24" t="s">
        <v>1078</v>
      </c>
      <c r="H377" s="24" t="s">
        <v>1079</v>
      </c>
      <c r="I377" s="24" t="s">
        <v>1262</v>
      </c>
      <c r="J377" s="24" t="s">
        <v>1081</v>
      </c>
      <c r="K377" s="24" t="s">
        <v>1082</v>
      </c>
      <c r="L377" s="24" t="s">
        <v>1083</v>
      </c>
      <c r="M377" s="24">
        <v>3</v>
      </c>
      <c r="N377" s="24" t="s">
        <v>1053</v>
      </c>
      <c r="O377" s="24" t="s">
        <v>1300</v>
      </c>
    </row>
    <row r="378" spans="1:15">
      <c r="A378" s="24" t="s">
        <v>1258</v>
      </c>
      <c r="B378" s="24" t="s">
        <v>606</v>
      </c>
      <c r="C378" s="24" t="s">
        <v>48</v>
      </c>
      <c r="D378" s="24" t="s">
        <v>1297</v>
      </c>
      <c r="E378" s="24" t="s">
        <v>1298</v>
      </c>
      <c r="F378" s="24" t="s">
        <v>1299</v>
      </c>
      <c r="G378" s="24" t="s">
        <v>1078</v>
      </c>
      <c r="H378" s="24" t="s">
        <v>1079</v>
      </c>
      <c r="I378" s="24" t="s">
        <v>1262</v>
      </c>
      <c r="J378" s="24" t="s">
        <v>1081</v>
      </c>
      <c r="K378" s="24" t="s">
        <v>1082</v>
      </c>
      <c r="L378" s="24" t="s">
        <v>1083</v>
      </c>
      <c r="M378" s="24">
        <v>3</v>
      </c>
      <c r="N378" s="24" t="s">
        <v>1053</v>
      </c>
      <c r="O378" s="24" t="s">
        <v>1300</v>
      </c>
    </row>
    <row r="379" spans="1:15">
      <c r="A379" s="24" t="s">
        <v>1258</v>
      </c>
      <c r="B379" s="24" t="s">
        <v>606</v>
      </c>
      <c r="C379" s="24" t="s">
        <v>48</v>
      </c>
      <c r="D379" s="24" t="s">
        <v>1297</v>
      </c>
      <c r="E379" s="24" t="s">
        <v>1298</v>
      </c>
      <c r="F379" s="24" t="s">
        <v>1299</v>
      </c>
      <c r="G379" s="24" t="s">
        <v>1078</v>
      </c>
      <c r="H379" s="24" t="s">
        <v>1079</v>
      </c>
      <c r="I379" s="24" t="s">
        <v>1262</v>
      </c>
      <c r="J379" s="24" t="s">
        <v>1081</v>
      </c>
      <c r="K379" s="24" t="s">
        <v>1082</v>
      </c>
      <c r="L379" s="24" t="s">
        <v>1083</v>
      </c>
      <c r="M379" s="24">
        <v>3</v>
      </c>
      <c r="N379" s="24" t="s">
        <v>1053</v>
      </c>
      <c r="O379" s="24" t="s">
        <v>1300</v>
      </c>
    </row>
    <row r="380" spans="1:15">
      <c r="A380" s="24" t="s">
        <v>1258</v>
      </c>
      <c r="B380" s="24" t="s">
        <v>606</v>
      </c>
      <c r="C380" s="24" t="s">
        <v>48</v>
      </c>
      <c r="D380" s="24" t="s">
        <v>1297</v>
      </c>
      <c r="E380" s="24" t="s">
        <v>1298</v>
      </c>
      <c r="F380" s="24" t="s">
        <v>1299</v>
      </c>
      <c r="G380" s="24" t="s">
        <v>1078</v>
      </c>
      <c r="H380" s="24" t="s">
        <v>1079</v>
      </c>
      <c r="I380" s="24" t="s">
        <v>1262</v>
      </c>
      <c r="J380" s="24" t="s">
        <v>1081</v>
      </c>
      <c r="K380" s="24" t="s">
        <v>1082</v>
      </c>
      <c r="L380" s="24" t="s">
        <v>1083</v>
      </c>
      <c r="M380" s="24">
        <v>3</v>
      </c>
      <c r="N380" s="24" t="s">
        <v>1053</v>
      </c>
      <c r="O380" s="24" t="s">
        <v>1300</v>
      </c>
    </row>
    <row r="381" spans="1:15">
      <c r="A381" s="24" t="s">
        <v>1106</v>
      </c>
      <c r="B381" s="24" t="s">
        <v>606</v>
      </c>
      <c r="C381" s="24" t="s">
        <v>48</v>
      </c>
      <c r="D381" s="24" t="s">
        <v>1301</v>
      </c>
      <c r="E381" s="24" t="s">
        <v>1302</v>
      </c>
      <c r="F381" s="24" t="s">
        <v>1303</v>
      </c>
      <c r="G381" s="24" t="s">
        <v>1078</v>
      </c>
      <c r="H381" s="24" t="s">
        <v>1079</v>
      </c>
      <c r="I381" s="24" t="s">
        <v>1107</v>
      </c>
      <c r="J381" s="24" t="s">
        <v>1081</v>
      </c>
      <c r="K381" s="24" t="s">
        <v>1082</v>
      </c>
      <c r="L381" s="24" t="s">
        <v>1083</v>
      </c>
      <c r="M381" s="24">
        <v>1</v>
      </c>
      <c r="N381" s="24" t="s">
        <v>1052</v>
      </c>
      <c r="O381" s="24" t="s">
        <v>1304</v>
      </c>
    </row>
    <row r="382" spans="1:15">
      <c r="A382" s="24" t="s">
        <v>1106</v>
      </c>
      <c r="B382" s="24" t="s">
        <v>606</v>
      </c>
      <c r="C382" s="24" t="s">
        <v>48</v>
      </c>
      <c r="D382" s="24" t="s">
        <v>1301</v>
      </c>
      <c r="E382" s="24" t="s">
        <v>1302</v>
      </c>
      <c r="F382" s="24" t="s">
        <v>1303</v>
      </c>
      <c r="G382" s="24" t="s">
        <v>1078</v>
      </c>
      <c r="H382" s="24" t="s">
        <v>1079</v>
      </c>
      <c r="I382" s="24" t="s">
        <v>1107</v>
      </c>
      <c r="J382" s="24" t="s">
        <v>1081</v>
      </c>
      <c r="K382" s="24" t="s">
        <v>1082</v>
      </c>
      <c r="L382" s="24" t="s">
        <v>1083</v>
      </c>
      <c r="M382" s="24">
        <v>1</v>
      </c>
      <c r="N382" s="24" t="s">
        <v>1052</v>
      </c>
      <c r="O382" s="24" t="s">
        <v>1304</v>
      </c>
    </row>
    <row r="383" spans="1:15">
      <c r="A383" s="24" t="s">
        <v>1305</v>
      </c>
      <c r="B383" s="24" t="s">
        <v>606</v>
      </c>
      <c r="C383" s="24" t="s">
        <v>48</v>
      </c>
      <c r="D383" s="24" t="s">
        <v>1252</v>
      </c>
      <c r="E383" s="24" t="s">
        <v>1306</v>
      </c>
      <c r="F383" s="24" t="s">
        <v>1307</v>
      </c>
      <c r="G383" s="24" t="s">
        <v>1078</v>
      </c>
      <c r="H383" s="24" t="s">
        <v>1209</v>
      </c>
      <c r="I383" s="24" t="s">
        <v>1308</v>
      </c>
      <c r="J383" s="24" t="s">
        <v>1081</v>
      </c>
      <c r="K383" s="24" t="s">
        <v>1082</v>
      </c>
      <c r="L383" s="24" t="s">
        <v>1083</v>
      </c>
      <c r="M383" s="24">
        <v>4104</v>
      </c>
      <c r="N383" s="24" t="s">
        <v>1058</v>
      </c>
      <c r="O383" s="24" t="s">
        <v>1309</v>
      </c>
    </row>
  </sheetData>
  <autoFilter ref="A4:O383" xr:uid="{DC61B506-843E-4B29-AF1A-4939A602E9AE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2AA0-3399-43E7-9A8D-BA38625366EA}">
  <dimension ref="A1:L14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19" customWidth="1"/>
    <col min="2" max="2" width="42.625" style="19" customWidth="1"/>
    <col min="3" max="3" width="18.625" style="19" customWidth="1"/>
    <col min="4" max="5" width="22.625" style="19" customWidth="1"/>
    <col min="6" max="6" width="12.625" style="19" customWidth="1"/>
    <col min="7" max="11" width="18.625" style="19" customWidth="1"/>
    <col min="12" max="12" width="42.625" style="19" customWidth="1"/>
    <col min="13" max="16384" width="11" style="19"/>
  </cols>
  <sheetData>
    <row r="1" spans="1:12" ht="27.95" customHeight="1">
      <c r="A1" s="21" t="s">
        <v>1310</v>
      </c>
    </row>
    <row r="2" spans="1:12" ht="36" customHeight="1">
      <c r="A2" s="22" t="s">
        <v>1311</v>
      </c>
    </row>
    <row r="4" spans="1:12">
      <c r="A4" s="23" t="s">
        <v>1312</v>
      </c>
      <c r="B4" s="23" t="s">
        <v>1313</v>
      </c>
      <c r="C4" s="23" t="s">
        <v>1314</v>
      </c>
      <c r="D4" s="23" t="s">
        <v>985</v>
      </c>
      <c r="E4" s="23" t="s">
        <v>986</v>
      </c>
      <c r="F4" s="23" t="s">
        <v>987</v>
      </c>
      <c r="G4" s="23" t="s">
        <v>1315</v>
      </c>
      <c r="H4" s="23" t="s">
        <v>1316</v>
      </c>
      <c r="I4" s="23" t="s">
        <v>1317</v>
      </c>
      <c r="J4" s="23" t="s">
        <v>1318</v>
      </c>
      <c r="K4" s="23" t="s">
        <v>1319</v>
      </c>
      <c r="L4" s="23" t="s">
        <v>998</v>
      </c>
    </row>
    <row r="5" spans="1:12">
      <c r="A5" s="24" t="s">
        <v>1320</v>
      </c>
      <c r="B5" s="24" t="s">
        <v>1321</v>
      </c>
      <c r="C5" s="24" t="s">
        <v>955</v>
      </c>
      <c r="D5" s="24" t="s">
        <v>1322</v>
      </c>
      <c r="E5" s="24" t="s">
        <v>1323</v>
      </c>
      <c r="F5" s="24">
        <v>0.7</v>
      </c>
      <c r="G5" s="24" t="s">
        <v>1324</v>
      </c>
      <c r="H5" s="24" t="s">
        <v>1325</v>
      </c>
      <c r="I5" s="24"/>
      <c r="J5" s="24"/>
      <c r="K5" s="24" t="s">
        <v>1326</v>
      </c>
      <c r="L5" s="24" t="s">
        <v>1327</v>
      </c>
    </row>
    <row r="6" spans="1:12">
      <c r="A6" s="24" t="s">
        <v>1328</v>
      </c>
      <c r="B6" s="24" t="s">
        <v>1329</v>
      </c>
      <c r="C6" s="24" t="s">
        <v>955</v>
      </c>
      <c r="D6" s="24" t="s">
        <v>1330</v>
      </c>
      <c r="E6" s="24" t="s">
        <v>1331</v>
      </c>
      <c r="F6" s="24">
        <v>0.31</v>
      </c>
      <c r="G6" s="24"/>
      <c r="H6" s="24" t="s">
        <v>1325</v>
      </c>
      <c r="I6" s="24"/>
      <c r="J6" s="24"/>
      <c r="K6" s="24" t="s">
        <v>1326</v>
      </c>
      <c r="L6" s="24" t="s">
        <v>1332</v>
      </c>
    </row>
    <row r="7" spans="1:12">
      <c r="A7" s="24" t="s">
        <v>1333</v>
      </c>
      <c r="B7" s="24" t="s">
        <v>1334</v>
      </c>
      <c r="C7" s="24" t="s">
        <v>955</v>
      </c>
      <c r="D7" s="24" t="s">
        <v>1335</v>
      </c>
      <c r="E7" s="24" t="s">
        <v>1336</v>
      </c>
      <c r="F7" s="24">
        <v>2.89</v>
      </c>
      <c r="G7" s="24" t="s">
        <v>1337</v>
      </c>
      <c r="H7" s="24" t="s">
        <v>1325</v>
      </c>
      <c r="I7" s="24"/>
      <c r="J7" s="24"/>
      <c r="K7" s="24" t="s">
        <v>1326</v>
      </c>
      <c r="L7" s="24" t="s">
        <v>1338</v>
      </c>
    </row>
    <row r="8" spans="1:12">
      <c r="A8" s="24" t="s">
        <v>1339</v>
      </c>
      <c r="B8" s="24" t="s">
        <v>1340</v>
      </c>
      <c r="C8" s="24" t="s">
        <v>955</v>
      </c>
      <c r="D8" s="24" t="s">
        <v>1341</v>
      </c>
      <c r="E8" s="24" t="s">
        <v>1342</v>
      </c>
      <c r="F8" s="24">
        <v>0.03</v>
      </c>
      <c r="G8" s="24"/>
      <c r="H8" s="24" t="s">
        <v>1325</v>
      </c>
      <c r="I8" s="24"/>
      <c r="J8" s="24"/>
      <c r="K8" s="24" t="s">
        <v>1326</v>
      </c>
      <c r="L8" s="24" t="s">
        <v>1343</v>
      </c>
    </row>
    <row r="9" spans="1:12">
      <c r="A9" s="24" t="s">
        <v>1344</v>
      </c>
      <c r="B9" s="24" t="s">
        <v>1345</v>
      </c>
      <c r="C9" s="24" t="s">
        <v>955</v>
      </c>
      <c r="D9" s="24" t="s">
        <v>1346</v>
      </c>
      <c r="E9" s="24" t="s">
        <v>1347</v>
      </c>
      <c r="F9" s="24">
        <v>0.64</v>
      </c>
      <c r="G9" s="24"/>
      <c r="H9" s="24" t="s">
        <v>1325</v>
      </c>
      <c r="I9" s="24"/>
      <c r="J9" s="24"/>
      <c r="K9" s="24" t="s">
        <v>1326</v>
      </c>
      <c r="L9" s="24" t="s">
        <v>1348</v>
      </c>
    </row>
    <row r="10" spans="1:12">
      <c r="A10" s="24" t="s">
        <v>1349</v>
      </c>
      <c r="B10" s="24" t="s">
        <v>1350</v>
      </c>
      <c r="C10" s="24" t="s">
        <v>955</v>
      </c>
      <c r="D10" s="24" t="s">
        <v>1351</v>
      </c>
      <c r="E10" s="24" t="s">
        <v>1352</v>
      </c>
      <c r="F10" s="24">
        <v>1.4</v>
      </c>
      <c r="G10" s="24"/>
      <c r="H10" s="24" t="s">
        <v>1325</v>
      </c>
      <c r="I10" s="24"/>
      <c r="J10" s="24"/>
      <c r="K10" s="24" t="s">
        <v>1326</v>
      </c>
      <c r="L10" s="24" t="s">
        <v>1353</v>
      </c>
    </row>
    <row r="11" spans="1:12">
      <c r="A11" s="24" t="s">
        <v>1354</v>
      </c>
      <c r="B11" s="24" t="s">
        <v>1355</v>
      </c>
      <c r="C11" s="24" t="s">
        <v>955</v>
      </c>
      <c r="D11" s="24" t="s">
        <v>1356</v>
      </c>
      <c r="E11" s="24" t="s">
        <v>1357</v>
      </c>
      <c r="F11" s="24">
        <v>2.3199999999999998</v>
      </c>
      <c r="G11" s="24" t="s">
        <v>1358</v>
      </c>
      <c r="H11" s="24" t="s">
        <v>1325</v>
      </c>
      <c r="I11" s="24"/>
      <c r="J11" s="24"/>
      <c r="K11" s="24" t="s">
        <v>1326</v>
      </c>
      <c r="L11" s="24" t="s">
        <v>1359</v>
      </c>
    </row>
    <row r="12" spans="1:12">
      <c r="A12" s="24" t="s">
        <v>1360</v>
      </c>
      <c r="B12" s="24" t="s">
        <v>1361</v>
      </c>
      <c r="C12" s="24" t="s">
        <v>955</v>
      </c>
      <c r="D12" s="24" t="s">
        <v>1362</v>
      </c>
      <c r="E12" s="24" t="s">
        <v>1363</v>
      </c>
      <c r="F12" s="24">
        <v>0.66</v>
      </c>
      <c r="G12" s="24" t="s">
        <v>1364</v>
      </c>
      <c r="H12" s="24" t="s">
        <v>1325</v>
      </c>
      <c r="I12" s="24"/>
      <c r="J12" s="24"/>
      <c r="K12" s="24" t="s">
        <v>1326</v>
      </c>
      <c r="L12" s="24" t="s">
        <v>1365</v>
      </c>
    </row>
    <row r="13" spans="1:12">
      <c r="A13" s="24" t="s">
        <v>1366</v>
      </c>
      <c r="B13" s="24" t="s">
        <v>1367</v>
      </c>
      <c r="C13" s="24" t="s">
        <v>955</v>
      </c>
      <c r="D13" s="24" t="s">
        <v>1368</v>
      </c>
      <c r="E13" s="24" t="s">
        <v>1369</v>
      </c>
      <c r="F13" s="24">
        <v>3.56</v>
      </c>
      <c r="G13" s="24"/>
      <c r="H13" s="24" t="s">
        <v>1325</v>
      </c>
      <c r="I13" s="24"/>
      <c r="J13" s="24"/>
      <c r="K13" s="24" t="s">
        <v>1326</v>
      </c>
      <c r="L13" s="24" t="s">
        <v>1370</v>
      </c>
    </row>
    <row r="14" spans="1:12">
      <c r="A14" s="24" t="s">
        <v>1371</v>
      </c>
      <c r="B14" s="24" t="s">
        <v>1372</v>
      </c>
      <c r="C14" s="24" t="s">
        <v>955</v>
      </c>
      <c r="D14" s="24" t="s">
        <v>1373</v>
      </c>
      <c r="E14" s="24" t="s">
        <v>1374</v>
      </c>
      <c r="F14" s="24">
        <v>0.25</v>
      </c>
      <c r="G14" s="24" t="s">
        <v>1375</v>
      </c>
      <c r="H14" s="24" t="s">
        <v>1325</v>
      </c>
      <c r="I14" s="24"/>
      <c r="J14" s="24"/>
      <c r="K14" s="24" t="s">
        <v>1326</v>
      </c>
      <c r="L14" s="24" t="s">
        <v>1376</v>
      </c>
    </row>
  </sheetData>
  <autoFilter ref="A4:L14" xr:uid="{E0E72AA0-3399-43E7-9A8D-BA38625366EA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2E7B-DEB6-42C9-81FA-F7AD22D806BF}">
  <dimension ref="A1:N5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19" customWidth="1"/>
    <col min="11" max="11" width="42.625" style="19" customWidth="1"/>
    <col min="12" max="14" width="18.625" style="19" customWidth="1"/>
    <col min="15" max="16384" width="11" style="19"/>
  </cols>
  <sheetData>
    <row r="1" spans="1:14" ht="27.95" customHeight="1">
      <c r="A1" s="21" t="s">
        <v>1377</v>
      </c>
    </row>
    <row r="2" spans="1:14" ht="36" customHeight="1">
      <c r="A2" s="22" t="s">
        <v>1378</v>
      </c>
    </row>
    <row r="4" spans="1:14">
      <c r="A4" s="23" t="s">
        <v>1379</v>
      </c>
      <c r="B4" s="23" t="s">
        <v>1380</v>
      </c>
      <c r="C4" s="23" t="s">
        <v>1381</v>
      </c>
      <c r="D4" s="23" t="s">
        <v>1382</v>
      </c>
      <c r="E4" s="23" t="s">
        <v>1312</v>
      </c>
      <c r="F4" s="23" t="s">
        <v>1383</v>
      </c>
      <c r="G4" s="23" t="s">
        <v>52</v>
      </c>
      <c r="H4" s="23" t="s">
        <v>1384</v>
      </c>
      <c r="I4" s="23" t="s">
        <v>185</v>
      </c>
      <c r="J4" s="23" t="s">
        <v>1385</v>
      </c>
      <c r="K4" s="23" t="s">
        <v>395</v>
      </c>
      <c r="L4" s="23" t="s">
        <v>1386</v>
      </c>
      <c r="M4" s="23" t="s">
        <v>1387</v>
      </c>
      <c r="N4" s="23" t="s">
        <v>1388</v>
      </c>
    </row>
    <row r="5" spans="1:14">
      <c r="A5" s="24" t="s">
        <v>1389</v>
      </c>
      <c r="B5" s="24"/>
      <c r="C5" s="24"/>
      <c r="D5" s="24"/>
      <c r="E5" s="24" t="s">
        <v>1390</v>
      </c>
      <c r="F5" s="24"/>
      <c r="G5" s="24"/>
      <c r="H5" s="24" t="s">
        <v>1391</v>
      </c>
      <c r="I5" s="24"/>
      <c r="J5" s="24"/>
      <c r="K5" s="24"/>
      <c r="L5" s="24"/>
      <c r="M5" s="24" t="s">
        <v>1325</v>
      </c>
      <c r="N5" s="24" t="s">
        <v>1392</v>
      </c>
    </row>
  </sheetData>
  <autoFilter ref="A4:N5" xr:uid="{21782E7B-DEB6-42C9-81FA-F7AD22D806BF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23D2-E4A6-4376-A0CB-013431943799}">
  <dimension ref="A1:M8"/>
  <sheetViews>
    <sheetView showGridLines="0" workbookViewId="0">
      <pane ySplit="4" topLeftCell="A5" activePane="bottomLeft" state="frozenSplit"/>
      <selection pane="bottomLeft" activeCell="A8" sqref="A8:M8"/>
    </sheetView>
  </sheetViews>
  <sheetFormatPr baseColWidth="10" defaultRowHeight="12.75"/>
  <cols>
    <col min="1" max="2" width="18.625" style="19" customWidth="1"/>
    <col min="3" max="3" width="12.625" style="19" customWidth="1"/>
    <col min="4" max="11" width="18.625" style="19" customWidth="1"/>
    <col min="12" max="13" width="42.625" style="19" customWidth="1"/>
    <col min="14" max="16384" width="11" style="19"/>
  </cols>
  <sheetData>
    <row r="1" spans="1:13" ht="27.95" customHeight="1">
      <c r="A1" s="21" t="s">
        <v>1393</v>
      </c>
    </row>
    <row r="2" spans="1:13" ht="36" customHeight="1">
      <c r="A2" s="22" t="s">
        <v>1394</v>
      </c>
    </row>
    <row r="4" spans="1:13">
      <c r="A4" s="23" t="s">
        <v>1395</v>
      </c>
      <c r="B4" s="23" t="s">
        <v>1396</v>
      </c>
      <c r="C4" s="23" t="s">
        <v>1397</v>
      </c>
      <c r="D4" s="23" t="s">
        <v>990</v>
      </c>
      <c r="E4" s="23" t="s">
        <v>1398</v>
      </c>
      <c r="F4" s="23" t="s">
        <v>1399</v>
      </c>
      <c r="G4" s="23" t="s">
        <v>991</v>
      </c>
      <c r="H4" s="23" t="s">
        <v>1400</v>
      </c>
      <c r="I4" s="23" t="s">
        <v>1401</v>
      </c>
      <c r="J4" s="23" t="s">
        <v>1402</v>
      </c>
      <c r="K4" s="23" t="s">
        <v>1403</v>
      </c>
      <c r="L4" s="23" t="s">
        <v>999</v>
      </c>
      <c r="M4" s="23" t="s">
        <v>1404</v>
      </c>
    </row>
    <row r="5" spans="1:13">
      <c r="A5" s="24" t="s">
        <v>1405</v>
      </c>
      <c r="B5" s="24" t="s">
        <v>1406</v>
      </c>
      <c r="C5" s="24">
        <v>379</v>
      </c>
      <c r="D5" s="24">
        <v>14</v>
      </c>
      <c r="E5" s="24">
        <v>346</v>
      </c>
      <c r="F5" s="24">
        <v>0</v>
      </c>
      <c r="G5" s="24">
        <v>4</v>
      </c>
      <c r="H5" s="24" t="s">
        <v>1407</v>
      </c>
      <c r="I5" s="24" t="s">
        <v>849</v>
      </c>
      <c r="J5" s="24" t="s">
        <v>1408</v>
      </c>
      <c r="K5" s="24" t="s">
        <v>1409</v>
      </c>
      <c r="L5" s="24" t="s">
        <v>1410</v>
      </c>
      <c r="M5" s="24" t="s">
        <v>2536</v>
      </c>
    </row>
    <row r="6" spans="1:13">
      <c r="A6" s="24" t="s">
        <v>1411</v>
      </c>
      <c r="B6" s="24">
        <v>902</v>
      </c>
      <c r="C6" s="24">
        <v>58</v>
      </c>
      <c r="D6" s="24">
        <v>34</v>
      </c>
      <c r="E6" s="24">
        <v>457</v>
      </c>
      <c r="F6" s="24">
        <v>413</v>
      </c>
      <c r="G6" s="24">
        <v>0</v>
      </c>
      <c r="H6" s="24" t="s">
        <v>1412</v>
      </c>
      <c r="I6" s="24">
        <v>0</v>
      </c>
      <c r="J6" s="24" t="s">
        <v>1413</v>
      </c>
      <c r="K6" s="24" t="s">
        <v>1414</v>
      </c>
      <c r="L6" s="24" t="s">
        <v>1415</v>
      </c>
      <c r="M6" s="24" t="s">
        <v>1416</v>
      </c>
    </row>
    <row r="7" spans="1:13">
      <c r="A7" s="24" t="s">
        <v>1417</v>
      </c>
      <c r="B7" s="24">
        <v>18285</v>
      </c>
      <c r="C7" s="24">
        <v>110</v>
      </c>
      <c r="D7" s="24">
        <v>99</v>
      </c>
      <c r="E7" s="24">
        <v>127</v>
      </c>
      <c r="F7" s="24">
        <v>24</v>
      </c>
      <c r="G7" s="24">
        <v>1</v>
      </c>
      <c r="H7" s="24" t="s">
        <v>1418</v>
      </c>
      <c r="I7" s="24">
        <v>56</v>
      </c>
      <c r="J7" s="24" t="s">
        <v>1419</v>
      </c>
      <c r="K7" s="24" t="s">
        <v>1420</v>
      </c>
      <c r="L7" s="24" t="s">
        <v>1421</v>
      </c>
      <c r="M7" s="24" t="s">
        <v>1422</v>
      </c>
    </row>
    <row r="8" spans="1:13" ht="12.75" customHeight="1">
      <c r="A8" s="37" t="s">
        <v>2144</v>
      </c>
      <c r="B8" s="37" t="s">
        <v>2145</v>
      </c>
      <c r="C8" s="37" t="s">
        <v>2146</v>
      </c>
      <c r="D8" s="37" t="s">
        <v>2147</v>
      </c>
      <c r="E8" s="37" t="s">
        <v>2148</v>
      </c>
      <c r="F8" s="37" t="s">
        <v>2149</v>
      </c>
      <c r="G8" s="37" t="s">
        <v>2150</v>
      </c>
      <c r="H8" s="37" t="s">
        <v>2151</v>
      </c>
      <c r="I8" s="37" t="s">
        <v>849</v>
      </c>
      <c r="J8" s="37" t="s">
        <v>2534</v>
      </c>
      <c r="K8" s="37" t="s">
        <v>2152</v>
      </c>
      <c r="L8" s="37" t="s">
        <v>2153</v>
      </c>
      <c r="M8" s="37" t="s">
        <v>2535</v>
      </c>
    </row>
  </sheetData>
  <autoFilter ref="A4:M8" xr:uid="{820F23D2-E4A6-4376-A0CB-013431943799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B182-3810-4A28-A00A-F62AF812946F}">
  <dimension ref="A1:G11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2" width="18.625" style="19" customWidth="1"/>
    <col min="3" max="3" width="42.625" style="19" customWidth="1"/>
    <col min="4" max="5" width="18.625" style="19" customWidth="1"/>
    <col min="6" max="6" width="12.625" style="19" customWidth="1"/>
    <col min="7" max="7" width="42.625" style="19" customWidth="1"/>
    <col min="8" max="16384" width="11" style="19"/>
  </cols>
  <sheetData>
    <row r="1" spans="1:7" ht="27.95" customHeight="1">
      <c r="A1" s="21" t="s">
        <v>1423</v>
      </c>
    </row>
    <row r="2" spans="1:7" ht="36" customHeight="1">
      <c r="A2" s="22" t="s">
        <v>1424</v>
      </c>
    </row>
    <row r="4" spans="1:7">
      <c r="A4" s="23" t="s">
        <v>1425</v>
      </c>
      <c r="B4" s="23" t="s">
        <v>1426</v>
      </c>
      <c r="C4" s="23" t="s">
        <v>1313</v>
      </c>
      <c r="D4" s="23" t="s">
        <v>982</v>
      </c>
      <c r="E4" s="23" t="s">
        <v>136</v>
      </c>
      <c r="F4" s="23" t="s">
        <v>1427</v>
      </c>
      <c r="G4" s="23" t="s">
        <v>999</v>
      </c>
    </row>
    <row r="5" spans="1:7">
      <c r="A5" s="24">
        <v>110201</v>
      </c>
      <c r="B5" s="24">
        <v>15</v>
      </c>
      <c r="C5" s="24" t="s">
        <v>1428</v>
      </c>
      <c r="D5" s="24" t="s">
        <v>48</v>
      </c>
      <c r="E5" s="24" t="s">
        <v>1259</v>
      </c>
      <c r="F5" s="24">
        <v>0</v>
      </c>
      <c r="G5" s="24" t="s">
        <v>1429</v>
      </c>
    </row>
    <row r="6" spans="1:7">
      <c r="A6" s="24">
        <v>110202</v>
      </c>
      <c r="B6" s="24">
        <v>14</v>
      </c>
      <c r="C6" s="24" t="s">
        <v>1430</v>
      </c>
      <c r="D6" s="24" t="s">
        <v>117</v>
      </c>
      <c r="E6" s="24" t="s">
        <v>118</v>
      </c>
      <c r="F6" s="24">
        <v>5</v>
      </c>
      <c r="G6" s="24"/>
    </row>
    <row r="7" spans="1:7">
      <c r="A7" s="24">
        <v>110203</v>
      </c>
      <c r="B7" s="24">
        <v>15</v>
      </c>
      <c r="C7" s="24" t="s">
        <v>1431</v>
      </c>
      <c r="D7" s="24" t="s">
        <v>109</v>
      </c>
      <c r="E7" s="24" t="s">
        <v>110</v>
      </c>
      <c r="F7" s="24">
        <v>4</v>
      </c>
      <c r="G7" s="24"/>
    </row>
    <row r="8" spans="1:7">
      <c r="A8" s="24">
        <v>110301</v>
      </c>
      <c r="B8" s="24">
        <v>10</v>
      </c>
      <c r="C8" s="24" t="s">
        <v>1432</v>
      </c>
      <c r="D8" s="24" t="s">
        <v>62</v>
      </c>
      <c r="E8" s="24" t="s">
        <v>63</v>
      </c>
      <c r="F8" s="24">
        <v>2</v>
      </c>
      <c r="G8" s="24"/>
    </row>
    <row r="9" spans="1:7">
      <c r="A9" s="24">
        <v>110401</v>
      </c>
      <c r="B9" s="24">
        <v>8</v>
      </c>
      <c r="C9" s="24" t="s">
        <v>1433</v>
      </c>
      <c r="D9" s="24" t="s">
        <v>86</v>
      </c>
      <c r="E9" s="24" t="s">
        <v>87</v>
      </c>
      <c r="F9" s="24">
        <v>0</v>
      </c>
      <c r="G9" s="24" t="s">
        <v>1434</v>
      </c>
    </row>
    <row r="10" spans="1:7">
      <c r="A10" s="24">
        <v>110402</v>
      </c>
      <c r="B10" s="24">
        <v>8</v>
      </c>
      <c r="C10" s="24" t="s">
        <v>1435</v>
      </c>
      <c r="D10" s="24" t="s">
        <v>95</v>
      </c>
      <c r="E10" s="24" t="s">
        <v>96</v>
      </c>
      <c r="F10" s="24">
        <v>1</v>
      </c>
      <c r="G10" s="24"/>
    </row>
    <row r="11" spans="1:7">
      <c r="A11" s="24">
        <v>110501</v>
      </c>
      <c r="B11" s="24">
        <v>5</v>
      </c>
      <c r="C11" s="24" t="s">
        <v>1436</v>
      </c>
      <c r="D11" s="24" t="s">
        <v>1437</v>
      </c>
      <c r="E11" s="24" t="s">
        <v>63</v>
      </c>
      <c r="F11" s="24">
        <v>44</v>
      </c>
      <c r="G11" s="24" t="s">
        <v>1438</v>
      </c>
    </row>
  </sheetData>
  <autoFilter ref="A4:G11" xr:uid="{57B5B182-3810-4A28-A00A-F62AF812946F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F4A7-604B-4DA8-AA0C-14FF8853DF40}">
  <dimension ref="A1:E58"/>
  <sheetViews>
    <sheetView showGridLines="0" workbookViewId="0">
      <pane ySplit="4" topLeftCell="A30" activePane="bottomLeft" state="frozenSplit"/>
      <selection pane="bottomLeft" activeCell="A53" sqref="A53:E58"/>
    </sheetView>
  </sheetViews>
  <sheetFormatPr baseColWidth="10" defaultRowHeight="12.75"/>
  <cols>
    <col min="1" max="2" width="18.625" style="19" customWidth="1"/>
    <col min="3" max="5" width="42.625" style="19" customWidth="1"/>
    <col min="6" max="16384" width="11" style="19"/>
  </cols>
  <sheetData>
    <row r="1" spans="1:5" ht="27.95" customHeight="1">
      <c r="A1" s="21" t="s">
        <v>1439</v>
      </c>
    </row>
    <row r="2" spans="1:5" ht="36" customHeight="1">
      <c r="A2" s="22" t="s">
        <v>1440</v>
      </c>
    </row>
    <row r="4" spans="1:5">
      <c r="A4" s="23" t="s">
        <v>1441</v>
      </c>
      <c r="B4" s="23" t="s">
        <v>1426</v>
      </c>
      <c r="C4" s="23" t="s">
        <v>1442</v>
      </c>
      <c r="D4" s="23" t="s">
        <v>952</v>
      </c>
      <c r="E4" s="23" t="s">
        <v>1443</v>
      </c>
    </row>
    <row r="5" spans="1:5">
      <c r="A5" s="24" t="s">
        <v>1444</v>
      </c>
      <c r="B5" s="24" t="s">
        <v>1445</v>
      </c>
      <c r="C5" s="24" t="s">
        <v>1084</v>
      </c>
      <c r="D5" s="24" t="s">
        <v>1446</v>
      </c>
      <c r="E5" s="24" t="s">
        <v>1447</v>
      </c>
    </row>
    <row r="6" spans="1:5">
      <c r="A6" s="24" t="s">
        <v>1444</v>
      </c>
      <c r="B6" s="24" t="s">
        <v>1445</v>
      </c>
      <c r="C6" s="24" t="s">
        <v>1116</v>
      </c>
      <c r="D6" s="24" t="s">
        <v>1448</v>
      </c>
      <c r="E6" s="24" t="s">
        <v>1447</v>
      </c>
    </row>
    <row r="7" spans="1:5">
      <c r="A7" s="24" t="s">
        <v>1444</v>
      </c>
      <c r="B7" s="24" t="s">
        <v>1445</v>
      </c>
      <c r="C7" s="24" t="s">
        <v>1185</v>
      </c>
      <c r="D7" s="24" t="s">
        <v>1449</v>
      </c>
      <c r="E7" s="24" t="s">
        <v>1447</v>
      </c>
    </row>
    <row r="8" spans="1:5">
      <c r="A8" s="24" t="s">
        <v>1444</v>
      </c>
      <c r="B8" s="24" t="s">
        <v>1445</v>
      </c>
      <c r="C8" s="24" t="s">
        <v>1195</v>
      </c>
      <c r="D8" s="24" t="s">
        <v>1450</v>
      </c>
      <c r="E8" s="24" t="s">
        <v>1447</v>
      </c>
    </row>
    <row r="9" spans="1:5">
      <c r="A9" s="24" t="s">
        <v>1444</v>
      </c>
      <c r="B9" s="24" t="s">
        <v>1445</v>
      </c>
      <c r="C9" s="24" t="s">
        <v>1206</v>
      </c>
      <c r="D9" s="24" t="s">
        <v>1451</v>
      </c>
      <c r="E9" s="24" t="s">
        <v>1447</v>
      </c>
    </row>
    <row r="10" spans="1:5">
      <c r="A10" s="24" t="s">
        <v>1444</v>
      </c>
      <c r="B10" s="24" t="s">
        <v>1445</v>
      </c>
      <c r="C10" s="24" t="s">
        <v>1211</v>
      </c>
      <c r="D10" s="24" t="s">
        <v>1452</v>
      </c>
      <c r="E10" s="24" t="s">
        <v>1447</v>
      </c>
    </row>
    <row r="11" spans="1:5">
      <c r="A11" s="24" t="s">
        <v>1444</v>
      </c>
      <c r="B11" s="24" t="s">
        <v>1445</v>
      </c>
      <c r="C11" s="24" t="s">
        <v>1219</v>
      </c>
      <c r="D11" s="24" t="s">
        <v>1453</v>
      </c>
      <c r="E11" s="24" t="s">
        <v>1447</v>
      </c>
    </row>
    <row r="12" spans="1:5">
      <c r="A12" s="24" t="s">
        <v>1444</v>
      </c>
      <c r="B12" s="24" t="s">
        <v>1445</v>
      </c>
      <c r="C12" s="24" t="s">
        <v>1235</v>
      </c>
      <c r="D12" s="24" t="s">
        <v>1454</v>
      </c>
      <c r="E12" s="24" t="s">
        <v>1447</v>
      </c>
    </row>
    <row r="13" spans="1:5">
      <c r="A13" s="24" t="s">
        <v>1444</v>
      </c>
      <c r="B13" s="24" t="s">
        <v>1445</v>
      </c>
      <c r="C13" s="24" t="s">
        <v>1239</v>
      </c>
      <c r="D13" s="24" t="s">
        <v>1451</v>
      </c>
      <c r="E13" s="24" t="s">
        <v>1447</v>
      </c>
    </row>
    <row r="14" spans="1:5">
      <c r="A14" s="24" t="s">
        <v>1444</v>
      </c>
      <c r="B14" s="24" t="s">
        <v>1445</v>
      </c>
      <c r="C14" s="24" t="s">
        <v>1244</v>
      </c>
      <c r="D14" s="24" t="s">
        <v>1455</v>
      </c>
      <c r="E14" s="24" t="s">
        <v>1447</v>
      </c>
    </row>
    <row r="15" spans="1:5">
      <c r="A15" s="24" t="s">
        <v>1444</v>
      </c>
      <c r="B15" s="24" t="s">
        <v>1445</v>
      </c>
      <c r="C15" s="24" t="s">
        <v>1250</v>
      </c>
      <c r="D15" s="24" t="s">
        <v>1456</v>
      </c>
      <c r="E15" s="24" t="s">
        <v>1447</v>
      </c>
    </row>
    <row r="16" spans="1:5">
      <c r="A16" s="24" t="s">
        <v>1444</v>
      </c>
      <c r="B16" s="24" t="s">
        <v>1445</v>
      </c>
      <c r="C16" s="24" t="s">
        <v>1257</v>
      </c>
      <c r="D16" s="24" t="s">
        <v>1457</v>
      </c>
      <c r="E16" s="24" t="s">
        <v>1447</v>
      </c>
    </row>
    <row r="17" spans="1:5">
      <c r="A17" s="24" t="s">
        <v>1444</v>
      </c>
      <c r="B17" s="24" t="s">
        <v>1445</v>
      </c>
      <c r="C17" s="24" t="s">
        <v>1263</v>
      </c>
      <c r="D17" s="24" t="s">
        <v>1458</v>
      </c>
      <c r="E17" s="24" t="s">
        <v>1447</v>
      </c>
    </row>
    <row r="18" spans="1:5">
      <c r="A18" s="24" t="s">
        <v>1444</v>
      </c>
      <c r="B18" s="24" t="s">
        <v>1445</v>
      </c>
      <c r="C18" s="24" t="s">
        <v>1266</v>
      </c>
      <c r="D18" s="24" t="s">
        <v>1459</v>
      </c>
      <c r="E18" s="24" t="s">
        <v>1447</v>
      </c>
    </row>
    <row r="19" spans="1:5">
      <c r="A19" s="24" t="s">
        <v>1444</v>
      </c>
      <c r="B19" s="24" t="s">
        <v>1445</v>
      </c>
      <c r="C19" s="24" t="s">
        <v>1269</v>
      </c>
      <c r="D19" s="24" t="s">
        <v>1460</v>
      </c>
      <c r="E19" s="24" t="s">
        <v>1447</v>
      </c>
    </row>
    <row r="20" spans="1:5">
      <c r="A20" s="24" t="s">
        <v>1444</v>
      </c>
      <c r="B20" s="24" t="s">
        <v>1445</v>
      </c>
      <c r="C20" s="24" t="s">
        <v>1272</v>
      </c>
      <c r="D20" s="24" t="s">
        <v>1461</v>
      </c>
      <c r="E20" s="24" t="s">
        <v>1447</v>
      </c>
    </row>
    <row r="21" spans="1:5">
      <c r="A21" s="24" t="s">
        <v>1444</v>
      </c>
      <c r="B21" s="24" t="s">
        <v>1445</v>
      </c>
      <c r="C21" s="24" t="s">
        <v>1275</v>
      </c>
      <c r="D21" s="24" t="s">
        <v>1462</v>
      </c>
      <c r="E21" s="24" t="s">
        <v>1447</v>
      </c>
    </row>
    <row r="22" spans="1:5">
      <c r="A22" s="24" t="s">
        <v>1444</v>
      </c>
      <c r="B22" s="24" t="s">
        <v>1445</v>
      </c>
      <c r="C22" s="24" t="s">
        <v>1278</v>
      </c>
      <c r="D22" s="24" t="s">
        <v>1451</v>
      </c>
      <c r="E22" s="24" t="s">
        <v>1447</v>
      </c>
    </row>
    <row r="23" spans="1:5">
      <c r="A23" s="24" t="s">
        <v>1444</v>
      </c>
      <c r="B23" s="24" t="s">
        <v>1445</v>
      </c>
      <c r="C23" s="24" t="s">
        <v>1281</v>
      </c>
      <c r="D23" s="24" t="s">
        <v>1463</v>
      </c>
      <c r="E23" s="24" t="s">
        <v>1447</v>
      </c>
    </row>
    <row r="24" spans="1:5">
      <c r="A24" s="24" t="s">
        <v>1444</v>
      </c>
      <c r="B24" s="24" t="s">
        <v>1445</v>
      </c>
      <c r="C24" s="24" t="s">
        <v>1285</v>
      </c>
      <c r="D24" s="24" t="s">
        <v>1464</v>
      </c>
      <c r="E24" s="24" t="s">
        <v>1447</v>
      </c>
    </row>
    <row r="25" spans="1:5">
      <c r="A25" s="24" t="s">
        <v>1444</v>
      </c>
      <c r="B25" s="24" t="s">
        <v>1445</v>
      </c>
      <c r="C25" s="24" t="s">
        <v>1290</v>
      </c>
      <c r="D25" s="24" t="s">
        <v>1465</v>
      </c>
      <c r="E25" s="24" t="s">
        <v>1447</v>
      </c>
    </row>
    <row r="26" spans="1:5">
      <c r="A26" s="24" t="s">
        <v>1444</v>
      </c>
      <c r="B26" s="24" t="s">
        <v>1445</v>
      </c>
      <c r="C26" s="24" t="s">
        <v>1296</v>
      </c>
      <c r="D26" s="24" t="s">
        <v>1466</v>
      </c>
      <c r="E26" s="24" t="s">
        <v>1447</v>
      </c>
    </row>
    <row r="27" spans="1:5">
      <c r="A27" s="24" t="s">
        <v>1444</v>
      </c>
      <c r="B27" s="24" t="s">
        <v>1445</v>
      </c>
      <c r="C27" s="24" t="s">
        <v>1300</v>
      </c>
      <c r="D27" s="24" t="s">
        <v>1467</v>
      </c>
      <c r="E27" s="24" t="s">
        <v>1447</v>
      </c>
    </row>
    <row r="28" spans="1:5">
      <c r="A28" s="24" t="s">
        <v>1444</v>
      </c>
      <c r="B28" s="24" t="s">
        <v>1445</v>
      </c>
      <c r="C28" s="24" t="s">
        <v>1304</v>
      </c>
      <c r="D28" s="24" t="s">
        <v>1468</v>
      </c>
      <c r="E28" s="24" t="s">
        <v>1447</v>
      </c>
    </row>
    <row r="29" spans="1:5">
      <c r="A29" s="24" t="s">
        <v>1444</v>
      </c>
      <c r="B29" s="24" t="s">
        <v>1445</v>
      </c>
      <c r="C29" s="24" t="s">
        <v>1309</v>
      </c>
      <c r="D29" s="24" t="s">
        <v>1469</v>
      </c>
      <c r="E29" s="24" t="s">
        <v>1447</v>
      </c>
    </row>
    <row r="30" spans="1:5">
      <c r="A30" s="24" t="s">
        <v>1444</v>
      </c>
      <c r="B30" s="24" t="s">
        <v>1445</v>
      </c>
      <c r="C30" s="24" t="s">
        <v>1470</v>
      </c>
      <c r="D30" s="24" t="s">
        <v>1471</v>
      </c>
      <c r="E30" s="24" t="s">
        <v>1472</v>
      </c>
    </row>
    <row r="31" spans="1:5">
      <c r="A31" s="24" t="s">
        <v>1444</v>
      </c>
      <c r="B31" s="24" t="s">
        <v>1445</v>
      </c>
      <c r="C31" s="24" t="s">
        <v>1473</v>
      </c>
      <c r="D31" s="24" t="s">
        <v>1474</v>
      </c>
      <c r="E31" s="24" t="s">
        <v>1472</v>
      </c>
    </row>
    <row r="32" spans="1:5">
      <c r="A32" s="24" t="s">
        <v>1444</v>
      </c>
      <c r="B32" s="24" t="s">
        <v>1445</v>
      </c>
      <c r="C32" s="24" t="s">
        <v>1475</v>
      </c>
      <c r="D32" s="24" t="s">
        <v>1476</v>
      </c>
      <c r="E32" s="24" t="s">
        <v>1472</v>
      </c>
    </row>
    <row r="33" spans="1:5">
      <c r="A33" s="24" t="s">
        <v>1444</v>
      </c>
      <c r="B33" s="24" t="s">
        <v>1445</v>
      </c>
      <c r="C33" s="24" t="s">
        <v>1477</v>
      </c>
      <c r="D33" s="24" t="s">
        <v>1478</v>
      </c>
      <c r="E33" s="24" t="s">
        <v>1472</v>
      </c>
    </row>
    <row r="34" spans="1:5">
      <c r="A34" s="24" t="s">
        <v>1444</v>
      </c>
      <c r="B34" s="24" t="s">
        <v>1445</v>
      </c>
      <c r="C34" s="24" t="s">
        <v>1479</v>
      </c>
      <c r="D34" s="24" t="s">
        <v>1480</v>
      </c>
      <c r="E34" s="24" t="s">
        <v>1472</v>
      </c>
    </row>
    <row r="35" spans="1:5">
      <c r="A35" s="24" t="s">
        <v>1444</v>
      </c>
      <c r="B35" s="24" t="s">
        <v>1445</v>
      </c>
      <c r="C35" s="24" t="s">
        <v>1481</v>
      </c>
      <c r="D35" s="24" t="s">
        <v>1482</v>
      </c>
      <c r="E35" s="24" t="s">
        <v>1472</v>
      </c>
    </row>
    <row r="36" spans="1:5">
      <c r="A36" s="24" t="s">
        <v>1444</v>
      </c>
      <c r="B36" s="24" t="s">
        <v>1445</v>
      </c>
      <c r="C36" s="24" t="s">
        <v>1483</v>
      </c>
      <c r="D36" s="24" t="s">
        <v>1484</v>
      </c>
      <c r="E36" s="24" t="s">
        <v>1472</v>
      </c>
    </row>
    <row r="37" spans="1:5">
      <c r="A37" s="24" t="s">
        <v>1444</v>
      </c>
      <c r="B37" s="24" t="s">
        <v>1445</v>
      </c>
      <c r="C37" s="24" t="s">
        <v>1485</v>
      </c>
      <c r="D37" s="24" t="s">
        <v>1480</v>
      </c>
      <c r="E37" s="24" t="s">
        <v>1472</v>
      </c>
    </row>
    <row r="38" spans="1:5">
      <c r="A38" s="24" t="s">
        <v>1444</v>
      </c>
      <c r="B38" s="24" t="s">
        <v>1445</v>
      </c>
      <c r="C38" s="24" t="s">
        <v>1486</v>
      </c>
      <c r="D38" s="24" t="s">
        <v>1487</v>
      </c>
      <c r="E38" s="24" t="s">
        <v>1472</v>
      </c>
    </row>
    <row r="39" spans="1:5">
      <c r="A39" s="24" t="s">
        <v>1444</v>
      </c>
      <c r="B39" s="24" t="s">
        <v>1445</v>
      </c>
      <c r="C39" s="24" t="s">
        <v>1488</v>
      </c>
      <c r="D39" s="24" t="s">
        <v>1489</v>
      </c>
      <c r="E39" s="24" t="s">
        <v>1472</v>
      </c>
    </row>
    <row r="40" spans="1:5">
      <c r="A40" s="24" t="s">
        <v>1444</v>
      </c>
      <c r="B40" s="24" t="s">
        <v>1445</v>
      </c>
      <c r="C40" s="24" t="s">
        <v>1490</v>
      </c>
      <c r="D40" s="24" t="s">
        <v>1491</v>
      </c>
      <c r="E40" s="24" t="s">
        <v>1472</v>
      </c>
    </row>
    <row r="41" spans="1:5">
      <c r="A41" s="24" t="s">
        <v>1444</v>
      </c>
      <c r="B41" s="24" t="s">
        <v>1445</v>
      </c>
      <c r="C41" s="24" t="s">
        <v>1492</v>
      </c>
      <c r="D41" s="24" t="s">
        <v>1493</v>
      </c>
      <c r="E41" s="24" t="s">
        <v>1472</v>
      </c>
    </row>
    <row r="42" spans="1:5">
      <c r="A42" s="24" t="s">
        <v>1444</v>
      </c>
      <c r="B42" s="24" t="s">
        <v>1445</v>
      </c>
      <c r="C42" s="24" t="s">
        <v>1494</v>
      </c>
      <c r="D42" s="24" t="s">
        <v>1495</v>
      </c>
      <c r="E42" s="24" t="s">
        <v>1472</v>
      </c>
    </row>
    <row r="43" spans="1:5">
      <c r="A43" s="24" t="s">
        <v>1444</v>
      </c>
      <c r="B43" s="24" t="s">
        <v>1445</v>
      </c>
      <c r="C43" s="24" t="s">
        <v>1496</v>
      </c>
      <c r="D43" s="24" t="s">
        <v>1480</v>
      </c>
      <c r="E43" s="24" t="s">
        <v>1472</v>
      </c>
    </row>
    <row r="44" spans="1:5">
      <c r="A44" s="24" t="s">
        <v>1444</v>
      </c>
      <c r="B44" s="24" t="s">
        <v>1445</v>
      </c>
      <c r="C44" s="24" t="s">
        <v>1497</v>
      </c>
      <c r="D44" s="24" t="s">
        <v>1498</v>
      </c>
      <c r="E44" s="24" t="s">
        <v>1472</v>
      </c>
    </row>
    <row r="45" spans="1:5">
      <c r="A45" s="24" t="s">
        <v>1444</v>
      </c>
      <c r="B45" s="24" t="s">
        <v>1445</v>
      </c>
      <c r="C45" s="24" t="s">
        <v>1499</v>
      </c>
      <c r="D45" s="24" t="s">
        <v>1500</v>
      </c>
      <c r="E45" s="24" t="s">
        <v>1472</v>
      </c>
    </row>
    <row r="46" spans="1:5">
      <c r="A46" s="24" t="s">
        <v>1444</v>
      </c>
      <c r="B46" s="24" t="s">
        <v>1445</v>
      </c>
      <c r="C46" s="24" t="s">
        <v>1501</v>
      </c>
      <c r="D46" s="24" t="s">
        <v>1502</v>
      </c>
      <c r="E46" s="24" t="s">
        <v>1472</v>
      </c>
    </row>
    <row r="47" spans="1:5">
      <c r="A47" s="24" t="s">
        <v>1444</v>
      </c>
      <c r="B47" s="24" t="s">
        <v>1445</v>
      </c>
      <c r="C47" s="24" t="s">
        <v>1503</v>
      </c>
      <c r="D47" s="24" t="s">
        <v>1504</v>
      </c>
      <c r="E47" s="24" t="s">
        <v>1472</v>
      </c>
    </row>
    <row r="48" spans="1:5">
      <c r="A48" s="24" t="s">
        <v>1444</v>
      </c>
      <c r="B48" s="24" t="s">
        <v>1445</v>
      </c>
      <c r="C48" s="24" t="s">
        <v>1505</v>
      </c>
      <c r="D48" s="24" t="s">
        <v>1487</v>
      </c>
      <c r="E48" s="24" t="s">
        <v>1472</v>
      </c>
    </row>
    <row r="49" spans="1:5">
      <c r="A49" s="24" t="s">
        <v>1444</v>
      </c>
      <c r="B49" s="24" t="s">
        <v>1445</v>
      </c>
      <c r="C49" s="24" t="s">
        <v>1506</v>
      </c>
      <c r="D49" s="24" t="s">
        <v>1507</v>
      </c>
      <c r="E49" s="24" t="s">
        <v>1472</v>
      </c>
    </row>
    <row r="50" spans="1:5">
      <c r="A50" s="24" t="s">
        <v>1444</v>
      </c>
      <c r="B50" s="24" t="s">
        <v>1445</v>
      </c>
      <c r="C50" s="24" t="s">
        <v>1508</v>
      </c>
      <c r="D50" s="24" t="s">
        <v>1509</v>
      </c>
      <c r="E50" s="24" t="s">
        <v>1472</v>
      </c>
    </row>
    <row r="51" spans="1:5">
      <c r="A51" s="24" t="s">
        <v>1510</v>
      </c>
      <c r="B51" s="24" t="s">
        <v>1511</v>
      </c>
      <c r="C51" s="24" t="s">
        <v>1512</v>
      </c>
      <c r="D51" s="24" t="s">
        <v>1513</v>
      </c>
      <c r="E51" s="24" t="s">
        <v>1514</v>
      </c>
    </row>
    <row r="52" spans="1:5">
      <c r="A52" s="24" t="s">
        <v>1515</v>
      </c>
      <c r="B52" s="24" t="s">
        <v>1511</v>
      </c>
      <c r="C52" s="24" t="s">
        <v>1516</v>
      </c>
      <c r="D52" s="24" t="s">
        <v>1517</v>
      </c>
      <c r="E52" s="24" t="s">
        <v>1518</v>
      </c>
    </row>
    <row r="53" spans="1:5" ht="12.75" customHeight="1">
      <c r="A53" s="37" t="s">
        <v>2121</v>
      </c>
      <c r="B53" s="37" t="s">
        <v>1445</v>
      </c>
      <c r="C53" s="37" t="s">
        <v>2122</v>
      </c>
      <c r="D53" s="37" t="s">
        <v>2123</v>
      </c>
      <c r="E53" s="37" t="s">
        <v>2124</v>
      </c>
    </row>
    <row r="54" spans="1:5" ht="12.75" customHeight="1">
      <c r="A54" s="37" t="s">
        <v>2125</v>
      </c>
      <c r="B54" s="37" t="s">
        <v>1445</v>
      </c>
      <c r="C54" s="37" t="s">
        <v>2126</v>
      </c>
      <c r="D54" s="37" t="s">
        <v>2127</v>
      </c>
      <c r="E54" s="37" t="s">
        <v>2128</v>
      </c>
    </row>
    <row r="55" spans="1:5" ht="12.75" customHeight="1">
      <c r="A55" s="37" t="s">
        <v>2129</v>
      </c>
      <c r="B55" s="37" t="s">
        <v>1511</v>
      </c>
      <c r="C55" s="37" t="s">
        <v>2126</v>
      </c>
      <c r="D55" s="37" t="s">
        <v>2130</v>
      </c>
      <c r="E55" s="37" t="s">
        <v>2131</v>
      </c>
    </row>
    <row r="56" spans="1:5" ht="12.75" customHeight="1">
      <c r="A56" s="37" t="s">
        <v>2132</v>
      </c>
      <c r="B56" s="37" t="s">
        <v>1511</v>
      </c>
      <c r="C56" s="37" t="s">
        <v>2133</v>
      </c>
      <c r="D56" s="37" t="s">
        <v>2134</v>
      </c>
      <c r="E56" s="37" t="s">
        <v>2135</v>
      </c>
    </row>
    <row r="57" spans="1:5" ht="12.75" customHeight="1">
      <c r="A57" s="37" t="s">
        <v>2136</v>
      </c>
      <c r="B57" s="37" t="s">
        <v>1511</v>
      </c>
      <c r="C57" s="37" t="s">
        <v>2137</v>
      </c>
      <c r="D57" s="37" t="s">
        <v>2138</v>
      </c>
      <c r="E57" s="37" t="s">
        <v>2139</v>
      </c>
    </row>
    <row r="58" spans="1:5" ht="12.75" customHeight="1">
      <c r="A58" s="37" t="s">
        <v>2140</v>
      </c>
      <c r="B58" s="37" t="s">
        <v>1445</v>
      </c>
      <c r="C58" s="37" t="s">
        <v>2141</v>
      </c>
      <c r="D58" s="37" t="s">
        <v>2142</v>
      </c>
      <c r="E58" s="37" t="s">
        <v>2143</v>
      </c>
    </row>
  </sheetData>
  <autoFilter ref="A4:E58" xr:uid="{357FF4A7-604B-4DA8-AA0C-14FF8853DF4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E363-F851-42A1-A262-BAD0C7CC56FA}">
  <dimension ref="A1:G218"/>
  <sheetViews>
    <sheetView showGridLines="0" workbookViewId="0">
      <pane ySplit="4" topLeftCell="A84" activePane="bottomLeft" state="frozenSplit"/>
      <selection pane="bottomLeft" activeCell="A107" sqref="A107:G218"/>
    </sheetView>
  </sheetViews>
  <sheetFormatPr baseColWidth="10" defaultRowHeight="12.75"/>
  <cols>
    <col min="1" max="1" width="42.625" style="19" customWidth="1"/>
    <col min="2" max="2" width="18.625" style="19" customWidth="1"/>
    <col min="3" max="3" width="12.625" style="19" customWidth="1"/>
    <col min="4" max="4" width="22.625" style="19" customWidth="1"/>
    <col min="5" max="7" width="18.625" style="19" customWidth="1"/>
    <col min="8" max="16384" width="11" style="19"/>
  </cols>
  <sheetData>
    <row r="1" spans="1:7" ht="27.95" customHeight="1">
      <c r="A1" s="21" t="s">
        <v>1519</v>
      </c>
    </row>
    <row r="2" spans="1:7" ht="36" customHeight="1">
      <c r="A2" s="22" t="s">
        <v>1520</v>
      </c>
    </row>
    <row r="4" spans="1:7">
      <c r="A4" s="23" t="s">
        <v>1442</v>
      </c>
      <c r="B4" s="23" t="s">
        <v>1441</v>
      </c>
      <c r="C4" s="23" t="s">
        <v>1521</v>
      </c>
      <c r="D4" s="23" t="s">
        <v>1522</v>
      </c>
      <c r="E4" s="23" t="s">
        <v>1523</v>
      </c>
      <c r="F4" s="23" t="s">
        <v>1524</v>
      </c>
      <c r="G4" s="23" t="s">
        <v>1525</v>
      </c>
    </row>
    <row r="5" spans="1:7">
      <c r="A5" s="24" t="s">
        <v>938</v>
      </c>
      <c r="B5" s="24" t="s">
        <v>1526</v>
      </c>
      <c r="C5" s="24">
        <v>179555</v>
      </c>
      <c r="D5" s="24" t="s">
        <v>1527</v>
      </c>
      <c r="E5" s="24" t="s">
        <v>1528</v>
      </c>
      <c r="F5" s="24" t="s">
        <v>1529</v>
      </c>
      <c r="G5" s="24" t="s">
        <v>1530</v>
      </c>
    </row>
    <row r="6" spans="1:7">
      <c r="A6" s="24" t="s">
        <v>1084</v>
      </c>
      <c r="B6" s="24" t="s">
        <v>1531</v>
      </c>
      <c r="C6" s="24">
        <v>780015</v>
      </c>
      <c r="D6" s="24" t="s">
        <v>1532</v>
      </c>
      <c r="E6" s="24" t="s">
        <v>1533</v>
      </c>
      <c r="F6" s="24" t="s">
        <v>1534</v>
      </c>
      <c r="G6" s="24" t="s">
        <v>1535</v>
      </c>
    </row>
    <row r="7" spans="1:7">
      <c r="A7" s="24" t="s">
        <v>1116</v>
      </c>
      <c r="B7" s="24" t="s">
        <v>1531</v>
      </c>
      <c r="C7" s="24">
        <v>1254734</v>
      </c>
      <c r="D7" s="24" t="s">
        <v>1536</v>
      </c>
      <c r="E7" s="24" t="s">
        <v>1537</v>
      </c>
      <c r="F7" s="24" t="s">
        <v>1534</v>
      </c>
      <c r="G7" s="24" t="s">
        <v>1535</v>
      </c>
    </row>
    <row r="8" spans="1:7">
      <c r="A8" s="24" t="s">
        <v>1185</v>
      </c>
      <c r="B8" s="24" t="s">
        <v>1531</v>
      </c>
      <c r="C8" s="24">
        <v>158367</v>
      </c>
      <c r="D8" s="24" t="s">
        <v>1538</v>
      </c>
      <c r="E8" s="24" t="s">
        <v>1539</v>
      </c>
      <c r="F8" s="24" t="s">
        <v>1534</v>
      </c>
      <c r="G8" s="24" t="s">
        <v>1535</v>
      </c>
    </row>
    <row r="9" spans="1:7">
      <c r="A9" s="24" t="s">
        <v>1195</v>
      </c>
      <c r="B9" s="24" t="s">
        <v>1531</v>
      </c>
      <c r="C9" s="24">
        <v>108293</v>
      </c>
      <c r="D9" s="24" t="s">
        <v>1540</v>
      </c>
      <c r="E9" s="24" t="s">
        <v>1541</v>
      </c>
      <c r="F9" s="24" t="s">
        <v>1534</v>
      </c>
      <c r="G9" s="24" t="s">
        <v>1535</v>
      </c>
    </row>
    <row r="10" spans="1:7">
      <c r="A10" s="24" t="s">
        <v>1206</v>
      </c>
      <c r="B10" s="24" t="s">
        <v>1531</v>
      </c>
      <c r="C10" s="24">
        <v>8841</v>
      </c>
      <c r="D10" s="24" t="s">
        <v>1542</v>
      </c>
      <c r="E10" s="24" t="s">
        <v>1543</v>
      </c>
      <c r="F10" s="24" t="s">
        <v>1534</v>
      </c>
      <c r="G10" s="24" t="s">
        <v>1535</v>
      </c>
    </row>
    <row r="11" spans="1:7">
      <c r="A11" s="24" t="s">
        <v>1211</v>
      </c>
      <c r="B11" s="24" t="s">
        <v>1531</v>
      </c>
      <c r="C11" s="24">
        <v>1689325</v>
      </c>
      <c r="D11" s="24" t="s">
        <v>1544</v>
      </c>
      <c r="E11" s="24" t="s">
        <v>1545</v>
      </c>
      <c r="F11" s="24" t="s">
        <v>1534</v>
      </c>
      <c r="G11" s="24" t="s">
        <v>1535</v>
      </c>
    </row>
    <row r="12" spans="1:7">
      <c r="A12" s="24" t="s">
        <v>1219</v>
      </c>
      <c r="B12" s="24" t="s">
        <v>1531</v>
      </c>
      <c r="C12" s="24">
        <v>4082771</v>
      </c>
      <c r="D12" s="24" t="s">
        <v>1546</v>
      </c>
      <c r="E12" s="24" t="s">
        <v>1547</v>
      </c>
      <c r="F12" s="24" t="s">
        <v>1534</v>
      </c>
      <c r="G12" s="24" t="s">
        <v>1535</v>
      </c>
    </row>
    <row r="13" spans="1:7">
      <c r="A13" s="24" t="s">
        <v>1235</v>
      </c>
      <c r="B13" s="24" t="s">
        <v>1531</v>
      </c>
      <c r="C13" s="24">
        <v>151185</v>
      </c>
      <c r="D13" s="24" t="s">
        <v>1548</v>
      </c>
      <c r="E13" s="24" t="s">
        <v>1549</v>
      </c>
      <c r="F13" s="24" t="s">
        <v>1534</v>
      </c>
      <c r="G13" s="24" t="s">
        <v>1535</v>
      </c>
    </row>
    <row r="14" spans="1:7">
      <c r="A14" s="24" t="s">
        <v>1239</v>
      </c>
      <c r="B14" s="24" t="s">
        <v>1531</v>
      </c>
      <c r="C14" s="24">
        <v>19831</v>
      </c>
      <c r="D14" s="24" t="s">
        <v>1550</v>
      </c>
      <c r="E14" s="24" t="s">
        <v>1551</v>
      </c>
      <c r="F14" s="24" t="s">
        <v>1534</v>
      </c>
      <c r="G14" s="24" t="s">
        <v>1535</v>
      </c>
    </row>
    <row r="15" spans="1:7">
      <c r="A15" s="24" t="s">
        <v>1244</v>
      </c>
      <c r="B15" s="24" t="s">
        <v>1531</v>
      </c>
      <c r="C15" s="24">
        <v>45216047</v>
      </c>
      <c r="D15" s="24" t="s">
        <v>1552</v>
      </c>
      <c r="E15" s="24" t="s">
        <v>1553</v>
      </c>
      <c r="F15" s="24" t="s">
        <v>1534</v>
      </c>
      <c r="G15" s="24" t="s">
        <v>1535</v>
      </c>
    </row>
    <row r="16" spans="1:7">
      <c r="A16" s="24" t="s">
        <v>1250</v>
      </c>
      <c r="B16" s="24" t="s">
        <v>1531</v>
      </c>
      <c r="C16" s="24">
        <v>100035</v>
      </c>
      <c r="D16" s="24" t="s">
        <v>1554</v>
      </c>
      <c r="E16" s="24" t="s">
        <v>1555</v>
      </c>
      <c r="F16" s="24" t="s">
        <v>1534</v>
      </c>
      <c r="G16" s="24" t="s">
        <v>1535</v>
      </c>
    </row>
    <row r="17" spans="1:7">
      <c r="A17" s="24" t="s">
        <v>1257</v>
      </c>
      <c r="B17" s="24" t="s">
        <v>1531</v>
      </c>
      <c r="C17" s="24">
        <v>6741</v>
      </c>
      <c r="D17" s="24" t="s">
        <v>1556</v>
      </c>
      <c r="E17" s="24" t="s">
        <v>1557</v>
      </c>
      <c r="F17" s="24" t="s">
        <v>1534</v>
      </c>
      <c r="G17" s="24" t="s">
        <v>1535</v>
      </c>
    </row>
    <row r="18" spans="1:7">
      <c r="A18" s="24" t="s">
        <v>1263</v>
      </c>
      <c r="B18" s="24" t="s">
        <v>1531</v>
      </c>
      <c r="C18" s="24">
        <v>24196</v>
      </c>
      <c r="D18" s="24" t="s">
        <v>1558</v>
      </c>
      <c r="E18" s="24" t="s">
        <v>1559</v>
      </c>
      <c r="F18" s="24" t="s">
        <v>1534</v>
      </c>
      <c r="G18" s="24" t="s">
        <v>1535</v>
      </c>
    </row>
    <row r="19" spans="1:7">
      <c r="A19" s="24" t="s">
        <v>1266</v>
      </c>
      <c r="B19" s="24" t="s">
        <v>1531</v>
      </c>
      <c r="C19" s="24">
        <v>51232</v>
      </c>
      <c r="D19" s="24" t="s">
        <v>1560</v>
      </c>
      <c r="E19" s="24" t="s">
        <v>1561</v>
      </c>
      <c r="F19" s="24" t="s">
        <v>1534</v>
      </c>
      <c r="G19" s="24" t="s">
        <v>1535</v>
      </c>
    </row>
    <row r="20" spans="1:7">
      <c r="A20" s="24" t="s">
        <v>1269</v>
      </c>
      <c r="B20" s="24" t="s">
        <v>1531</v>
      </c>
      <c r="C20" s="24">
        <v>340408</v>
      </c>
      <c r="D20" s="24" t="s">
        <v>1562</v>
      </c>
      <c r="E20" s="24" t="s">
        <v>1563</v>
      </c>
      <c r="F20" s="24" t="s">
        <v>1534</v>
      </c>
      <c r="G20" s="24" t="s">
        <v>1535</v>
      </c>
    </row>
    <row r="21" spans="1:7">
      <c r="A21" s="24" t="s">
        <v>1272</v>
      </c>
      <c r="B21" s="24" t="s">
        <v>1531</v>
      </c>
      <c r="C21" s="24">
        <v>99403</v>
      </c>
      <c r="D21" s="24" t="s">
        <v>1564</v>
      </c>
      <c r="E21" s="24" t="s">
        <v>1565</v>
      </c>
      <c r="F21" s="24" t="s">
        <v>1534</v>
      </c>
      <c r="G21" s="24" t="s">
        <v>1535</v>
      </c>
    </row>
    <row r="22" spans="1:7">
      <c r="A22" s="24" t="s">
        <v>1275</v>
      </c>
      <c r="B22" s="24" t="s">
        <v>1531</v>
      </c>
      <c r="C22" s="24">
        <v>65105</v>
      </c>
      <c r="D22" s="24" t="s">
        <v>1566</v>
      </c>
      <c r="E22" s="24" t="s">
        <v>1567</v>
      </c>
      <c r="F22" s="24" t="s">
        <v>1534</v>
      </c>
      <c r="G22" s="24" t="s">
        <v>1535</v>
      </c>
    </row>
    <row r="23" spans="1:7">
      <c r="A23" s="24" t="s">
        <v>1278</v>
      </c>
      <c r="B23" s="24" t="s">
        <v>1531</v>
      </c>
      <c r="C23" s="24">
        <v>7267</v>
      </c>
      <c r="D23" s="24" t="s">
        <v>1568</v>
      </c>
      <c r="E23" s="24" t="s">
        <v>1569</v>
      </c>
      <c r="F23" s="24" t="s">
        <v>1534</v>
      </c>
      <c r="G23" s="24" t="s">
        <v>1535</v>
      </c>
    </row>
    <row r="24" spans="1:7">
      <c r="A24" s="24" t="s">
        <v>1281</v>
      </c>
      <c r="B24" s="24" t="s">
        <v>1531</v>
      </c>
      <c r="C24" s="24">
        <v>504925</v>
      </c>
      <c r="D24" s="24" t="s">
        <v>1570</v>
      </c>
      <c r="E24" s="24" t="s">
        <v>1571</v>
      </c>
      <c r="F24" s="24" t="s">
        <v>1534</v>
      </c>
      <c r="G24" s="24" t="s">
        <v>1535</v>
      </c>
    </row>
    <row r="25" spans="1:7">
      <c r="A25" s="24" t="s">
        <v>1285</v>
      </c>
      <c r="B25" s="24" t="s">
        <v>1531</v>
      </c>
      <c r="C25" s="24">
        <v>103622</v>
      </c>
      <c r="D25" s="24" t="s">
        <v>1572</v>
      </c>
      <c r="E25" s="24" t="s">
        <v>1573</v>
      </c>
      <c r="F25" s="24" t="s">
        <v>1534</v>
      </c>
      <c r="G25" s="24" t="s">
        <v>1535</v>
      </c>
    </row>
    <row r="26" spans="1:7">
      <c r="A26" s="24" t="s">
        <v>1290</v>
      </c>
      <c r="B26" s="24" t="s">
        <v>1531</v>
      </c>
      <c r="C26" s="24">
        <v>62595</v>
      </c>
      <c r="D26" s="24" t="s">
        <v>1574</v>
      </c>
      <c r="E26" s="24" t="s">
        <v>1575</v>
      </c>
      <c r="F26" s="24" t="s">
        <v>1534</v>
      </c>
      <c r="G26" s="24" t="s">
        <v>1535</v>
      </c>
    </row>
    <row r="27" spans="1:7">
      <c r="A27" s="24" t="s">
        <v>1296</v>
      </c>
      <c r="B27" s="24" t="s">
        <v>1531</v>
      </c>
      <c r="C27" s="24">
        <v>5870</v>
      </c>
      <c r="D27" s="24" t="s">
        <v>1576</v>
      </c>
      <c r="E27" s="24" t="s">
        <v>1577</v>
      </c>
      <c r="F27" s="24" t="s">
        <v>1534</v>
      </c>
      <c r="G27" s="24" t="s">
        <v>1535</v>
      </c>
    </row>
    <row r="28" spans="1:7">
      <c r="A28" s="24" t="s">
        <v>1300</v>
      </c>
      <c r="B28" s="24" t="s">
        <v>1531</v>
      </c>
      <c r="C28" s="24">
        <v>25142</v>
      </c>
      <c r="D28" s="24" t="s">
        <v>1578</v>
      </c>
      <c r="E28" s="24" t="s">
        <v>1579</v>
      </c>
      <c r="F28" s="24" t="s">
        <v>1534</v>
      </c>
      <c r="G28" s="24" t="s">
        <v>1535</v>
      </c>
    </row>
    <row r="29" spans="1:7">
      <c r="A29" s="24" t="s">
        <v>1304</v>
      </c>
      <c r="B29" s="24" t="s">
        <v>1531</v>
      </c>
      <c r="C29" s="24">
        <v>21266</v>
      </c>
      <c r="D29" s="24" t="s">
        <v>1580</v>
      </c>
      <c r="E29" s="24" t="s">
        <v>1581</v>
      </c>
      <c r="F29" s="24" t="s">
        <v>1534</v>
      </c>
      <c r="G29" s="24" t="s">
        <v>1535</v>
      </c>
    </row>
    <row r="30" spans="1:7">
      <c r="A30" s="24" t="s">
        <v>1309</v>
      </c>
      <c r="B30" s="24" t="s">
        <v>1531</v>
      </c>
      <c r="C30" s="24">
        <v>6725</v>
      </c>
      <c r="D30" s="24" t="s">
        <v>1582</v>
      </c>
      <c r="E30" s="24" t="s">
        <v>1583</v>
      </c>
      <c r="F30" s="24" t="s">
        <v>1534</v>
      </c>
      <c r="G30" s="24" t="s">
        <v>1535</v>
      </c>
    </row>
    <row r="31" spans="1:7">
      <c r="A31" s="24" t="s">
        <v>1584</v>
      </c>
      <c r="B31" s="24" t="s">
        <v>1585</v>
      </c>
      <c r="C31" s="24">
        <v>56971</v>
      </c>
      <c r="D31" s="24" t="s">
        <v>1586</v>
      </c>
      <c r="E31" s="24" t="s">
        <v>1587</v>
      </c>
      <c r="F31" s="24" t="s">
        <v>1534</v>
      </c>
      <c r="G31" s="24" t="s">
        <v>1535</v>
      </c>
    </row>
    <row r="32" spans="1:7">
      <c r="A32" s="24" t="s">
        <v>1588</v>
      </c>
      <c r="B32" s="24" t="s">
        <v>1531</v>
      </c>
      <c r="C32" s="24">
        <v>27943</v>
      </c>
      <c r="D32" s="24" t="s">
        <v>1589</v>
      </c>
      <c r="E32" s="24" t="s">
        <v>1590</v>
      </c>
      <c r="F32" s="24" t="s">
        <v>1591</v>
      </c>
      <c r="G32" s="24" t="s">
        <v>1535</v>
      </c>
    </row>
    <row r="33" spans="1:7">
      <c r="A33" s="24" t="s">
        <v>1512</v>
      </c>
      <c r="B33" s="24" t="s">
        <v>1592</v>
      </c>
      <c r="C33" s="24">
        <v>63887</v>
      </c>
      <c r="D33" s="24" t="s">
        <v>1593</v>
      </c>
      <c r="E33" s="24" t="s">
        <v>1594</v>
      </c>
      <c r="F33" s="24" t="s">
        <v>1591</v>
      </c>
      <c r="G33" s="24" t="s">
        <v>1535</v>
      </c>
    </row>
    <row r="34" spans="1:7">
      <c r="A34" s="24" t="s">
        <v>1595</v>
      </c>
      <c r="B34" s="24" t="s">
        <v>1596</v>
      </c>
      <c r="C34" s="24">
        <v>33063</v>
      </c>
      <c r="D34" s="24" t="s">
        <v>1589</v>
      </c>
      <c r="E34" s="24" t="s">
        <v>1597</v>
      </c>
      <c r="F34" s="24" t="s">
        <v>1591</v>
      </c>
      <c r="G34" s="24" t="s">
        <v>1535</v>
      </c>
    </row>
    <row r="35" spans="1:7">
      <c r="A35" s="24" t="s">
        <v>1470</v>
      </c>
      <c r="B35" s="24" t="s">
        <v>1531</v>
      </c>
      <c r="C35" s="24">
        <v>727298</v>
      </c>
      <c r="D35" s="24" t="s">
        <v>1598</v>
      </c>
      <c r="E35" s="24" t="s">
        <v>1599</v>
      </c>
      <c r="F35" s="24" t="s">
        <v>1600</v>
      </c>
      <c r="G35" s="24" t="s">
        <v>1601</v>
      </c>
    </row>
    <row r="36" spans="1:7">
      <c r="A36" s="24" t="s">
        <v>1473</v>
      </c>
      <c r="B36" s="24" t="s">
        <v>1531</v>
      </c>
      <c r="C36" s="24">
        <v>1105413</v>
      </c>
      <c r="D36" s="24" t="s">
        <v>1602</v>
      </c>
      <c r="E36" s="24" t="s">
        <v>1603</v>
      </c>
      <c r="F36" s="24" t="s">
        <v>1600</v>
      </c>
      <c r="G36" s="24" t="s">
        <v>1601</v>
      </c>
    </row>
    <row r="37" spans="1:7">
      <c r="A37" s="24" t="s">
        <v>1475</v>
      </c>
      <c r="B37" s="24" t="s">
        <v>1531</v>
      </c>
      <c r="C37" s="24">
        <v>183853</v>
      </c>
      <c r="D37" s="24" t="s">
        <v>1604</v>
      </c>
      <c r="E37" s="24" t="s">
        <v>1605</v>
      </c>
      <c r="F37" s="24" t="s">
        <v>1600</v>
      </c>
      <c r="G37" s="24" t="s">
        <v>1601</v>
      </c>
    </row>
    <row r="38" spans="1:7">
      <c r="A38" s="24" t="s">
        <v>1477</v>
      </c>
      <c r="B38" s="24" t="s">
        <v>1531</v>
      </c>
      <c r="C38" s="24">
        <v>109823</v>
      </c>
      <c r="D38" s="24" t="s">
        <v>1606</v>
      </c>
      <c r="E38" s="24" t="s">
        <v>1607</v>
      </c>
      <c r="F38" s="24" t="s">
        <v>1600</v>
      </c>
      <c r="G38" s="24" t="s">
        <v>1601</v>
      </c>
    </row>
    <row r="39" spans="1:7">
      <c r="A39" s="24" t="s">
        <v>1479</v>
      </c>
      <c r="B39" s="24" t="s">
        <v>1531</v>
      </c>
      <c r="C39" s="24">
        <v>5994</v>
      </c>
      <c r="D39" s="24" t="s">
        <v>1608</v>
      </c>
      <c r="E39" s="24" t="s">
        <v>1609</v>
      </c>
      <c r="F39" s="24" t="s">
        <v>1600</v>
      </c>
      <c r="G39" s="24" t="s">
        <v>1601</v>
      </c>
    </row>
    <row r="40" spans="1:7">
      <c r="A40" s="24" t="s">
        <v>1481</v>
      </c>
      <c r="B40" s="24" t="s">
        <v>1531</v>
      </c>
      <c r="C40" s="24">
        <v>2150349</v>
      </c>
      <c r="D40" s="24" t="s">
        <v>1610</v>
      </c>
      <c r="E40" s="24" t="s">
        <v>1611</v>
      </c>
      <c r="F40" s="24" t="s">
        <v>1600</v>
      </c>
      <c r="G40" s="24" t="s">
        <v>1601</v>
      </c>
    </row>
    <row r="41" spans="1:7">
      <c r="A41" s="24" t="s">
        <v>1483</v>
      </c>
      <c r="B41" s="24" t="s">
        <v>1531</v>
      </c>
      <c r="C41" s="24">
        <v>3792751</v>
      </c>
      <c r="D41" s="24" t="s">
        <v>1612</v>
      </c>
      <c r="E41" s="24" t="s">
        <v>1613</v>
      </c>
      <c r="F41" s="24" t="s">
        <v>1600</v>
      </c>
      <c r="G41" s="24" t="s">
        <v>1601</v>
      </c>
    </row>
    <row r="42" spans="1:7">
      <c r="A42" s="24" t="s">
        <v>1485</v>
      </c>
      <c r="B42" s="24" t="s">
        <v>1531</v>
      </c>
      <c r="C42" s="24">
        <v>13210</v>
      </c>
      <c r="D42" s="24" t="s">
        <v>1614</v>
      </c>
      <c r="E42" s="24" t="s">
        <v>1615</v>
      </c>
      <c r="F42" s="24" t="s">
        <v>1600</v>
      </c>
      <c r="G42" s="24" t="s">
        <v>1601</v>
      </c>
    </row>
    <row r="43" spans="1:7">
      <c r="A43" s="24" t="s">
        <v>1486</v>
      </c>
      <c r="B43" s="24" t="s">
        <v>1531</v>
      </c>
      <c r="C43" s="24">
        <v>20182</v>
      </c>
      <c r="D43" s="24" t="s">
        <v>1616</v>
      </c>
      <c r="E43" s="24" t="s">
        <v>1617</v>
      </c>
      <c r="F43" s="24" t="s">
        <v>1600</v>
      </c>
      <c r="G43" s="24" t="s">
        <v>1601</v>
      </c>
    </row>
    <row r="44" spans="1:7">
      <c r="A44" s="24" t="s">
        <v>1488</v>
      </c>
      <c r="B44" s="24" t="s">
        <v>1531</v>
      </c>
      <c r="C44" s="24">
        <v>38327</v>
      </c>
      <c r="D44" s="24" t="s">
        <v>1618</v>
      </c>
      <c r="E44" s="24" t="s">
        <v>1619</v>
      </c>
      <c r="F44" s="24" t="s">
        <v>1600</v>
      </c>
      <c r="G44" s="24" t="s">
        <v>1601</v>
      </c>
    </row>
    <row r="45" spans="1:7">
      <c r="A45" s="24" t="s">
        <v>1490</v>
      </c>
      <c r="B45" s="24" t="s">
        <v>1531</v>
      </c>
      <c r="C45" s="24">
        <v>302290</v>
      </c>
      <c r="D45" s="24" t="s">
        <v>1620</v>
      </c>
      <c r="E45" s="24" t="s">
        <v>1621</v>
      </c>
      <c r="F45" s="24" t="s">
        <v>1600</v>
      </c>
      <c r="G45" s="24" t="s">
        <v>1601</v>
      </c>
    </row>
    <row r="46" spans="1:7">
      <c r="A46" s="24" t="s">
        <v>1492</v>
      </c>
      <c r="B46" s="24" t="s">
        <v>1531</v>
      </c>
      <c r="C46" s="24">
        <v>104276</v>
      </c>
      <c r="D46" s="24" t="s">
        <v>1622</v>
      </c>
      <c r="E46" s="25" t="s">
        <v>1623</v>
      </c>
      <c r="F46" s="24" t="s">
        <v>1600</v>
      </c>
      <c r="G46" s="24" t="s">
        <v>1601</v>
      </c>
    </row>
    <row r="47" spans="1:7">
      <c r="A47" s="24" t="s">
        <v>1494</v>
      </c>
      <c r="B47" s="24" t="s">
        <v>1531</v>
      </c>
      <c r="C47" s="24">
        <v>63017</v>
      </c>
      <c r="D47" s="24" t="s">
        <v>1624</v>
      </c>
      <c r="E47" s="25" t="s">
        <v>1625</v>
      </c>
      <c r="F47" s="24" t="s">
        <v>1600</v>
      </c>
      <c r="G47" s="24" t="s">
        <v>1601</v>
      </c>
    </row>
    <row r="48" spans="1:7">
      <c r="A48" s="24" t="s">
        <v>1496</v>
      </c>
      <c r="B48" s="24" t="s">
        <v>1531</v>
      </c>
      <c r="C48" s="24">
        <v>4872</v>
      </c>
      <c r="D48" s="24" t="s">
        <v>1626</v>
      </c>
      <c r="E48" s="24" t="s">
        <v>1627</v>
      </c>
      <c r="F48" s="24" t="s">
        <v>1600</v>
      </c>
      <c r="G48" s="24" t="s">
        <v>1601</v>
      </c>
    </row>
    <row r="49" spans="1:7">
      <c r="A49" s="24" t="s">
        <v>1497</v>
      </c>
      <c r="B49" s="24" t="s">
        <v>1531</v>
      </c>
      <c r="C49" s="24">
        <v>659538</v>
      </c>
      <c r="D49" s="24" t="s">
        <v>1628</v>
      </c>
      <c r="E49" s="24" t="s">
        <v>1629</v>
      </c>
      <c r="F49" s="24" t="s">
        <v>1600</v>
      </c>
      <c r="G49" s="24" t="s">
        <v>1601</v>
      </c>
    </row>
    <row r="50" spans="1:7">
      <c r="A50" s="24" t="s">
        <v>1499</v>
      </c>
      <c r="B50" s="24" t="s">
        <v>1531</v>
      </c>
      <c r="C50" s="24">
        <v>90936</v>
      </c>
      <c r="D50" s="24" t="s">
        <v>1630</v>
      </c>
      <c r="E50" s="24" t="s">
        <v>1631</v>
      </c>
      <c r="F50" s="24" t="s">
        <v>1600</v>
      </c>
      <c r="G50" s="24" t="s">
        <v>1601</v>
      </c>
    </row>
    <row r="51" spans="1:7">
      <c r="A51" s="24" t="s">
        <v>1501</v>
      </c>
      <c r="B51" s="24" t="s">
        <v>1531</v>
      </c>
      <c r="C51" s="24">
        <v>37632</v>
      </c>
      <c r="D51" s="24" t="s">
        <v>1632</v>
      </c>
      <c r="E51" s="24" t="s">
        <v>1633</v>
      </c>
      <c r="F51" s="24" t="s">
        <v>1600</v>
      </c>
      <c r="G51" s="24" t="s">
        <v>1601</v>
      </c>
    </row>
    <row r="52" spans="1:7">
      <c r="A52" s="24" t="s">
        <v>1503</v>
      </c>
      <c r="B52" s="24" t="s">
        <v>1531</v>
      </c>
      <c r="C52" s="24">
        <v>5052</v>
      </c>
      <c r="D52" s="24" t="s">
        <v>1634</v>
      </c>
      <c r="E52" s="24" t="s">
        <v>1635</v>
      </c>
      <c r="F52" s="24" t="s">
        <v>1600</v>
      </c>
      <c r="G52" s="24" t="s">
        <v>1601</v>
      </c>
    </row>
    <row r="53" spans="1:7">
      <c r="A53" s="24" t="s">
        <v>1505</v>
      </c>
      <c r="B53" s="24" t="s">
        <v>1531</v>
      </c>
      <c r="C53" s="24">
        <v>20982</v>
      </c>
      <c r="D53" s="24" t="s">
        <v>1636</v>
      </c>
      <c r="E53" s="24" t="s">
        <v>1637</v>
      </c>
      <c r="F53" s="24" t="s">
        <v>1600</v>
      </c>
      <c r="G53" s="24" t="s">
        <v>1601</v>
      </c>
    </row>
    <row r="54" spans="1:7">
      <c r="A54" s="24" t="s">
        <v>1506</v>
      </c>
      <c r="B54" s="24" t="s">
        <v>1531</v>
      </c>
      <c r="C54" s="24">
        <v>20018</v>
      </c>
      <c r="D54" s="24" t="s">
        <v>1638</v>
      </c>
      <c r="E54" s="24" t="s">
        <v>1639</v>
      </c>
      <c r="F54" s="24" t="s">
        <v>1600</v>
      </c>
      <c r="G54" s="24" t="s">
        <v>1601</v>
      </c>
    </row>
    <row r="55" spans="1:7">
      <c r="A55" s="24" t="s">
        <v>1508</v>
      </c>
      <c r="B55" s="24" t="s">
        <v>1531</v>
      </c>
      <c r="C55" s="24">
        <v>5483</v>
      </c>
      <c r="D55" s="24" t="s">
        <v>1640</v>
      </c>
      <c r="E55" s="24" t="s">
        <v>1641</v>
      </c>
      <c r="F55" s="24" t="s">
        <v>1600</v>
      </c>
      <c r="G55" s="24" t="s">
        <v>1601</v>
      </c>
    </row>
    <row r="56" spans="1:7">
      <c r="A56" s="24" t="s">
        <v>1642</v>
      </c>
      <c r="B56" s="24" t="s">
        <v>1585</v>
      </c>
      <c r="C56" s="24">
        <v>2006</v>
      </c>
      <c r="D56" s="24" t="s">
        <v>1643</v>
      </c>
      <c r="E56" s="24" t="s">
        <v>1644</v>
      </c>
      <c r="F56" s="24" t="s">
        <v>1600</v>
      </c>
      <c r="G56" s="24" t="s">
        <v>1601</v>
      </c>
    </row>
    <row r="57" spans="1:7">
      <c r="A57" s="24" t="s">
        <v>1645</v>
      </c>
      <c r="B57" s="24" t="s">
        <v>1531</v>
      </c>
      <c r="C57" s="24">
        <v>2944</v>
      </c>
      <c r="D57" s="24" t="s">
        <v>1646</v>
      </c>
      <c r="E57" s="24" t="s">
        <v>1647</v>
      </c>
      <c r="F57" s="24" t="s">
        <v>1648</v>
      </c>
      <c r="G57" s="24" t="s">
        <v>1601</v>
      </c>
    </row>
    <row r="58" spans="1:7">
      <c r="A58" s="24" t="s">
        <v>1649</v>
      </c>
      <c r="B58" s="24" t="s">
        <v>1592</v>
      </c>
      <c r="C58" s="24">
        <v>9214</v>
      </c>
      <c r="D58" s="24" t="s">
        <v>1650</v>
      </c>
      <c r="E58" s="25" t="s">
        <v>1651</v>
      </c>
      <c r="F58" s="24" t="s">
        <v>1648</v>
      </c>
      <c r="G58" s="24" t="s">
        <v>1601</v>
      </c>
    </row>
    <row r="59" spans="1:7">
      <c r="A59" s="24" t="s">
        <v>1652</v>
      </c>
      <c r="B59" s="24" t="s">
        <v>1596</v>
      </c>
      <c r="C59" s="24">
        <v>1827</v>
      </c>
      <c r="D59" s="24" t="s">
        <v>1653</v>
      </c>
      <c r="E59" s="24" t="s">
        <v>1654</v>
      </c>
      <c r="F59" s="24" t="s">
        <v>1648</v>
      </c>
      <c r="G59" s="24" t="s">
        <v>1601</v>
      </c>
    </row>
    <row r="60" spans="1:7">
      <c r="A60" s="24" t="s">
        <v>1655</v>
      </c>
      <c r="B60" s="24" t="s">
        <v>1531</v>
      </c>
      <c r="C60" s="24">
        <v>145</v>
      </c>
      <c r="D60" s="24" t="s">
        <v>1646</v>
      </c>
      <c r="E60" s="24" t="s">
        <v>1656</v>
      </c>
      <c r="F60" s="24" t="s">
        <v>1657</v>
      </c>
      <c r="G60" s="24" t="s">
        <v>1601</v>
      </c>
    </row>
    <row r="61" spans="1:7">
      <c r="A61" s="24" t="s">
        <v>1658</v>
      </c>
      <c r="B61" s="24" t="s">
        <v>1596</v>
      </c>
      <c r="C61" s="24">
        <v>80</v>
      </c>
      <c r="D61" s="24" t="s">
        <v>1659</v>
      </c>
      <c r="E61" s="24" t="s">
        <v>1660</v>
      </c>
      <c r="F61" s="24" t="s">
        <v>1657</v>
      </c>
      <c r="G61" s="24" t="s">
        <v>1601</v>
      </c>
    </row>
    <row r="62" spans="1:7">
      <c r="A62" s="24" t="s">
        <v>1661</v>
      </c>
      <c r="B62" s="24" t="s">
        <v>1596</v>
      </c>
      <c r="C62" s="24">
        <v>92</v>
      </c>
      <c r="D62" s="24" t="s">
        <v>1662</v>
      </c>
      <c r="E62" s="25" t="s">
        <v>1663</v>
      </c>
      <c r="F62" s="24" t="s">
        <v>1600</v>
      </c>
      <c r="G62" s="24" t="s">
        <v>1601</v>
      </c>
    </row>
    <row r="63" spans="1:7">
      <c r="A63" s="24" t="s">
        <v>1664</v>
      </c>
      <c r="B63" s="24" t="s">
        <v>1596</v>
      </c>
      <c r="C63" s="24">
        <v>92</v>
      </c>
      <c r="D63" s="24" t="s">
        <v>1665</v>
      </c>
      <c r="E63" s="24" t="s">
        <v>1666</v>
      </c>
      <c r="F63" s="24" t="s">
        <v>1600</v>
      </c>
      <c r="G63" s="24" t="s">
        <v>1601</v>
      </c>
    </row>
    <row r="64" spans="1:7">
      <c r="A64" s="24" t="s">
        <v>1667</v>
      </c>
      <c r="B64" s="24" t="s">
        <v>1585</v>
      </c>
      <c r="C64" s="24">
        <v>2006</v>
      </c>
      <c r="D64" s="24" t="s">
        <v>1643</v>
      </c>
      <c r="E64" s="24" t="s">
        <v>1644</v>
      </c>
      <c r="F64" s="24" t="s">
        <v>1600</v>
      </c>
      <c r="G64" s="24" t="s">
        <v>1601</v>
      </c>
    </row>
    <row r="65" spans="1:7">
      <c r="A65" s="24" t="s">
        <v>1668</v>
      </c>
      <c r="B65" s="24" t="s">
        <v>1531</v>
      </c>
      <c r="C65" s="24">
        <v>2944</v>
      </c>
      <c r="D65" s="24" t="s">
        <v>1646</v>
      </c>
      <c r="E65" s="24" t="s">
        <v>1647</v>
      </c>
      <c r="F65" s="24" t="s">
        <v>1648</v>
      </c>
      <c r="G65" s="24" t="s">
        <v>1601</v>
      </c>
    </row>
    <row r="66" spans="1:7">
      <c r="A66" s="24" t="s">
        <v>1669</v>
      </c>
      <c r="B66" s="24" t="s">
        <v>1592</v>
      </c>
      <c r="C66" s="24">
        <v>9214</v>
      </c>
      <c r="D66" s="24" t="s">
        <v>1650</v>
      </c>
      <c r="E66" s="25" t="s">
        <v>1651</v>
      </c>
      <c r="F66" s="24" t="s">
        <v>1648</v>
      </c>
      <c r="G66" s="24" t="s">
        <v>1601</v>
      </c>
    </row>
    <row r="67" spans="1:7">
      <c r="A67" s="24" t="s">
        <v>1670</v>
      </c>
      <c r="B67" s="24" t="s">
        <v>1596</v>
      </c>
      <c r="C67" s="24">
        <v>1827</v>
      </c>
      <c r="D67" s="24" t="s">
        <v>1653</v>
      </c>
      <c r="E67" s="24" t="s">
        <v>1654</v>
      </c>
      <c r="F67" s="24" t="s">
        <v>1648</v>
      </c>
      <c r="G67" s="24" t="s">
        <v>1601</v>
      </c>
    </row>
    <row r="68" spans="1:7">
      <c r="A68" s="24" t="s">
        <v>1671</v>
      </c>
      <c r="B68" s="24" t="s">
        <v>1531</v>
      </c>
      <c r="C68" s="24">
        <v>145</v>
      </c>
      <c r="D68" s="24" t="s">
        <v>1646</v>
      </c>
      <c r="E68" s="24" t="s">
        <v>1656</v>
      </c>
      <c r="F68" s="24" t="s">
        <v>1657</v>
      </c>
      <c r="G68" s="24" t="s">
        <v>1601</v>
      </c>
    </row>
    <row r="69" spans="1:7">
      <c r="A69" s="24" t="s">
        <v>1672</v>
      </c>
      <c r="B69" s="24" t="s">
        <v>1596</v>
      </c>
      <c r="C69" s="24">
        <v>80</v>
      </c>
      <c r="D69" s="24" t="s">
        <v>1659</v>
      </c>
      <c r="E69" s="24" t="s">
        <v>1660</v>
      </c>
      <c r="F69" s="24" t="s">
        <v>1657</v>
      </c>
      <c r="G69" s="24" t="s">
        <v>1601</v>
      </c>
    </row>
    <row r="70" spans="1:7">
      <c r="A70" s="24" t="s">
        <v>1673</v>
      </c>
      <c r="B70" s="24" t="s">
        <v>1674</v>
      </c>
      <c r="C70" s="24">
        <v>0</v>
      </c>
      <c r="D70" s="24" t="s">
        <v>1675</v>
      </c>
      <c r="E70" s="24" t="s">
        <v>1676</v>
      </c>
      <c r="F70" s="24" t="s">
        <v>1600</v>
      </c>
      <c r="G70" s="24" t="s">
        <v>1601</v>
      </c>
    </row>
    <row r="71" spans="1:7">
      <c r="A71" s="24" t="s">
        <v>1677</v>
      </c>
      <c r="B71" s="24" t="s">
        <v>1596</v>
      </c>
      <c r="C71" s="24">
        <v>0</v>
      </c>
      <c r="D71" s="24" t="s">
        <v>1678</v>
      </c>
      <c r="E71" s="24" t="s">
        <v>1676</v>
      </c>
      <c r="F71" s="24" t="s">
        <v>1679</v>
      </c>
      <c r="G71" s="24" t="s">
        <v>1680</v>
      </c>
    </row>
    <row r="72" spans="1:7">
      <c r="A72" s="24" t="s">
        <v>1681</v>
      </c>
      <c r="B72" s="24" t="s">
        <v>1596</v>
      </c>
      <c r="C72" s="24">
        <v>21</v>
      </c>
      <c r="D72" s="24" t="s">
        <v>1682</v>
      </c>
      <c r="E72" s="24" t="s">
        <v>1683</v>
      </c>
      <c r="F72" s="24" t="s">
        <v>1679</v>
      </c>
      <c r="G72" s="24" t="s">
        <v>1680</v>
      </c>
    </row>
    <row r="73" spans="1:7">
      <c r="A73" s="24" t="s">
        <v>1684</v>
      </c>
      <c r="B73" s="24" t="s">
        <v>1596</v>
      </c>
      <c r="C73" s="24">
        <v>21</v>
      </c>
      <c r="D73" s="24" t="s">
        <v>1682</v>
      </c>
      <c r="E73" s="24" t="s">
        <v>1685</v>
      </c>
      <c r="F73" s="24" t="s">
        <v>1679</v>
      </c>
      <c r="G73" s="24" t="s">
        <v>1680</v>
      </c>
    </row>
    <row r="74" spans="1:7">
      <c r="A74" s="24" t="s">
        <v>1686</v>
      </c>
      <c r="B74" s="24" t="s">
        <v>1674</v>
      </c>
      <c r="C74" s="24">
        <v>160796</v>
      </c>
      <c r="D74" s="24" t="s">
        <v>1682</v>
      </c>
      <c r="E74" s="24" t="s">
        <v>1687</v>
      </c>
      <c r="F74" s="24" t="s">
        <v>1679</v>
      </c>
      <c r="G74" s="24" t="s">
        <v>1680</v>
      </c>
    </row>
    <row r="75" spans="1:7">
      <c r="A75" s="24" t="s">
        <v>1688</v>
      </c>
      <c r="B75" s="24" t="s">
        <v>1674</v>
      </c>
      <c r="C75" s="24">
        <v>158062</v>
      </c>
      <c r="D75" s="24" t="s">
        <v>1689</v>
      </c>
      <c r="E75" s="24" t="s">
        <v>1690</v>
      </c>
      <c r="F75" s="24" t="s">
        <v>1679</v>
      </c>
      <c r="G75" s="24" t="s">
        <v>1680</v>
      </c>
    </row>
    <row r="76" spans="1:7">
      <c r="A76" s="24" t="s">
        <v>1691</v>
      </c>
      <c r="B76" s="24" t="s">
        <v>1674</v>
      </c>
      <c r="C76" s="24">
        <v>2614459</v>
      </c>
      <c r="D76" s="24" t="s">
        <v>1682</v>
      </c>
      <c r="E76" s="24" t="s">
        <v>1692</v>
      </c>
      <c r="F76" s="24" t="s">
        <v>1679</v>
      </c>
      <c r="G76" s="24" t="s">
        <v>1680</v>
      </c>
    </row>
    <row r="77" spans="1:7">
      <c r="A77" s="24" t="s">
        <v>1693</v>
      </c>
      <c r="B77" s="24" t="s">
        <v>1596</v>
      </c>
      <c r="C77" s="24">
        <v>452</v>
      </c>
      <c r="D77" s="24" t="s">
        <v>1682</v>
      </c>
      <c r="E77" s="24" t="s">
        <v>1694</v>
      </c>
      <c r="F77" s="24" t="s">
        <v>1679</v>
      </c>
      <c r="G77" s="24" t="s">
        <v>1680</v>
      </c>
    </row>
    <row r="78" spans="1:7">
      <c r="A78" s="24" t="s">
        <v>1695</v>
      </c>
      <c r="B78" s="24" t="s">
        <v>1674</v>
      </c>
      <c r="C78" s="24">
        <v>2246530</v>
      </c>
      <c r="D78" s="24" t="s">
        <v>1689</v>
      </c>
      <c r="E78" s="24" t="s">
        <v>1696</v>
      </c>
      <c r="F78" s="24" t="s">
        <v>1679</v>
      </c>
      <c r="G78" s="24" t="s">
        <v>1680</v>
      </c>
    </row>
    <row r="79" spans="1:7">
      <c r="A79" s="24" t="s">
        <v>1697</v>
      </c>
      <c r="B79" s="24" t="s">
        <v>1596</v>
      </c>
      <c r="C79" s="24">
        <v>13317</v>
      </c>
      <c r="D79" s="24" t="s">
        <v>1698</v>
      </c>
      <c r="E79" s="24" t="s">
        <v>1699</v>
      </c>
      <c r="F79" s="24" t="s">
        <v>1679</v>
      </c>
      <c r="G79" s="24" t="s">
        <v>1680</v>
      </c>
    </row>
    <row r="80" spans="1:7">
      <c r="A80" s="24" t="s">
        <v>1700</v>
      </c>
      <c r="B80" s="24" t="s">
        <v>1596</v>
      </c>
      <c r="C80" s="24">
        <v>3463</v>
      </c>
      <c r="D80" s="24" t="s">
        <v>1701</v>
      </c>
      <c r="E80" s="24" t="s">
        <v>1702</v>
      </c>
      <c r="F80" s="24" t="s">
        <v>1679</v>
      </c>
      <c r="G80" s="24" t="s">
        <v>1680</v>
      </c>
    </row>
    <row r="81" spans="1:7">
      <c r="A81" s="24" t="s">
        <v>1703</v>
      </c>
      <c r="B81" s="24" t="s">
        <v>1596</v>
      </c>
      <c r="C81" s="24">
        <v>2221</v>
      </c>
      <c r="D81" s="24" t="s">
        <v>1701</v>
      </c>
      <c r="E81" s="24" t="s">
        <v>1704</v>
      </c>
      <c r="F81" s="24" t="s">
        <v>1679</v>
      </c>
      <c r="G81" s="24" t="s">
        <v>1680</v>
      </c>
    </row>
    <row r="82" spans="1:7">
      <c r="A82" s="24" t="s">
        <v>1705</v>
      </c>
      <c r="B82" s="24" t="s">
        <v>1596</v>
      </c>
      <c r="C82" s="24">
        <v>179</v>
      </c>
      <c r="D82" s="24" t="s">
        <v>1701</v>
      </c>
      <c r="E82" s="24" t="s">
        <v>1706</v>
      </c>
      <c r="F82" s="24" t="s">
        <v>1679</v>
      </c>
      <c r="G82" s="24" t="s">
        <v>1680</v>
      </c>
    </row>
    <row r="83" spans="1:7">
      <c r="A83" s="24" t="s">
        <v>1707</v>
      </c>
      <c r="B83" s="24" t="s">
        <v>1596</v>
      </c>
      <c r="C83" s="24">
        <v>0</v>
      </c>
      <c r="D83" s="24" t="s">
        <v>1708</v>
      </c>
      <c r="E83" s="24" t="s">
        <v>1676</v>
      </c>
      <c r="F83" s="24" t="s">
        <v>1679</v>
      </c>
      <c r="G83" s="24" t="s">
        <v>1680</v>
      </c>
    </row>
    <row r="84" spans="1:7">
      <c r="A84" s="24" t="s">
        <v>1709</v>
      </c>
      <c r="B84" s="24" t="s">
        <v>1710</v>
      </c>
      <c r="C84" s="24">
        <v>9387</v>
      </c>
      <c r="D84" s="24" t="s">
        <v>1711</v>
      </c>
      <c r="E84" s="24" t="s">
        <v>1712</v>
      </c>
      <c r="F84" s="24" t="s">
        <v>1679</v>
      </c>
      <c r="G84" s="24" t="s">
        <v>1680</v>
      </c>
    </row>
    <row r="85" spans="1:7">
      <c r="A85" s="24" t="s">
        <v>1713</v>
      </c>
      <c r="B85" s="24" t="s">
        <v>1714</v>
      </c>
      <c r="C85" s="24">
        <v>3204</v>
      </c>
      <c r="D85" s="24" t="s">
        <v>1711</v>
      </c>
      <c r="E85" s="24" t="s">
        <v>1715</v>
      </c>
      <c r="F85" s="24" t="s">
        <v>1679</v>
      </c>
      <c r="G85" s="24" t="s">
        <v>1680</v>
      </c>
    </row>
    <row r="86" spans="1:7">
      <c r="A86" s="24" t="s">
        <v>1716</v>
      </c>
      <c r="B86" s="24" t="s">
        <v>1596</v>
      </c>
      <c r="C86" s="24">
        <v>110</v>
      </c>
      <c r="D86" s="24" t="s">
        <v>1717</v>
      </c>
      <c r="E86" s="24" t="s">
        <v>1718</v>
      </c>
      <c r="F86" s="24" t="s">
        <v>1679</v>
      </c>
      <c r="G86" s="24" t="s">
        <v>1680</v>
      </c>
    </row>
    <row r="87" spans="1:7">
      <c r="A87" s="24" t="s">
        <v>1719</v>
      </c>
      <c r="B87" s="24" t="s">
        <v>1596</v>
      </c>
      <c r="C87" s="24">
        <v>21</v>
      </c>
      <c r="D87" s="24" t="s">
        <v>1720</v>
      </c>
      <c r="E87" s="24" t="s">
        <v>1721</v>
      </c>
      <c r="F87" s="24" t="s">
        <v>1679</v>
      </c>
      <c r="G87" s="24" t="s">
        <v>1680</v>
      </c>
    </row>
    <row r="88" spans="1:7">
      <c r="A88" s="24" t="s">
        <v>1722</v>
      </c>
      <c r="B88" s="24" t="s">
        <v>1596</v>
      </c>
      <c r="C88" s="24">
        <v>2</v>
      </c>
      <c r="D88" s="24" t="s">
        <v>1723</v>
      </c>
      <c r="E88" s="24" t="s">
        <v>1724</v>
      </c>
      <c r="F88" s="24" t="s">
        <v>1679</v>
      </c>
      <c r="G88" s="24" t="s">
        <v>1680</v>
      </c>
    </row>
    <row r="89" spans="1:7">
      <c r="A89" s="24" t="s">
        <v>1725</v>
      </c>
      <c r="B89" s="24" t="s">
        <v>1674</v>
      </c>
      <c r="C89" s="24">
        <v>0</v>
      </c>
      <c r="D89" s="24" t="s">
        <v>1726</v>
      </c>
      <c r="E89" s="24" t="s">
        <v>1676</v>
      </c>
      <c r="F89" s="24" t="s">
        <v>1679</v>
      </c>
      <c r="G89" s="24" t="s">
        <v>1680</v>
      </c>
    </row>
    <row r="90" spans="1:7">
      <c r="A90" s="24" t="s">
        <v>1727</v>
      </c>
      <c r="B90" s="24" t="s">
        <v>1674</v>
      </c>
      <c r="C90" s="24">
        <v>44660</v>
      </c>
      <c r="D90" s="24" t="s">
        <v>1726</v>
      </c>
      <c r="E90" s="24" t="s">
        <v>1728</v>
      </c>
      <c r="F90" s="24" t="s">
        <v>1679</v>
      </c>
      <c r="G90" s="24" t="s">
        <v>1680</v>
      </c>
    </row>
    <row r="91" spans="1:7">
      <c r="A91" s="24" t="s">
        <v>1729</v>
      </c>
      <c r="B91" s="24" t="s">
        <v>1674</v>
      </c>
      <c r="C91" s="24">
        <v>30091</v>
      </c>
      <c r="D91" s="24" t="s">
        <v>1726</v>
      </c>
      <c r="E91" s="24" t="s">
        <v>1730</v>
      </c>
      <c r="F91" s="24" t="s">
        <v>1679</v>
      </c>
      <c r="G91" s="24" t="s">
        <v>1680</v>
      </c>
    </row>
    <row r="92" spans="1:7">
      <c r="A92" s="24" t="s">
        <v>1731</v>
      </c>
      <c r="B92" s="24" t="s">
        <v>1674</v>
      </c>
      <c r="C92" s="24">
        <v>4922</v>
      </c>
      <c r="D92" s="24" t="s">
        <v>1726</v>
      </c>
      <c r="E92" s="24" t="s">
        <v>1732</v>
      </c>
      <c r="F92" s="24" t="s">
        <v>1679</v>
      </c>
      <c r="G92" s="24" t="s">
        <v>1680</v>
      </c>
    </row>
    <row r="93" spans="1:7">
      <c r="A93" s="24" t="s">
        <v>1733</v>
      </c>
      <c r="B93" s="24" t="s">
        <v>1674</v>
      </c>
      <c r="C93" s="24">
        <v>2785</v>
      </c>
      <c r="D93" s="24" t="s">
        <v>1726</v>
      </c>
      <c r="E93" s="24" t="s">
        <v>1734</v>
      </c>
      <c r="F93" s="24" t="s">
        <v>1679</v>
      </c>
      <c r="G93" s="24" t="s">
        <v>1680</v>
      </c>
    </row>
    <row r="94" spans="1:7">
      <c r="A94" s="24" t="s">
        <v>1735</v>
      </c>
      <c r="B94" s="24" t="s">
        <v>1674</v>
      </c>
      <c r="C94" s="24">
        <v>27971</v>
      </c>
      <c r="D94" s="24" t="s">
        <v>1726</v>
      </c>
      <c r="E94" s="24" t="s">
        <v>1736</v>
      </c>
      <c r="F94" s="24" t="s">
        <v>1679</v>
      </c>
      <c r="G94" s="24" t="s">
        <v>1680</v>
      </c>
    </row>
    <row r="95" spans="1:7">
      <c r="A95" s="24" t="s">
        <v>1737</v>
      </c>
      <c r="B95" s="24" t="s">
        <v>1596</v>
      </c>
      <c r="C95" s="24">
        <v>21</v>
      </c>
      <c r="D95" s="24" t="s">
        <v>1720</v>
      </c>
      <c r="E95" s="24" t="s">
        <v>1738</v>
      </c>
      <c r="F95" s="24" t="s">
        <v>1679</v>
      </c>
      <c r="G95" s="24" t="s">
        <v>1680</v>
      </c>
    </row>
    <row r="96" spans="1:7">
      <c r="A96" s="24" t="s">
        <v>1739</v>
      </c>
      <c r="B96" s="24" t="s">
        <v>1674</v>
      </c>
      <c r="C96" s="24">
        <v>57256</v>
      </c>
      <c r="D96" s="24" t="s">
        <v>1723</v>
      </c>
      <c r="E96" s="24" t="s">
        <v>1740</v>
      </c>
      <c r="F96" s="24" t="s">
        <v>1679</v>
      </c>
      <c r="G96" s="24" t="s">
        <v>1680</v>
      </c>
    </row>
    <row r="97" spans="1:7">
      <c r="A97" s="24" t="s">
        <v>1741</v>
      </c>
      <c r="B97" s="24" t="s">
        <v>1674</v>
      </c>
      <c r="C97" s="24">
        <v>256357</v>
      </c>
      <c r="D97" s="24" t="s">
        <v>1723</v>
      </c>
      <c r="E97" s="24" t="s">
        <v>1742</v>
      </c>
      <c r="F97" s="24" t="s">
        <v>1679</v>
      </c>
      <c r="G97" s="24" t="s">
        <v>1680</v>
      </c>
    </row>
    <row r="98" spans="1:7">
      <c r="A98" s="24" t="s">
        <v>1743</v>
      </c>
      <c r="B98" s="24" t="s">
        <v>1674</v>
      </c>
      <c r="C98" s="24">
        <v>314214</v>
      </c>
      <c r="D98" s="24" t="s">
        <v>1717</v>
      </c>
      <c r="E98" s="24" t="s">
        <v>1744</v>
      </c>
      <c r="F98" s="24" t="s">
        <v>1679</v>
      </c>
      <c r="G98" s="24" t="s">
        <v>1680</v>
      </c>
    </row>
    <row r="99" spans="1:7">
      <c r="A99" s="24" t="s">
        <v>1745</v>
      </c>
      <c r="B99" s="24" t="s">
        <v>1674</v>
      </c>
      <c r="C99" s="24">
        <v>431533</v>
      </c>
      <c r="D99" s="24" t="s">
        <v>1720</v>
      </c>
      <c r="E99" s="24" t="s">
        <v>1746</v>
      </c>
      <c r="F99" s="24" t="s">
        <v>1679</v>
      </c>
      <c r="G99" s="24" t="s">
        <v>1680</v>
      </c>
    </row>
    <row r="100" spans="1:7">
      <c r="A100" s="24" t="s">
        <v>1747</v>
      </c>
      <c r="B100" s="24" t="s">
        <v>1674</v>
      </c>
      <c r="C100" s="24">
        <v>34524261</v>
      </c>
      <c r="D100" s="24" t="s">
        <v>1720</v>
      </c>
      <c r="E100" s="24" t="s">
        <v>1748</v>
      </c>
      <c r="F100" s="24" t="s">
        <v>1679</v>
      </c>
      <c r="G100" s="24" t="s">
        <v>1680</v>
      </c>
    </row>
    <row r="101" spans="1:7">
      <c r="A101" s="24" t="s">
        <v>1749</v>
      </c>
      <c r="B101" s="24" t="s">
        <v>1596</v>
      </c>
      <c r="C101" s="24">
        <v>556</v>
      </c>
      <c r="D101" s="24" t="s">
        <v>1720</v>
      </c>
      <c r="E101" s="24" t="s">
        <v>1750</v>
      </c>
      <c r="F101" s="24" t="s">
        <v>1679</v>
      </c>
      <c r="G101" s="24" t="s">
        <v>1680</v>
      </c>
    </row>
    <row r="102" spans="1:7">
      <c r="A102" s="24" t="s">
        <v>1751</v>
      </c>
      <c r="B102" s="24" t="s">
        <v>1674</v>
      </c>
      <c r="C102" s="24">
        <v>34512874</v>
      </c>
      <c r="D102" s="24" t="s">
        <v>1717</v>
      </c>
      <c r="E102" s="24" t="s">
        <v>1752</v>
      </c>
      <c r="F102" s="24" t="s">
        <v>1679</v>
      </c>
      <c r="G102" s="24" t="s">
        <v>1680</v>
      </c>
    </row>
    <row r="103" spans="1:7">
      <c r="A103" s="24" t="s">
        <v>1753</v>
      </c>
      <c r="B103" s="24" t="s">
        <v>1596</v>
      </c>
      <c r="C103" s="24">
        <v>1407</v>
      </c>
      <c r="D103" s="24" t="s">
        <v>1754</v>
      </c>
      <c r="E103" s="24" t="s">
        <v>1755</v>
      </c>
      <c r="F103" s="24" t="s">
        <v>1679</v>
      </c>
      <c r="G103" s="24" t="s">
        <v>1680</v>
      </c>
    </row>
    <row r="104" spans="1:7">
      <c r="A104" s="24" t="s">
        <v>1756</v>
      </c>
      <c r="B104" s="24" t="s">
        <v>1596</v>
      </c>
      <c r="C104" s="24">
        <v>124</v>
      </c>
      <c r="D104" s="24" t="s">
        <v>1757</v>
      </c>
      <c r="E104" s="24" t="s">
        <v>1758</v>
      </c>
      <c r="F104" s="24" t="s">
        <v>1679</v>
      </c>
      <c r="G104" s="24" t="s">
        <v>1680</v>
      </c>
    </row>
    <row r="105" spans="1:7">
      <c r="A105" s="24" t="s">
        <v>1759</v>
      </c>
      <c r="B105" s="24" t="s">
        <v>1596</v>
      </c>
      <c r="C105" s="24">
        <v>6000</v>
      </c>
      <c r="D105" s="24" t="s">
        <v>1760</v>
      </c>
      <c r="E105" s="24" t="s">
        <v>1761</v>
      </c>
      <c r="F105" s="24" t="s">
        <v>1679</v>
      </c>
      <c r="G105" s="24" t="s">
        <v>1680</v>
      </c>
    </row>
    <row r="106" spans="1:7">
      <c r="A106" s="24" t="s">
        <v>1762</v>
      </c>
      <c r="B106" s="24" t="s">
        <v>1523</v>
      </c>
      <c r="C106" s="24">
        <v>104</v>
      </c>
      <c r="D106" s="24" t="s">
        <v>1763</v>
      </c>
      <c r="E106" s="24" t="s">
        <v>1764</v>
      </c>
      <c r="F106" s="24" t="s">
        <v>1679</v>
      </c>
      <c r="G106" s="24" t="s">
        <v>1680</v>
      </c>
    </row>
    <row r="107" spans="1:7" ht="12.75" customHeight="1">
      <c r="A107" s="24" t="s">
        <v>2154</v>
      </c>
      <c r="B107" s="24" t="s">
        <v>1596</v>
      </c>
      <c r="C107" s="24">
        <v>30</v>
      </c>
      <c r="D107" s="24" t="s">
        <v>2155</v>
      </c>
      <c r="E107" s="24" t="s">
        <v>2156</v>
      </c>
      <c r="F107" s="24" t="s">
        <v>2157</v>
      </c>
      <c r="G107" s="24" t="s">
        <v>2158</v>
      </c>
    </row>
    <row r="108" spans="1:7" ht="12.75" customHeight="1">
      <c r="A108" s="24" t="s">
        <v>2159</v>
      </c>
      <c r="B108" s="24" t="s">
        <v>1596</v>
      </c>
      <c r="C108" s="24">
        <v>30</v>
      </c>
      <c r="D108" s="24" t="s">
        <v>2160</v>
      </c>
      <c r="E108" s="24" t="s">
        <v>2161</v>
      </c>
      <c r="F108" s="24" t="s">
        <v>2162</v>
      </c>
      <c r="G108" s="24" t="s">
        <v>2158</v>
      </c>
    </row>
    <row r="109" spans="1:7" ht="12.75" customHeight="1">
      <c r="A109" s="24" t="s">
        <v>2163</v>
      </c>
      <c r="B109" s="24" t="s">
        <v>1596</v>
      </c>
      <c r="C109" s="24">
        <v>30</v>
      </c>
      <c r="D109" s="24" t="s">
        <v>2164</v>
      </c>
      <c r="E109" s="24" t="s">
        <v>2165</v>
      </c>
      <c r="F109" s="24" t="s">
        <v>2162</v>
      </c>
      <c r="G109" s="24" t="s">
        <v>2158</v>
      </c>
    </row>
    <row r="110" spans="1:7" ht="12.75" customHeight="1">
      <c r="A110" s="24" t="s">
        <v>2166</v>
      </c>
      <c r="B110" s="24" t="s">
        <v>1531</v>
      </c>
      <c r="C110" s="24">
        <v>4386</v>
      </c>
      <c r="D110" s="24" t="s">
        <v>2167</v>
      </c>
      <c r="E110" s="24" t="s">
        <v>2168</v>
      </c>
      <c r="F110" s="24" t="s">
        <v>2169</v>
      </c>
      <c r="G110" s="24" t="s">
        <v>2158</v>
      </c>
    </row>
    <row r="111" spans="1:7" ht="12.75" customHeight="1">
      <c r="A111" s="24" t="s">
        <v>2170</v>
      </c>
      <c r="B111" s="24" t="s">
        <v>1596</v>
      </c>
      <c r="C111" s="24">
        <v>30</v>
      </c>
      <c r="D111" s="24" t="s">
        <v>2171</v>
      </c>
      <c r="E111" s="24" t="s">
        <v>2172</v>
      </c>
      <c r="F111" s="24" t="s">
        <v>2173</v>
      </c>
      <c r="G111" s="24" t="s">
        <v>2158</v>
      </c>
    </row>
    <row r="112" spans="1:7" ht="12.75" customHeight="1">
      <c r="A112" s="24" t="s">
        <v>2174</v>
      </c>
      <c r="B112" s="24" t="s">
        <v>1596</v>
      </c>
      <c r="C112" s="24">
        <v>30</v>
      </c>
      <c r="D112" s="24" t="s">
        <v>2175</v>
      </c>
      <c r="E112" s="24" t="s">
        <v>2176</v>
      </c>
      <c r="F112" s="24" t="s">
        <v>2173</v>
      </c>
      <c r="G112" s="24" t="s">
        <v>2158</v>
      </c>
    </row>
    <row r="113" spans="1:7" ht="12.75" customHeight="1">
      <c r="A113" s="24" t="s">
        <v>2177</v>
      </c>
      <c r="B113" s="24" t="s">
        <v>1585</v>
      </c>
      <c r="C113" s="24">
        <v>2125</v>
      </c>
      <c r="D113" s="24" t="s">
        <v>2178</v>
      </c>
      <c r="E113" s="24" t="s">
        <v>2179</v>
      </c>
      <c r="F113" s="24" t="s">
        <v>2157</v>
      </c>
      <c r="G113" s="24" t="s">
        <v>2158</v>
      </c>
    </row>
    <row r="114" spans="1:7" ht="12.75" customHeight="1">
      <c r="A114" s="24" t="s">
        <v>2180</v>
      </c>
      <c r="B114" s="24" t="s">
        <v>1531</v>
      </c>
      <c r="C114" s="24">
        <v>2995</v>
      </c>
      <c r="D114" s="24" t="s">
        <v>2181</v>
      </c>
      <c r="E114" s="24" t="s">
        <v>2182</v>
      </c>
      <c r="F114" s="24" t="s">
        <v>2183</v>
      </c>
      <c r="G114" s="24" t="s">
        <v>2158</v>
      </c>
    </row>
    <row r="115" spans="1:7" ht="12.75" customHeight="1">
      <c r="A115" s="24" t="s">
        <v>2184</v>
      </c>
      <c r="B115" s="24" t="s">
        <v>1592</v>
      </c>
      <c r="C115" s="24">
        <v>9480</v>
      </c>
      <c r="D115" s="24" t="s">
        <v>2185</v>
      </c>
      <c r="E115" s="24" t="s">
        <v>2186</v>
      </c>
      <c r="F115" s="24" t="s">
        <v>2183</v>
      </c>
      <c r="G115" s="24" t="s">
        <v>2158</v>
      </c>
    </row>
    <row r="116" spans="1:7" ht="12.75" customHeight="1">
      <c r="A116" s="24" t="s">
        <v>2187</v>
      </c>
      <c r="B116" s="24" t="s">
        <v>1596</v>
      </c>
      <c r="C116" s="24">
        <v>1891</v>
      </c>
      <c r="D116" s="24" t="s">
        <v>2188</v>
      </c>
      <c r="E116" s="24" t="s">
        <v>2189</v>
      </c>
      <c r="F116" s="24" t="s">
        <v>2183</v>
      </c>
      <c r="G116" s="24" t="s">
        <v>2158</v>
      </c>
    </row>
    <row r="117" spans="1:7" ht="12.75" customHeight="1">
      <c r="A117" s="24" t="s">
        <v>2190</v>
      </c>
      <c r="B117" s="24" t="s">
        <v>1531</v>
      </c>
      <c r="C117" s="24">
        <v>145</v>
      </c>
      <c r="D117" s="24" t="s">
        <v>2191</v>
      </c>
      <c r="E117" s="24" t="s">
        <v>2192</v>
      </c>
      <c r="F117" s="24" t="s">
        <v>2193</v>
      </c>
      <c r="G117" s="24" t="s">
        <v>2158</v>
      </c>
    </row>
    <row r="118" spans="1:7" ht="12.75" customHeight="1">
      <c r="A118" s="24" t="s">
        <v>2194</v>
      </c>
      <c r="B118" s="24" t="s">
        <v>1596</v>
      </c>
      <c r="C118" s="24">
        <v>80</v>
      </c>
      <c r="D118" s="24" t="s">
        <v>2195</v>
      </c>
      <c r="E118" s="24" t="s">
        <v>2196</v>
      </c>
      <c r="F118" s="24" t="s">
        <v>2193</v>
      </c>
      <c r="G118" s="24" t="s">
        <v>2158</v>
      </c>
    </row>
    <row r="119" spans="1:7" ht="12.75" customHeight="1">
      <c r="A119" s="24" t="s">
        <v>2197</v>
      </c>
      <c r="B119" s="24" t="s">
        <v>1585</v>
      </c>
      <c r="C119" s="24">
        <v>57230</v>
      </c>
      <c r="D119" s="24" t="s">
        <v>2198</v>
      </c>
      <c r="E119" s="24" t="s">
        <v>2199</v>
      </c>
      <c r="F119" s="24" t="s">
        <v>2157</v>
      </c>
      <c r="G119" s="24" t="s">
        <v>2158</v>
      </c>
    </row>
    <row r="120" spans="1:7" ht="12.75" customHeight="1">
      <c r="A120" s="24" t="s">
        <v>2200</v>
      </c>
      <c r="B120" s="24" t="s">
        <v>1531</v>
      </c>
      <c r="C120" s="24">
        <v>28204</v>
      </c>
      <c r="D120" s="24" t="s">
        <v>2201</v>
      </c>
      <c r="E120" s="24" t="s">
        <v>2202</v>
      </c>
      <c r="F120" s="24" t="s">
        <v>2203</v>
      </c>
      <c r="G120" s="24" t="s">
        <v>2158</v>
      </c>
    </row>
    <row r="121" spans="1:7" ht="12.75" customHeight="1">
      <c r="A121" s="24" t="s">
        <v>2204</v>
      </c>
      <c r="B121" s="24" t="s">
        <v>1592</v>
      </c>
      <c r="C121" s="24">
        <v>64160</v>
      </c>
      <c r="D121" s="24" t="s">
        <v>2205</v>
      </c>
      <c r="E121" s="24" t="s">
        <v>2206</v>
      </c>
      <c r="F121" s="24" t="s">
        <v>2203</v>
      </c>
      <c r="G121" s="24" t="s">
        <v>2158</v>
      </c>
    </row>
    <row r="122" spans="1:7" ht="12.75" customHeight="1">
      <c r="A122" s="24" t="s">
        <v>2207</v>
      </c>
      <c r="B122" s="24" t="s">
        <v>1596</v>
      </c>
      <c r="C122" s="24">
        <v>33324</v>
      </c>
      <c r="D122" s="24" t="s">
        <v>2201</v>
      </c>
      <c r="E122" s="24" t="s">
        <v>2208</v>
      </c>
      <c r="F122" s="24" t="s">
        <v>2203</v>
      </c>
      <c r="G122" s="24" t="s">
        <v>2158</v>
      </c>
    </row>
    <row r="123" spans="1:7" ht="12.75" customHeight="1">
      <c r="A123" s="24" t="s">
        <v>2209</v>
      </c>
      <c r="B123" s="24" t="s">
        <v>1531</v>
      </c>
      <c r="C123" s="24">
        <v>89205</v>
      </c>
      <c r="D123" s="24" t="s">
        <v>2210</v>
      </c>
      <c r="E123" s="24" t="s">
        <v>2211</v>
      </c>
      <c r="F123" s="24" t="s">
        <v>2212</v>
      </c>
      <c r="G123" s="24" t="s">
        <v>2158</v>
      </c>
    </row>
    <row r="124" spans="1:7" ht="12.75" customHeight="1">
      <c r="A124" s="24" t="s">
        <v>2213</v>
      </c>
      <c r="B124" s="24" t="s">
        <v>1592</v>
      </c>
      <c r="C124" s="24">
        <v>143980</v>
      </c>
      <c r="D124" s="24" t="s">
        <v>2214</v>
      </c>
      <c r="E124" s="24" t="s">
        <v>2215</v>
      </c>
      <c r="F124" s="24" t="s">
        <v>2212</v>
      </c>
      <c r="G124" s="24" t="s">
        <v>2158</v>
      </c>
    </row>
    <row r="125" spans="1:7" ht="12.75" customHeight="1">
      <c r="A125" s="24" t="s">
        <v>2216</v>
      </c>
      <c r="B125" s="24" t="s">
        <v>1531</v>
      </c>
      <c r="C125" s="24">
        <v>77666</v>
      </c>
      <c r="D125" s="24" t="s">
        <v>2217</v>
      </c>
      <c r="E125" s="24" t="s">
        <v>2218</v>
      </c>
      <c r="F125" s="24" t="s">
        <v>2219</v>
      </c>
      <c r="G125" s="24" t="s">
        <v>2158</v>
      </c>
    </row>
    <row r="126" spans="1:7" ht="12.75" customHeight="1">
      <c r="A126" s="24" t="s">
        <v>1892</v>
      </c>
      <c r="B126" s="24" t="s">
        <v>1592</v>
      </c>
      <c r="C126" s="24">
        <v>125747</v>
      </c>
      <c r="D126" s="24" t="s">
        <v>2220</v>
      </c>
      <c r="E126" s="24" t="s">
        <v>2221</v>
      </c>
      <c r="F126" s="24" t="s">
        <v>2219</v>
      </c>
      <c r="G126" s="24" t="s">
        <v>2158</v>
      </c>
    </row>
    <row r="127" spans="1:7" ht="12.75" customHeight="1">
      <c r="A127" s="24" t="s">
        <v>2222</v>
      </c>
      <c r="B127" s="24" t="s">
        <v>1531</v>
      </c>
      <c r="C127" s="24">
        <v>77666</v>
      </c>
      <c r="D127" s="24" t="s">
        <v>2217</v>
      </c>
      <c r="E127" s="24" t="s">
        <v>2218</v>
      </c>
      <c r="F127" s="24" t="s">
        <v>2157</v>
      </c>
      <c r="G127" s="24" t="s">
        <v>2158</v>
      </c>
    </row>
    <row r="128" spans="1:7" ht="12.75" customHeight="1">
      <c r="A128" s="24" t="s">
        <v>2223</v>
      </c>
      <c r="B128" s="24" t="s">
        <v>1592</v>
      </c>
      <c r="C128" s="24">
        <v>125747</v>
      </c>
      <c r="D128" s="24" t="s">
        <v>2220</v>
      </c>
      <c r="E128" s="24" t="s">
        <v>2221</v>
      </c>
      <c r="F128" s="24" t="s">
        <v>2157</v>
      </c>
      <c r="G128" s="24" t="s">
        <v>2158</v>
      </c>
    </row>
    <row r="129" spans="1:7" ht="12.75" customHeight="1">
      <c r="A129" s="24" t="s">
        <v>2224</v>
      </c>
      <c r="B129" s="24" t="s">
        <v>1531</v>
      </c>
      <c r="C129" s="24">
        <v>89205</v>
      </c>
      <c r="D129" s="24" t="s">
        <v>2210</v>
      </c>
      <c r="E129" s="24" t="s">
        <v>2211</v>
      </c>
      <c r="F129" s="24" t="s">
        <v>2157</v>
      </c>
      <c r="G129" s="24" t="s">
        <v>2158</v>
      </c>
    </row>
    <row r="130" spans="1:7" ht="12.75" customHeight="1">
      <c r="A130" s="24" t="s">
        <v>2225</v>
      </c>
      <c r="B130" s="24" t="s">
        <v>1592</v>
      </c>
      <c r="C130" s="24">
        <v>143980</v>
      </c>
      <c r="D130" s="24" t="s">
        <v>2214</v>
      </c>
      <c r="E130" s="24" t="s">
        <v>2215</v>
      </c>
      <c r="F130" s="24" t="s">
        <v>2157</v>
      </c>
      <c r="G130" s="24" t="s">
        <v>2158</v>
      </c>
    </row>
    <row r="131" spans="1:7" ht="12.75" customHeight="1">
      <c r="A131" s="24" t="s">
        <v>2226</v>
      </c>
      <c r="B131" s="24" t="s">
        <v>1596</v>
      </c>
      <c r="C131" s="24">
        <v>30</v>
      </c>
      <c r="D131" s="24" t="s">
        <v>2227</v>
      </c>
      <c r="E131" s="24" t="s">
        <v>2228</v>
      </c>
      <c r="F131" s="24" t="s">
        <v>2157</v>
      </c>
      <c r="G131" s="24" t="s">
        <v>2229</v>
      </c>
    </row>
    <row r="132" spans="1:7" ht="12.75" customHeight="1">
      <c r="A132" s="24" t="s">
        <v>2230</v>
      </c>
      <c r="B132" s="24" t="s">
        <v>1596</v>
      </c>
      <c r="C132" s="24">
        <v>30</v>
      </c>
      <c r="D132" s="24" t="s">
        <v>2231</v>
      </c>
      <c r="E132" s="24" t="s">
        <v>2232</v>
      </c>
      <c r="F132" s="24" t="s">
        <v>2162</v>
      </c>
      <c r="G132" s="24" t="s">
        <v>2229</v>
      </c>
    </row>
    <row r="133" spans="1:7" ht="12.75" customHeight="1">
      <c r="A133" s="24" t="s">
        <v>2233</v>
      </c>
      <c r="B133" s="24" t="s">
        <v>1596</v>
      </c>
      <c r="C133" s="24">
        <v>30</v>
      </c>
      <c r="D133" s="24" t="s">
        <v>2234</v>
      </c>
      <c r="E133" s="24" t="s">
        <v>2235</v>
      </c>
      <c r="F133" s="24" t="s">
        <v>2162</v>
      </c>
      <c r="G133" s="24" t="s">
        <v>2229</v>
      </c>
    </row>
    <row r="134" spans="1:7" ht="12.75" customHeight="1">
      <c r="A134" s="24" t="s">
        <v>2236</v>
      </c>
      <c r="B134" s="24" t="s">
        <v>1531</v>
      </c>
      <c r="C134" s="24">
        <v>4386</v>
      </c>
      <c r="D134" s="24" t="s">
        <v>2237</v>
      </c>
      <c r="E134" s="24" t="s">
        <v>2238</v>
      </c>
      <c r="F134" s="24" t="s">
        <v>2169</v>
      </c>
      <c r="G134" s="24" t="s">
        <v>2229</v>
      </c>
    </row>
    <row r="135" spans="1:7" ht="12.75" customHeight="1">
      <c r="A135" s="24" t="s">
        <v>2239</v>
      </c>
      <c r="B135" s="24" t="s">
        <v>1596</v>
      </c>
      <c r="C135" s="24">
        <v>30</v>
      </c>
      <c r="D135" s="24" t="s">
        <v>2240</v>
      </c>
      <c r="E135" s="24" t="s">
        <v>2241</v>
      </c>
      <c r="F135" s="24" t="s">
        <v>2173</v>
      </c>
      <c r="G135" s="24" t="s">
        <v>2229</v>
      </c>
    </row>
    <row r="136" spans="1:7" ht="12.75" customHeight="1">
      <c r="A136" s="24" t="s">
        <v>2242</v>
      </c>
      <c r="B136" s="24" t="s">
        <v>1596</v>
      </c>
      <c r="C136" s="24">
        <v>30</v>
      </c>
      <c r="D136" s="24" t="s">
        <v>2243</v>
      </c>
      <c r="E136" s="24" t="s">
        <v>2244</v>
      </c>
      <c r="F136" s="24" t="s">
        <v>2173</v>
      </c>
      <c r="G136" s="24" t="s">
        <v>2229</v>
      </c>
    </row>
    <row r="137" spans="1:7" ht="12.75" customHeight="1">
      <c r="A137" s="24" t="s">
        <v>2245</v>
      </c>
      <c r="B137" s="24" t="s">
        <v>1585</v>
      </c>
      <c r="C137" s="24">
        <v>2014</v>
      </c>
      <c r="D137" s="24" t="s">
        <v>2246</v>
      </c>
      <c r="E137" s="24" t="s">
        <v>2247</v>
      </c>
      <c r="F137" s="24" t="s">
        <v>2157</v>
      </c>
      <c r="G137" s="24" t="s">
        <v>2229</v>
      </c>
    </row>
    <row r="138" spans="1:7" ht="12.75" customHeight="1">
      <c r="A138" s="24" t="s">
        <v>2248</v>
      </c>
      <c r="B138" s="24" t="s">
        <v>1531</v>
      </c>
      <c r="C138" s="24">
        <v>2995</v>
      </c>
      <c r="D138" s="24" t="s">
        <v>2249</v>
      </c>
      <c r="E138" s="25" t="s">
        <v>2250</v>
      </c>
      <c r="F138" s="24" t="s">
        <v>2183</v>
      </c>
      <c r="G138" s="24" t="s">
        <v>2229</v>
      </c>
    </row>
    <row r="139" spans="1:7" ht="12.75" customHeight="1">
      <c r="A139" s="24" t="s">
        <v>2251</v>
      </c>
      <c r="B139" s="24" t="s">
        <v>1592</v>
      </c>
      <c r="C139" s="24">
        <v>9373</v>
      </c>
      <c r="D139" s="24" t="s">
        <v>2249</v>
      </c>
      <c r="E139" s="24" t="s">
        <v>2252</v>
      </c>
      <c r="F139" s="24" t="s">
        <v>2183</v>
      </c>
      <c r="G139" s="24" t="s">
        <v>2229</v>
      </c>
    </row>
    <row r="140" spans="1:7" ht="12.75" customHeight="1">
      <c r="A140" s="24" t="s">
        <v>2253</v>
      </c>
      <c r="B140" s="24" t="s">
        <v>1596</v>
      </c>
      <c r="C140" s="24">
        <v>1891</v>
      </c>
      <c r="D140" s="24" t="s">
        <v>2254</v>
      </c>
      <c r="E140" s="24" t="s">
        <v>2255</v>
      </c>
      <c r="F140" s="24" t="s">
        <v>2183</v>
      </c>
      <c r="G140" s="24" t="s">
        <v>2229</v>
      </c>
    </row>
    <row r="141" spans="1:7" ht="12.75" customHeight="1">
      <c r="A141" s="24" t="s">
        <v>2256</v>
      </c>
      <c r="B141" s="24" t="s">
        <v>1531</v>
      </c>
      <c r="C141" s="24">
        <v>145</v>
      </c>
      <c r="D141" s="24" t="s">
        <v>2249</v>
      </c>
      <c r="E141" s="24" t="s">
        <v>2192</v>
      </c>
      <c r="F141" s="24" t="s">
        <v>2193</v>
      </c>
      <c r="G141" s="24" t="s">
        <v>2229</v>
      </c>
    </row>
    <row r="142" spans="1:7" ht="12.75" customHeight="1">
      <c r="A142" s="24" t="s">
        <v>2257</v>
      </c>
      <c r="B142" s="24" t="s">
        <v>1596</v>
      </c>
      <c r="C142" s="24">
        <v>80</v>
      </c>
      <c r="D142" s="24" t="s">
        <v>2258</v>
      </c>
      <c r="E142" s="24" t="s">
        <v>2259</v>
      </c>
      <c r="F142" s="24" t="s">
        <v>2193</v>
      </c>
      <c r="G142" s="24" t="s">
        <v>2229</v>
      </c>
    </row>
    <row r="143" spans="1:7" ht="12.75" customHeight="1">
      <c r="A143" s="24" t="s">
        <v>2260</v>
      </c>
      <c r="B143" s="24" t="s">
        <v>1585</v>
      </c>
      <c r="C143" s="24">
        <v>56864</v>
      </c>
      <c r="D143" s="24" t="s">
        <v>2261</v>
      </c>
      <c r="E143" s="24" t="s">
        <v>2262</v>
      </c>
      <c r="F143" s="24" t="s">
        <v>2157</v>
      </c>
      <c r="G143" s="24" t="s">
        <v>2229</v>
      </c>
    </row>
    <row r="144" spans="1:7" ht="12.75" customHeight="1">
      <c r="A144" s="24" t="s">
        <v>2263</v>
      </c>
      <c r="B144" s="24" t="s">
        <v>1531</v>
      </c>
      <c r="C144" s="24">
        <v>27833</v>
      </c>
      <c r="D144" s="24" t="s">
        <v>2264</v>
      </c>
      <c r="E144" s="24" t="s">
        <v>2265</v>
      </c>
      <c r="F144" s="24" t="s">
        <v>2203</v>
      </c>
      <c r="G144" s="24" t="s">
        <v>2229</v>
      </c>
    </row>
    <row r="145" spans="1:7" ht="12.75" customHeight="1">
      <c r="A145" s="24" t="s">
        <v>2266</v>
      </c>
      <c r="B145" s="24" t="s">
        <v>1592</v>
      </c>
      <c r="C145" s="24">
        <v>63789</v>
      </c>
      <c r="D145" s="24" t="s">
        <v>2267</v>
      </c>
      <c r="E145" s="24" t="s">
        <v>2268</v>
      </c>
      <c r="F145" s="24" t="s">
        <v>2203</v>
      </c>
      <c r="G145" s="24" t="s">
        <v>2229</v>
      </c>
    </row>
    <row r="146" spans="1:7" ht="12.75" customHeight="1">
      <c r="A146" s="24" t="s">
        <v>2269</v>
      </c>
      <c r="B146" s="24" t="s">
        <v>1596</v>
      </c>
      <c r="C146" s="24">
        <v>32953</v>
      </c>
      <c r="D146" s="24" t="s">
        <v>2270</v>
      </c>
      <c r="E146" s="24" t="s">
        <v>2271</v>
      </c>
      <c r="F146" s="24" t="s">
        <v>2203</v>
      </c>
      <c r="G146" s="24" t="s">
        <v>2229</v>
      </c>
    </row>
    <row r="147" spans="1:7" ht="12.75" customHeight="1">
      <c r="A147" s="24" t="s">
        <v>2272</v>
      </c>
      <c r="B147" s="24" t="s">
        <v>1531</v>
      </c>
      <c r="C147" s="24">
        <v>18</v>
      </c>
      <c r="D147" s="24" t="s">
        <v>2273</v>
      </c>
      <c r="E147" s="24" t="s">
        <v>2274</v>
      </c>
      <c r="F147" s="24" t="s">
        <v>2212</v>
      </c>
      <c r="G147" s="24" t="s">
        <v>2229</v>
      </c>
    </row>
    <row r="148" spans="1:7" ht="12.75" customHeight="1">
      <c r="A148" s="24" t="s">
        <v>2275</v>
      </c>
      <c r="B148" s="24" t="s">
        <v>1592</v>
      </c>
      <c r="C148" s="24">
        <v>1114</v>
      </c>
      <c r="D148" s="24" t="s">
        <v>2276</v>
      </c>
      <c r="E148" s="24" t="s">
        <v>2277</v>
      </c>
      <c r="F148" s="24" t="s">
        <v>2212</v>
      </c>
      <c r="G148" s="24" t="s">
        <v>2229</v>
      </c>
    </row>
    <row r="149" spans="1:7" ht="12.75" customHeight="1">
      <c r="A149" s="24" t="s">
        <v>2278</v>
      </c>
      <c r="B149" s="24" t="s">
        <v>1531</v>
      </c>
      <c r="C149" s="24">
        <v>1258</v>
      </c>
      <c r="D149" s="24" t="s">
        <v>2279</v>
      </c>
      <c r="E149" s="24" t="s">
        <v>2280</v>
      </c>
      <c r="F149" s="24" t="s">
        <v>2219</v>
      </c>
      <c r="G149" s="24" t="s">
        <v>2229</v>
      </c>
    </row>
    <row r="150" spans="1:7" ht="12.75" customHeight="1">
      <c r="A150" s="24" t="s">
        <v>1897</v>
      </c>
      <c r="B150" s="24" t="s">
        <v>1592</v>
      </c>
      <c r="C150" s="24">
        <v>1114</v>
      </c>
      <c r="D150" s="24" t="s">
        <v>2281</v>
      </c>
      <c r="E150" s="24" t="s">
        <v>2277</v>
      </c>
      <c r="F150" s="24" t="s">
        <v>2219</v>
      </c>
      <c r="G150" s="24" t="s">
        <v>2229</v>
      </c>
    </row>
    <row r="151" spans="1:7" ht="12.75" customHeight="1">
      <c r="A151" s="24" t="s">
        <v>2282</v>
      </c>
      <c r="B151" s="24" t="s">
        <v>1596</v>
      </c>
      <c r="C151" s="24">
        <v>30</v>
      </c>
      <c r="D151" s="24" t="s">
        <v>2283</v>
      </c>
      <c r="E151" s="24" t="s">
        <v>2284</v>
      </c>
      <c r="F151" s="24" t="s">
        <v>2162</v>
      </c>
      <c r="G151" s="24" t="s">
        <v>2285</v>
      </c>
    </row>
    <row r="152" spans="1:7" ht="12.75" customHeight="1">
      <c r="A152" s="24" t="s">
        <v>2286</v>
      </c>
      <c r="B152" s="24" t="s">
        <v>1596</v>
      </c>
      <c r="C152" s="24">
        <v>30</v>
      </c>
      <c r="D152" s="24" t="s">
        <v>2287</v>
      </c>
      <c r="E152" s="24" t="s">
        <v>2288</v>
      </c>
      <c r="F152" s="24" t="s">
        <v>2162</v>
      </c>
      <c r="G152" s="24" t="s">
        <v>2285</v>
      </c>
    </row>
    <row r="153" spans="1:7" ht="12.75" customHeight="1">
      <c r="A153" s="24" t="s">
        <v>2289</v>
      </c>
      <c r="B153" s="24" t="s">
        <v>1596</v>
      </c>
      <c r="C153" s="24">
        <v>30</v>
      </c>
      <c r="D153" s="24" t="s">
        <v>2290</v>
      </c>
      <c r="E153" s="24" t="s">
        <v>2291</v>
      </c>
      <c r="F153" s="24" t="s">
        <v>2173</v>
      </c>
      <c r="G153" s="24" t="s">
        <v>2285</v>
      </c>
    </row>
    <row r="154" spans="1:7" ht="12.75" customHeight="1">
      <c r="A154" s="24" t="s">
        <v>2292</v>
      </c>
      <c r="B154" s="24" t="s">
        <v>1596</v>
      </c>
      <c r="C154" s="24">
        <v>30</v>
      </c>
      <c r="D154" s="24" t="s">
        <v>2293</v>
      </c>
      <c r="E154" s="24" t="s">
        <v>2294</v>
      </c>
      <c r="F154" s="24" t="s">
        <v>2173</v>
      </c>
      <c r="G154" s="24" t="s">
        <v>2285</v>
      </c>
    </row>
    <row r="155" spans="1:7" ht="12.75" customHeight="1">
      <c r="A155" s="24" t="s">
        <v>2295</v>
      </c>
      <c r="B155" s="24" t="s">
        <v>1585</v>
      </c>
      <c r="C155" s="24">
        <v>2010</v>
      </c>
      <c r="D155" s="24" t="s">
        <v>2296</v>
      </c>
      <c r="E155" s="24" t="s">
        <v>2297</v>
      </c>
      <c r="F155" s="24" t="s">
        <v>2157</v>
      </c>
      <c r="G155" s="24" t="s">
        <v>2285</v>
      </c>
    </row>
    <row r="156" spans="1:7" ht="12.75" customHeight="1">
      <c r="A156" s="24" t="s">
        <v>2298</v>
      </c>
      <c r="B156" s="24" t="s">
        <v>1531</v>
      </c>
      <c r="C156" s="24">
        <v>2991</v>
      </c>
      <c r="D156" s="24" t="s">
        <v>2299</v>
      </c>
      <c r="E156" s="24" t="s">
        <v>2300</v>
      </c>
      <c r="F156" s="24" t="s">
        <v>2183</v>
      </c>
      <c r="G156" s="24" t="s">
        <v>2285</v>
      </c>
    </row>
    <row r="157" spans="1:7" ht="12.75" customHeight="1">
      <c r="A157" s="24" t="s">
        <v>2301</v>
      </c>
      <c r="B157" s="24" t="s">
        <v>1592</v>
      </c>
      <c r="C157" s="24">
        <v>9369</v>
      </c>
      <c r="D157" s="24" t="s">
        <v>2302</v>
      </c>
      <c r="E157" s="24" t="s">
        <v>2303</v>
      </c>
      <c r="F157" s="24" t="s">
        <v>2183</v>
      </c>
      <c r="G157" s="24" t="s">
        <v>2285</v>
      </c>
    </row>
    <row r="158" spans="1:7" ht="12.75" customHeight="1">
      <c r="A158" s="24" t="s">
        <v>2304</v>
      </c>
      <c r="B158" s="24" t="s">
        <v>1596</v>
      </c>
      <c r="C158" s="24">
        <v>1891</v>
      </c>
      <c r="D158" s="24" t="s">
        <v>2302</v>
      </c>
      <c r="E158" s="24" t="s">
        <v>2305</v>
      </c>
      <c r="F158" s="24" t="s">
        <v>2183</v>
      </c>
      <c r="G158" s="24" t="s">
        <v>2285</v>
      </c>
    </row>
    <row r="159" spans="1:7" ht="12.75" customHeight="1">
      <c r="A159" s="24" t="s">
        <v>2306</v>
      </c>
      <c r="B159" s="24" t="s">
        <v>1531</v>
      </c>
      <c r="C159" s="24">
        <v>145</v>
      </c>
      <c r="D159" s="24" t="s">
        <v>2307</v>
      </c>
      <c r="E159" s="24" t="s">
        <v>2192</v>
      </c>
      <c r="F159" s="24" t="s">
        <v>2193</v>
      </c>
      <c r="G159" s="24" t="s">
        <v>2285</v>
      </c>
    </row>
    <row r="160" spans="1:7" ht="12.75" customHeight="1">
      <c r="A160" s="24" t="s">
        <v>2308</v>
      </c>
      <c r="B160" s="24" t="s">
        <v>1596</v>
      </c>
      <c r="C160" s="24">
        <v>80</v>
      </c>
      <c r="D160" s="24" t="s">
        <v>2302</v>
      </c>
      <c r="E160" s="24" t="s">
        <v>2309</v>
      </c>
      <c r="F160" s="24" t="s">
        <v>2193</v>
      </c>
      <c r="G160" s="24" t="s">
        <v>2285</v>
      </c>
    </row>
    <row r="161" spans="1:7" ht="12.75" customHeight="1">
      <c r="A161" s="24" t="s">
        <v>2310</v>
      </c>
      <c r="B161" s="24" t="s">
        <v>1585</v>
      </c>
      <c r="C161" s="24">
        <v>56742</v>
      </c>
      <c r="D161" s="24" t="s">
        <v>2311</v>
      </c>
      <c r="E161" s="24" t="s">
        <v>2312</v>
      </c>
      <c r="F161" s="24" t="s">
        <v>2157</v>
      </c>
      <c r="G161" s="24" t="s">
        <v>2285</v>
      </c>
    </row>
    <row r="162" spans="1:7" ht="12.75" customHeight="1">
      <c r="A162" s="24" t="s">
        <v>2313</v>
      </c>
      <c r="B162" s="24" t="s">
        <v>1531</v>
      </c>
      <c r="C162" s="24">
        <v>27716</v>
      </c>
      <c r="D162" s="24" t="s">
        <v>2314</v>
      </c>
      <c r="E162" s="24" t="s">
        <v>2315</v>
      </c>
      <c r="F162" s="24" t="s">
        <v>2203</v>
      </c>
      <c r="G162" s="24" t="s">
        <v>2285</v>
      </c>
    </row>
    <row r="163" spans="1:7" ht="12.75" customHeight="1">
      <c r="A163" s="24" t="s">
        <v>2316</v>
      </c>
      <c r="B163" s="24" t="s">
        <v>1592</v>
      </c>
      <c r="C163" s="24">
        <v>63672</v>
      </c>
      <c r="D163" s="24" t="s">
        <v>2317</v>
      </c>
      <c r="E163" s="24" t="s">
        <v>2318</v>
      </c>
      <c r="F163" s="24" t="s">
        <v>2203</v>
      </c>
      <c r="G163" s="24" t="s">
        <v>2285</v>
      </c>
    </row>
    <row r="164" spans="1:7" ht="12.75" customHeight="1">
      <c r="A164" s="24" t="s">
        <v>2319</v>
      </c>
      <c r="B164" s="24" t="s">
        <v>1596</v>
      </c>
      <c r="C164" s="24">
        <v>32836</v>
      </c>
      <c r="D164" s="24" t="s">
        <v>2314</v>
      </c>
      <c r="E164" s="24" t="s">
        <v>2320</v>
      </c>
      <c r="F164" s="24" t="s">
        <v>2203</v>
      </c>
      <c r="G164" s="24" t="s">
        <v>2285</v>
      </c>
    </row>
    <row r="165" spans="1:7" ht="12.75" customHeight="1">
      <c r="A165" s="24" t="s">
        <v>2321</v>
      </c>
      <c r="B165" s="24" t="s">
        <v>1531</v>
      </c>
      <c r="C165" s="24">
        <v>175331</v>
      </c>
      <c r="D165" s="24" t="s">
        <v>2322</v>
      </c>
      <c r="E165" s="24" t="s">
        <v>2323</v>
      </c>
      <c r="F165" s="24" t="s">
        <v>2212</v>
      </c>
      <c r="G165" s="24" t="s">
        <v>2285</v>
      </c>
    </row>
    <row r="166" spans="1:7" ht="12.75" customHeight="1">
      <c r="A166" s="24" t="s">
        <v>2324</v>
      </c>
      <c r="B166" s="24" t="s">
        <v>1592</v>
      </c>
      <c r="C166" s="24">
        <v>161909</v>
      </c>
      <c r="D166" s="24" t="s">
        <v>2325</v>
      </c>
      <c r="E166" s="24" t="s">
        <v>2326</v>
      </c>
      <c r="F166" s="24" t="s">
        <v>2212</v>
      </c>
      <c r="G166" s="24" t="s">
        <v>2285</v>
      </c>
    </row>
    <row r="167" spans="1:7" ht="12.75" customHeight="1">
      <c r="A167" s="24" t="s">
        <v>2327</v>
      </c>
      <c r="B167" s="24" t="s">
        <v>1531</v>
      </c>
      <c r="C167" s="24">
        <v>138172</v>
      </c>
      <c r="D167" s="24" t="s">
        <v>2328</v>
      </c>
      <c r="E167" s="24" t="s">
        <v>2329</v>
      </c>
      <c r="F167" s="24" t="s">
        <v>2219</v>
      </c>
      <c r="G167" s="24" t="s">
        <v>2285</v>
      </c>
    </row>
    <row r="168" spans="1:7" ht="12.75" customHeight="1">
      <c r="A168" s="24" t="s">
        <v>1900</v>
      </c>
      <c r="B168" s="24" t="s">
        <v>1592</v>
      </c>
      <c r="C168" s="24">
        <v>127567</v>
      </c>
      <c r="D168" s="24" t="s">
        <v>2330</v>
      </c>
      <c r="E168" s="24" t="s">
        <v>2331</v>
      </c>
      <c r="F168" s="24" t="s">
        <v>2219</v>
      </c>
      <c r="G168" s="24" t="s">
        <v>2285</v>
      </c>
    </row>
    <row r="169" spans="1:7" ht="12.75" customHeight="1">
      <c r="A169" s="24" t="s">
        <v>2332</v>
      </c>
      <c r="B169" s="24" t="s">
        <v>1596</v>
      </c>
      <c r="C169" s="24">
        <v>30</v>
      </c>
      <c r="D169" s="24" t="s">
        <v>2333</v>
      </c>
      <c r="E169" s="24" t="s">
        <v>2334</v>
      </c>
      <c r="F169" s="24" t="s">
        <v>2162</v>
      </c>
      <c r="G169" s="24" t="s">
        <v>2126</v>
      </c>
    </row>
    <row r="170" spans="1:7" ht="12.75" customHeight="1">
      <c r="A170" s="24" t="s">
        <v>2335</v>
      </c>
      <c r="B170" s="24" t="s">
        <v>1596</v>
      </c>
      <c r="C170" s="24">
        <v>30</v>
      </c>
      <c r="D170" s="24" t="s">
        <v>2336</v>
      </c>
      <c r="E170" s="24" t="s">
        <v>2337</v>
      </c>
      <c r="F170" s="24" t="s">
        <v>2162</v>
      </c>
      <c r="G170" s="24" t="s">
        <v>2126</v>
      </c>
    </row>
    <row r="171" spans="1:7" ht="12.75" customHeight="1">
      <c r="A171" s="24" t="s">
        <v>2338</v>
      </c>
      <c r="B171" s="24" t="s">
        <v>1596</v>
      </c>
      <c r="C171" s="24">
        <v>30</v>
      </c>
      <c r="D171" s="24" t="s">
        <v>2339</v>
      </c>
      <c r="E171" s="24" t="s">
        <v>2340</v>
      </c>
      <c r="F171" s="24" t="s">
        <v>2173</v>
      </c>
      <c r="G171" s="24" t="s">
        <v>2126</v>
      </c>
    </row>
    <row r="172" spans="1:7" ht="12.75" customHeight="1">
      <c r="A172" s="24" t="s">
        <v>2341</v>
      </c>
      <c r="B172" s="24" t="s">
        <v>1596</v>
      </c>
      <c r="C172" s="24">
        <v>30</v>
      </c>
      <c r="D172" s="24" t="s">
        <v>2342</v>
      </c>
      <c r="E172" s="24" t="s">
        <v>2343</v>
      </c>
      <c r="F172" s="24" t="s">
        <v>2173</v>
      </c>
      <c r="G172" s="24" t="s">
        <v>2126</v>
      </c>
    </row>
    <row r="173" spans="1:7" ht="12.75" customHeight="1">
      <c r="A173" s="24" t="s">
        <v>2344</v>
      </c>
      <c r="B173" s="24" t="s">
        <v>1585</v>
      </c>
      <c r="C173" s="24">
        <v>2010</v>
      </c>
      <c r="D173" s="24" t="s">
        <v>2345</v>
      </c>
      <c r="E173" s="24" t="s">
        <v>2346</v>
      </c>
      <c r="F173" s="24" t="s">
        <v>2157</v>
      </c>
      <c r="G173" s="24" t="s">
        <v>2126</v>
      </c>
    </row>
    <row r="174" spans="1:7" ht="12.75" customHeight="1">
      <c r="A174" s="24" t="s">
        <v>2347</v>
      </c>
      <c r="B174" s="24" t="s">
        <v>1531</v>
      </c>
      <c r="C174" s="24">
        <v>2991</v>
      </c>
      <c r="D174" s="24" t="s">
        <v>2348</v>
      </c>
      <c r="E174" s="24" t="s">
        <v>2349</v>
      </c>
      <c r="F174" s="24" t="s">
        <v>2183</v>
      </c>
      <c r="G174" s="24" t="s">
        <v>2126</v>
      </c>
    </row>
    <row r="175" spans="1:7" ht="12.75" customHeight="1">
      <c r="A175" s="24" t="s">
        <v>2350</v>
      </c>
      <c r="B175" s="24" t="s">
        <v>1592</v>
      </c>
      <c r="C175" s="24">
        <v>9369</v>
      </c>
      <c r="D175" s="24" t="s">
        <v>2348</v>
      </c>
      <c r="E175" s="24" t="s">
        <v>2351</v>
      </c>
      <c r="F175" s="24" t="s">
        <v>2183</v>
      </c>
      <c r="G175" s="24" t="s">
        <v>2126</v>
      </c>
    </row>
    <row r="176" spans="1:7" ht="12.75" customHeight="1">
      <c r="A176" s="24" t="s">
        <v>2352</v>
      </c>
      <c r="B176" s="24" t="s">
        <v>1596</v>
      </c>
      <c r="C176" s="24">
        <v>1891</v>
      </c>
      <c r="D176" s="24" t="s">
        <v>2348</v>
      </c>
      <c r="E176" s="24" t="s">
        <v>2353</v>
      </c>
      <c r="F176" s="24" t="s">
        <v>2183</v>
      </c>
      <c r="G176" s="24" t="s">
        <v>2126</v>
      </c>
    </row>
    <row r="177" spans="1:7" ht="12.75" customHeight="1">
      <c r="A177" s="24" t="s">
        <v>2354</v>
      </c>
      <c r="B177" s="24" t="s">
        <v>1531</v>
      </c>
      <c r="C177" s="24">
        <v>145</v>
      </c>
      <c r="D177" s="24" t="s">
        <v>2348</v>
      </c>
      <c r="E177" s="24" t="s">
        <v>2192</v>
      </c>
      <c r="F177" s="24" t="s">
        <v>2193</v>
      </c>
      <c r="G177" s="24" t="s">
        <v>2126</v>
      </c>
    </row>
    <row r="178" spans="1:7" ht="12.75" customHeight="1">
      <c r="A178" s="24" t="s">
        <v>2355</v>
      </c>
      <c r="B178" s="24" t="s">
        <v>1596</v>
      </c>
      <c r="C178" s="24">
        <v>80</v>
      </c>
      <c r="D178" s="24" t="s">
        <v>2348</v>
      </c>
      <c r="E178" s="24" t="s">
        <v>2356</v>
      </c>
      <c r="F178" s="24" t="s">
        <v>2193</v>
      </c>
      <c r="G178" s="24" t="s">
        <v>2126</v>
      </c>
    </row>
    <row r="179" spans="1:7" ht="12.75" customHeight="1">
      <c r="A179" s="24" t="s">
        <v>2357</v>
      </c>
      <c r="B179" s="24" t="s">
        <v>1585</v>
      </c>
      <c r="C179" s="24">
        <v>56620</v>
      </c>
      <c r="D179" s="24" t="s">
        <v>2358</v>
      </c>
      <c r="E179" s="24" t="s">
        <v>2359</v>
      </c>
      <c r="F179" s="24" t="s">
        <v>2157</v>
      </c>
      <c r="G179" s="24" t="s">
        <v>2126</v>
      </c>
    </row>
    <row r="180" spans="1:7" ht="12.75" customHeight="1">
      <c r="A180" s="24" t="s">
        <v>2360</v>
      </c>
      <c r="B180" s="24" t="s">
        <v>1531</v>
      </c>
      <c r="C180" s="24">
        <v>27593</v>
      </c>
      <c r="D180" s="24" t="s">
        <v>2361</v>
      </c>
      <c r="E180" s="25" t="s">
        <v>2362</v>
      </c>
      <c r="F180" s="24" t="s">
        <v>2203</v>
      </c>
      <c r="G180" s="24" t="s">
        <v>2126</v>
      </c>
    </row>
    <row r="181" spans="1:7" ht="12.75" customHeight="1">
      <c r="A181" s="24" t="s">
        <v>2363</v>
      </c>
      <c r="B181" s="24" t="s">
        <v>1592</v>
      </c>
      <c r="C181" s="24">
        <v>63549</v>
      </c>
      <c r="D181" s="24" t="s">
        <v>2364</v>
      </c>
      <c r="E181" s="24" t="s">
        <v>2365</v>
      </c>
      <c r="F181" s="24" t="s">
        <v>2203</v>
      </c>
      <c r="G181" s="24" t="s">
        <v>2126</v>
      </c>
    </row>
    <row r="182" spans="1:7" ht="12.75" customHeight="1">
      <c r="A182" s="24" t="s">
        <v>2366</v>
      </c>
      <c r="B182" s="24" t="s">
        <v>1596</v>
      </c>
      <c r="C182" s="24">
        <v>32713</v>
      </c>
      <c r="D182" s="24" t="s">
        <v>2361</v>
      </c>
      <c r="E182" s="24" t="s">
        <v>2367</v>
      </c>
      <c r="F182" s="24" t="s">
        <v>2203</v>
      </c>
      <c r="G182" s="24" t="s">
        <v>2126</v>
      </c>
    </row>
    <row r="183" spans="1:7" ht="12.75" customHeight="1">
      <c r="A183" s="24" t="s">
        <v>2368</v>
      </c>
      <c r="B183" s="24" t="s">
        <v>1531</v>
      </c>
      <c r="C183" s="24">
        <v>3658383</v>
      </c>
      <c r="D183" s="24" t="s">
        <v>2369</v>
      </c>
      <c r="E183" s="24" t="s">
        <v>2370</v>
      </c>
      <c r="F183" s="24" t="s">
        <v>2212</v>
      </c>
      <c r="G183" s="24" t="s">
        <v>2126</v>
      </c>
    </row>
    <row r="184" spans="1:7" ht="12.75" customHeight="1">
      <c r="A184" s="24" t="s">
        <v>2371</v>
      </c>
      <c r="B184" s="24" t="s">
        <v>1592</v>
      </c>
      <c r="C184" s="24">
        <v>3625078</v>
      </c>
      <c r="D184" s="24" t="s">
        <v>2372</v>
      </c>
      <c r="E184" s="24" t="s">
        <v>2373</v>
      </c>
      <c r="F184" s="24" t="s">
        <v>2212</v>
      </c>
      <c r="G184" s="24" t="s">
        <v>2126</v>
      </c>
    </row>
    <row r="185" spans="1:7" ht="12.75" customHeight="1">
      <c r="A185" s="24" t="s">
        <v>2374</v>
      </c>
      <c r="B185" s="24" t="s">
        <v>1531</v>
      </c>
      <c r="C185" s="24">
        <v>832227</v>
      </c>
      <c r="D185" s="24" t="s">
        <v>2375</v>
      </c>
      <c r="E185" s="24" t="s">
        <v>2376</v>
      </c>
      <c r="F185" s="24" t="s">
        <v>2219</v>
      </c>
      <c r="G185" s="24" t="s">
        <v>2126</v>
      </c>
    </row>
    <row r="186" spans="1:7" ht="12.75" customHeight="1">
      <c r="A186" s="24" t="s">
        <v>1911</v>
      </c>
      <c r="B186" s="24" t="s">
        <v>1592</v>
      </c>
      <c r="C186" s="24">
        <v>799285</v>
      </c>
      <c r="D186" s="24" t="s">
        <v>2377</v>
      </c>
      <c r="E186" s="24" t="s">
        <v>2378</v>
      </c>
      <c r="F186" s="24" t="s">
        <v>2219</v>
      </c>
      <c r="G186" s="24" t="s">
        <v>2126</v>
      </c>
    </row>
    <row r="187" spans="1:7" ht="12.75" customHeight="1">
      <c r="A187" s="24" t="s">
        <v>2379</v>
      </c>
      <c r="B187" s="24" t="s">
        <v>1596</v>
      </c>
      <c r="C187" s="24">
        <v>30</v>
      </c>
      <c r="D187" s="24" t="s">
        <v>2380</v>
      </c>
      <c r="E187" s="24" t="s">
        <v>2381</v>
      </c>
      <c r="F187" s="24" t="s">
        <v>2162</v>
      </c>
      <c r="G187" s="24" t="s">
        <v>2133</v>
      </c>
    </row>
    <row r="188" spans="1:7" ht="12.75" customHeight="1">
      <c r="A188" s="24" t="s">
        <v>2382</v>
      </c>
      <c r="B188" s="24" t="s">
        <v>1596</v>
      </c>
      <c r="C188" s="24">
        <v>30</v>
      </c>
      <c r="D188" s="24" t="s">
        <v>2383</v>
      </c>
      <c r="E188" s="24" t="s">
        <v>2384</v>
      </c>
      <c r="F188" s="24" t="s">
        <v>2162</v>
      </c>
      <c r="G188" s="24" t="s">
        <v>2133</v>
      </c>
    </row>
    <row r="189" spans="1:7" ht="12.75" customHeight="1">
      <c r="A189" s="24" t="s">
        <v>2385</v>
      </c>
      <c r="B189" s="24" t="s">
        <v>1596</v>
      </c>
      <c r="C189" s="24">
        <v>30</v>
      </c>
      <c r="D189" s="24" t="s">
        <v>2386</v>
      </c>
      <c r="E189" s="24" t="s">
        <v>2387</v>
      </c>
      <c r="F189" s="24" t="s">
        <v>2173</v>
      </c>
      <c r="G189" s="24" t="s">
        <v>2133</v>
      </c>
    </row>
    <row r="190" spans="1:7" ht="12.75" customHeight="1">
      <c r="A190" s="24" t="s">
        <v>2388</v>
      </c>
      <c r="B190" s="24" t="s">
        <v>1596</v>
      </c>
      <c r="C190" s="24">
        <v>30</v>
      </c>
      <c r="D190" s="24" t="s">
        <v>2389</v>
      </c>
      <c r="E190" s="24" t="s">
        <v>2390</v>
      </c>
      <c r="F190" s="24" t="s">
        <v>2173</v>
      </c>
      <c r="G190" s="24" t="s">
        <v>2133</v>
      </c>
    </row>
    <row r="191" spans="1:7" ht="12.75" customHeight="1">
      <c r="A191" s="24" t="s">
        <v>2391</v>
      </c>
      <c r="B191" s="24" t="s">
        <v>1585</v>
      </c>
      <c r="C191" s="24">
        <v>2011</v>
      </c>
      <c r="D191" s="24" t="s">
        <v>2392</v>
      </c>
      <c r="E191" s="24" t="s">
        <v>2393</v>
      </c>
      <c r="F191" s="24" t="s">
        <v>2157</v>
      </c>
      <c r="G191" s="24" t="s">
        <v>2133</v>
      </c>
    </row>
    <row r="192" spans="1:7" ht="12.75" customHeight="1">
      <c r="A192" s="24" t="s">
        <v>2394</v>
      </c>
      <c r="B192" s="24" t="s">
        <v>1531</v>
      </c>
      <c r="C192" s="24">
        <v>2992</v>
      </c>
      <c r="D192" s="24" t="s">
        <v>2395</v>
      </c>
      <c r="E192" s="24" t="s">
        <v>2396</v>
      </c>
      <c r="F192" s="24" t="s">
        <v>2183</v>
      </c>
      <c r="G192" s="24" t="s">
        <v>2133</v>
      </c>
    </row>
    <row r="193" spans="1:7" ht="12.75" customHeight="1">
      <c r="A193" s="24" t="s">
        <v>2397</v>
      </c>
      <c r="B193" s="24" t="s">
        <v>1592</v>
      </c>
      <c r="C193" s="24">
        <v>9370</v>
      </c>
      <c r="D193" s="24" t="s">
        <v>2398</v>
      </c>
      <c r="E193" s="24" t="s">
        <v>2399</v>
      </c>
      <c r="F193" s="24" t="s">
        <v>2183</v>
      </c>
      <c r="G193" s="24" t="s">
        <v>2133</v>
      </c>
    </row>
    <row r="194" spans="1:7" ht="12.75" customHeight="1">
      <c r="A194" s="24" t="s">
        <v>2400</v>
      </c>
      <c r="B194" s="24" t="s">
        <v>1596</v>
      </c>
      <c r="C194" s="24">
        <v>1891</v>
      </c>
      <c r="D194" s="24" t="s">
        <v>2398</v>
      </c>
      <c r="E194" s="24" t="s">
        <v>2401</v>
      </c>
      <c r="F194" s="24" t="s">
        <v>2183</v>
      </c>
      <c r="G194" s="24" t="s">
        <v>2133</v>
      </c>
    </row>
    <row r="195" spans="1:7" ht="12.75" customHeight="1">
      <c r="A195" s="24" t="s">
        <v>2402</v>
      </c>
      <c r="B195" s="24" t="s">
        <v>1531</v>
      </c>
      <c r="C195" s="24">
        <v>145</v>
      </c>
      <c r="D195" s="24" t="s">
        <v>2395</v>
      </c>
      <c r="E195" s="24" t="s">
        <v>2192</v>
      </c>
      <c r="F195" s="24" t="s">
        <v>2193</v>
      </c>
      <c r="G195" s="24" t="s">
        <v>2133</v>
      </c>
    </row>
    <row r="196" spans="1:7" ht="12.75" customHeight="1">
      <c r="A196" s="24" t="s">
        <v>2403</v>
      </c>
      <c r="B196" s="24" t="s">
        <v>1596</v>
      </c>
      <c r="C196" s="24">
        <v>80</v>
      </c>
      <c r="D196" s="24" t="s">
        <v>2398</v>
      </c>
      <c r="E196" s="24" t="s">
        <v>2404</v>
      </c>
      <c r="F196" s="24" t="s">
        <v>2193</v>
      </c>
      <c r="G196" s="24" t="s">
        <v>2133</v>
      </c>
    </row>
    <row r="197" spans="1:7" ht="12.75" customHeight="1">
      <c r="A197" s="24" t="s">
        <v>2405</v>
      </c>
      <c r="B197" s="24" t="s">
        <v>1531</v>
      </c>
      <c r="C197" s="24">
        <v>0</v>
      </c>
      <c r="D197" s="24" t="s">
        <v>2406</v>
      </c>
      <c r="E197" s="24" t="s">
        <v>2407</v>
      </c>
      <c r="F197" s="24" t="s">
        <v>2212</v>
      </c>
      <c r="G197" s="24" t="s">
        <v>2133</v>
      </c>
    </row>
    <row r="198" spans="1:7" ht="12.75" customHeight="1">
      <c r="A198" s="24" t="s">
        <v>2408</v>
      </c>
      <c r="B198" s="24" t="s">
        <v>1592</v>
      </c>
      <c r="C198" s="24">
        <v>0</v>
      </c>
      <c r="D198" s="24" t="s">
        <v>2409</v>
      </c>
      <c r="E198" s="24" t="s">
        <v>2407</v>
      </c>
      <c r="F198" s="24" t="s">
        <v>2212</v>
      </c>
      <c r="G198" s="24" t="s">
        <v>2133</v>
      </c>
    </row>
    <row r="199" spans="1:7" ht="12.75" customHeight="1">
      <c r="A199" s="24" t="s">
        <v>2410</v>
      </c>
      <c r="B199" s="24" t="s">
        <v>1531</v>
      </c>
      <c r="C199" s="24">
        <v>0</v>
      </c>
      <c r="D199" s="24" t="s">
        <v>2411</v>
      </c>
      <c r="E199" s="24" t="s">
        <v>2407</v>
      </c>
      <c r="F199" s="24" t="s">
        <v>2219</v>
      </c>
      <c r="G199" s="24" t="s">
        <v>2133</v>
      </c>
    </row>
    <row r="200" spans="1:7" ht="12.75" customHeight="1">
      <c r="A200" s="24" t="s">
        <v>2412</v>
      </c>
      <c r="B200" s="24" t="s">
        <v>1592</v>
      </c>
      <c r="C200" s="24">
        <v>0</v>
      </c>
      <c r="D200" s="24" t="s">
        <v>2413</v>
      </c>
      <c r="E200" s="24" t="s">
        <v>2407</v>
      </c>
      <c r="F200" s="24" t="s">
        <v>2219</v>
      </c>
      <c r="G200" s="24" t="s">
        <v>2133</v>
      </c>
    </row>
    <row r="201" spans="1:7" ht="12.75" customHeight="1">
      <c r="A201" s="24" t="s">
        <v>2414</v>
      </c>
      <c r="B201" s="24" t="s">
        <v>1596</v>
      </c>
      <c r="C201" s="24">
        <v>30</v>
      </c>
      <c r="D201" s="24" t="s">
        <v>2415</v>
      </c>
      <c r="E201" s="24" t="s">
        <v>2416</v>
      </c>
      <c r="F201" s="24" t="s">
        <v>2162</v>
      </c>
      <c r="G201" s="24" t="s">
        <v>2137</v>
      </c>
    </row>
    <row r="202" spans="1:7" ht="12.75" customHeight="1">
      <c r="A202" s="24" t="s">
        <v>2417</v>
      </c>
      <c r="B202" s="24" t="s">
        <v>1596</v>
      </c>
      <c r="C202" s="24">
        <v>30</v>
      </c>
      <c r="D202" s="24" t="s">
        <v>2418</v>
      </c>
      <c r="E202" s="24" t="s">
        <v>2419</v>
      </c>
      <c r="F202" s="24" t="s">
        <v>2162</v>
      </c>
      <c r="G202" s="24" t="s">
        <v>2137</v>
      </c>
    </row>
    <row r="203" spans="1:7" ht="12.75" customHeight="1">
      <c r="A203" s="24" t="s">
        <v>2420</v>
      </c>
      <c r="B203" s="24" t="s">
        <v>1592</v>
      </c>
      <c r="C203" s="24">
        <v>328865</v>
      </c>
      <c r="D203" s="24" t="s">
        <v>2421</v>
      </c>
      <c r="E203" s="24" t="s">
        <v>2422</v>
      </c>
      <c r="F203" s="24" t="s">
        <v>2212</v>
      </c>
      <c r="G203" s="24" t="s">
        <v>2137</v>
      </c>
    </row>
    <row r="204" spans="1:7" ht="12.75" customHeight="1">
      <c r="A204" s="24" t="s">
        <v>2423</v>
      </c>
      <c r="B204" s="24" t="s">
        <v>1531</v>
      </c>
      <c r="C204" s="24">
        <v>312837</v>
      </c>
      <c r="D204" s="24" t="s">
        <v>2424</v>
      </c>
      <c r="E204" s="24" t="s">
        <v>2425</v>
      </c>
      <c r="F204" s="24" t="s">
        <v>2212</v>
      </c>
      <c r="G204" s="24" t="s">
        <v>2137</v>
      </c>
    </row>
    <row r="205" spans="1:7" ht="12.75" customHeight="1">
      <c r="A205" s="24" t="s">
        <v>2426</v>
      </c>
      <c r="B205" s="24" t="s">
        <v>1531</v>
      </c>
      <c r="C205" s="24">
        <v>217976</v>
      </c>
      <c r="D205" s="24" t="s">
        <v>2427</v>
      </c>
      <c r="E205" s="24" t="s">
        <v>2428</v>
      </c>
      <c r="F205" s="24" t="s">
        <v>2219</v>
      </c>
      <c r="G205" s="24" t="s">
        <v>2137</v>
      </c>
    </row>
    <row r="206" spans="1:7" ht="12.75" customHeight="1">
      <c r="A206" s="24" t="s">
        <v>2429</v>
      </c>
      <c r="B206" s="24" t="s">
        <v>1592</v>
      </c>
      <c r="C206" s="24">
        <v>204323</v>
      </c>
      <c r="D206" s="24" t="s">
        <v>2430</v>
      </c>
      <c r="E206" s="24" t="s">
        <v>2431</v>
      </c>
      <c r="F206" s="24" t="s">
        <v>2219</v>
      </c>
      <c r="G206" s="24" t="s">
        <v>2137</v>
      </c>
    </row>
    <row r="207" spans="1:7" ht="12.75" customHeight="1">
      <c r="A207" s="24" t="s">
        <v>2432</v>
      </c>
      <c r="B207" s="24" t="s">
        <v>1596</v>
      </c>
      <c r="C207" s="24">
        <v>30</v>
      </c>
      <c r="D207" s="24" t="s">
        <v>2433</v>
      </c>
      <c r="E207" s="24" t="s">
        <v>2434</v>
      </c>
      <c r="F207" s="24" t="s">
        <v>2173</v>
      </c>
      <c r="G207" s="24" t="s">
        <v>2137</v>
      </c>
    </row>
    <row r="208" spans="1:7" ht="12.75" customHeight="1">
      <c r="A208" s="24" t="s">
        <v>2435</v>
      </c>
      <c r="B208" s="24" t="s">
        <v>1596</v>
      </c>
      <c r="C208" s="24">
        <v>30</v>
      </c>
      <c r="D208" s="24" t="s">
        <v>2436</v>
      </c>
      <c r="E208" s="24" t="s">
        <v>2437</v>
      </c>
      <c r="F208" s="24" t="s">
        <v>2173</v>
      </c>
      <c r="G208" s="24" t="s">
        <v>2137</v>
      </c>
    </row>
    <row r="209" spans="1:7" ht="12.75" customHeight="1">
      <c r="A209" s="24" t="s">
        <v>2438</v>
      </c>
      <c r="B209" s="24" t="s">
        <v>1585</v>
      </c>
      <c r="C209" s="24">
        <v>2013</v>
      </c>
      <c r="D209" s="24" t="s">
        <v>2439</v>
      </c>
      <c r="E209" s="24" t="s">
        <v>2440</v>
      </c>
      <c r="F209" s="24" t="s">
        <v>2157</v>
      </c>
      <c r="G209" s="24" t="s">
        <v>2137</v>
      </c>
    </row>
    <row r="210" spans="1:7" ht="12.75" customHeight="1">
      <c r="A210" s="24" t="s">
        <v>2441</v>
      </c>
      <c r="B210" s="24" t="s">
        <v>1531</v>
      </c>
      <c r="C210" s="24">
        <v>2994</v>
      </c>
      <c r="D210" s="24" t="s">
        <v>2442</v>
      </c>
      <c r="E210" s="24" t="s">
        <v>2443</v>
      </c>
      <c r="F210" s="24" t="s">
        <v>2183</v>
      </c>
      <c r="G210" s="24" t="s">
        <v>2137</v>
      </c>
    </row>
    <row r="211" spans="1:7" ht="12.75" customHeight="1">
      <c r="A211" s="24" t="s">
        <v>2444</v>
      </c>
      <c r="B211" s="24" t="s">
        <v>1592</v>
      </c>
      <c r="C211" s="24">
        <v>9372</v>
      </c>
      <c r="D211" s="24" t="s">
        <v>2445</v>
      </c>
      <c r="E211" s="24" t="s">
        <v>2446</v>
      </c>
      <c r="F211" s="24" t="s">
        <v>2183</v>
      </c>
      <c r="G211" s="24" t="s">
        <v>2137</v>
      </c>
    </row>
    <row r="212" spans="1:7" ht="12.75" customHeight="1">
      <c r="A212" s="24" t="s">
        <v>2447</v>
      </c>
      <c r="B212" s="24" t="s">
        <v>1596</v>
      </c>
      <c r="C212" s="24">
        <v>1891</v>
      </c>
      <c r="D212" s="24" t="s">
        <v>2448</v>
      </c>
      <c r="E212" s="24" t="s">
        <v>2449</v>
      </c>
      <c r="F212" s="24" t="s">
        <v>2183</v>
      </c>
      <c r="G212" s="24" t="s">
        <v>2137</v>
      </c>
    </row>
    <row r="213" spans="1:7" ht="12.75" customHeight="1">
      <c r="A213" s="24" t="s">
        <v>2450</v>
      </c>
      <c r="B213" s="24" t="s">
        <v>1531</v>
      </c>
      <c r="C213" s="24">
        <v>145</v>
      </c>
      <c r="D213" s="24" t="s">
        <v>2451</v>
      </c>
      <c r="E213" s="24" t="s">
        <v>2192</v>
      </c>
      <c r="F213" s="24" t="s">
        <v>2193</v>
      </c>
      <c r="G213" s="24" t="s">
        <v>2137</v>
      </c>
    </row>
    <row r="214" spans="1:7" ht="12.75" customHeight="1">
      <c r="A214" s="24" t="s">
        <v>2452</v>
      </c>
      <c r="B214" s="24" t="s">
        <v>1596</v>
      </c>
      <c r="C214" s="24">
        <v>80</v>
      </c>
      <c r="D214" s="24" t="s">
        <v>2448</v>
      </c>
      <c r="E214" s="24" t="s">
        <v>2453</v>
      </c>
      <c r="F214" s="24" t="s">
        <v>2193</v>
      </c>
      <c r="G214" s="24" t="s">
        <v>2137</v>
      </c>
    </row>
    <row r="215" spans="1:7" ht="12.75" customHeight="1">
      <c r="A215" s="24" t="s">
        <v>2454</v>
      </c>
      <c r="B215" s="24" t="s">
        <v>1585</v>
      </c>
      <c r="C215" s="24">
        <v>56620</v>
      </c>
      <c r="D215" s="24" t="s">
        <v>2455</v>
      </c>
      <c r="E215" s="24" t="s">
        <v>2456</v>
      </c>
      <c r="F215" s="24" t="s">
        <v>2157</v>
      </c>
      <c r="G215" s="24" t="s">
        <v>2137</v>
      </c>
    </row>
    <row r="216" spans="1:7" ht="12.75" customHeight="1">
      <c r="A216" s="24" t="s">
        <v>2457</v>
      </c>
      <c r="B216" s="24" t="s">
        <v>1531</v>
      </c>
      <c r="C216" s="24">
        <v>27592</v>
      </c>
      <c r="D216" s="24" t="s">
        <v>2458</v>
      </c>
      <c r="E216" s="24" t="s">
        <v>2459</v>
      </c>
      <c r="F216" s="24" t="s">
        <v>2203</v>
      </c>
      <c r="G216" s="24" t="s">
        <v>2137</v>
      </c>
    </row>
    <row r="217" spans="1:7" ht="12.75" customHeight="1">
      <c r="A217" s="24" t="s">
        <v>2460</v>
      </c>
      <c r="B217" s="24" t="s">
        <v>1592</v>
      </c>
      <c r="C217" s="24">
        <v>63548</v>
      </c>
      <c r="D217" s="24" t="s">
        <v>2461</v>
      </c>
      <c r="E217" s="24" t="s">
        <v>2462</v>
      </c>
      <c r="F217" s="24" t="s">
        <v>2203</v>
      </c>
      <c r="G217" s="24" t="s">
        <v>2137</v>
      </c>
    </row>
    <row r="218" spans="1:7" ht="12.75" customHeight="1">
      <c r="A218" s="37" t="s">
        <v>2463</v>
      </c>
      <c r="B218" s="24" t="s">
        <v>1596</v>
      </c>
      <c r="C218" s="40">
        <v>32712</v>
      </c>
      <c r="D218" s="24" t="s">
        <v>2464</v>
      </c>
      <c r="E218" s="24" t="s">
        <v>2465</v>
      </c>
      <c r="F218" s="24" t="s">
        <v>2203</v>
      </c>
      <c r="G218" s="24" t="s">
        <v>2137</v>
      </c>
    </row>
  </sheetData>
  <autoFilter ref="A4:G218" xr:uid="{6890E363-F851-42A1-A262-BAD0C7CC56FA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75AA-A697-4323-B4BB-43AE8DD959E6}">
  <dimension ref="A1:R80"/>
  <sheetViews>
    <sheetView showGridLines="0" topLeftCell="B30" zoomScale="130" zoomScaleNormal="130" workbookViewId="0">
      <selection activeCell="I73" sqref="I73:J73"/>
    </sheetView>
  </sheetViews>
  <sheetFormatPr baseColWidth="10" defaultRowHeight="12.75"/>
  <cols>
    <col min="1" max="1" width="24.625" style="19" customWidth="1"/>
    <col min="2" max="2" width="11.5" style="19" bestFit="1" customWidth="1"/>
    <col min="3" max="3" width="12.875" style="19" bestFit="1" customWidth="1"/>
    <col min="4" max="4" width="10.125" style="19" bestFit="1" customWidth="1"/>
    <col min="5" max="6" width="6.375" style="19" bestFit="1" customWidth="1"/>
    <col min="7" max="7" width="12.375" style="19" bestFit="1" customWidth="1"/>
    <col min="8" max="10" width="6.375" style="19" bestFit="1" customWidth="1"/>
    <col min="11" max="11" width="30.75" style="19" customWidth="1"/>
    <col min="12" max="12" width="11" style="19"/>
    <col min="13" max="13" width="24.625" style="19" customWidth="1"/>
    <col min="14" max="14" width="8.5" style="19" bestFit="1" customWidth="1"/>
    <col min="15" max="15" width="9.375" style="19" bestFit="1" customWidth="1"/>
    <col min="16" max="16" width="11.25" style="19" bestFit="1" customWidth="1"/>
    <col min="17" max="16384" width="11" style="19"/>
  </cols>
  <sheetData>
    <row r="1" spans="1:8" ht="19.5">
      <c r="A1" s="21" t="s">
        <v>1765</v>
      </c>
    </row>
    <row r="3" spans="1:8">
      <c r="A3" s="27" t="s">
        <v>981</v>
      </c>
      <c r="B3" s="27" t="s">
        <v>989</v>
      </c>
      <c r="C3" s="27" t="s">
        <v>990</v>
      </c>
      <c r="D3" s="27" t="s">
        <v>991</v>
      </c>
      <c r="G3" s="27" t="s">
        <v>1064</v>
      </c>
      <c r="H3" s="27" t="s">
        <v>1397</v>
      </c>
    </row>
    <row r="4" spans="1:8">
      <c r="A4" s="26" t="s">
        <v>62</v>
      </c>
      <c r="B4" s="26">
        <v>4</v>
      </c>
      <c r="C4" s="26">
        <v>3</v>
      </c>
      <c r="D4" s="26">
        <v>0</v>
      </c>
      <c r="G4" s="26" t="s">
        <v>1022</v>
      </c>
      <c r="H4" s="26">
        <v>19</v>
      </c>
    </row>
    <row r="5" spans="1:8">
      <c r="A5" s="26" t="s">
        <v>71</v>
      </c>
      <c r="B5" s="26">
        <v>4</v>
      </c>
      <c r="C5" s="26">
        <v>1</v>
      </c>
      <c r="D5" s="26">
        <v>0</v>
      </c>
      <c r="G5" s="26" t="s">
        <v>1005</v>
      </c>
      <c r="H5" s="26">
        <v>118</v>
      </c>
    </row>
    <row r="6" spans="1:8">
      <c r="A6" s="26" t="s">
        <v>78</v>
      </c>
      <c r="B6" s="26">
        <v>6</v>
      </c>
      <c r="C6" s="26">
        <v>0</v>
      </c>
      <c r="D6" s="26">
        <v>0</v>
      </c>
      <c r="G6" s="26" t="s">
        <v>606</v>
      </c>
      <c r="H6" s="26">
        <v>109</v>
      </c>
    </row>
    <row r="7" spans="1:8">
      <c r="A7" s="26" t="s">
        <v>86</v>
      </c>
      <c r="B7" s="26">
        <v>5</v>
      </c>
      <c r="C7" s="26">
        <v>0</v>
      </c>
      <c r="D7" s="26">
        <v>0</v>
      </c>
      <c r="G7" s="26" t="s">
        <v>820</v>
      </c>
      <c r="H7" s="26">
        <v>133</v>
      </c>
    </row>
    <row r="8" spans="1:8">
      <c r="A8" s="26" t="s">
        <v>95</v>
      </c>
      <c r="B8" s="26">
        <v>6</v>
      </c>
      <c r="C8" s="26">
        <v>0</v>
      </c>
      <c r="D8" s="26">
        <v>4</v>
      </c>
    </row>
    <row r="9" spans="1:8">
      <c r="A9" s="26" t="s">
        <v>102</v>
      </c>
      <c r="B9" s="26">
        <v>2</v>
      </c>
      <c r="C9" s="26">
        <v>2</v>
      </c>
      <c r="D9" s="26">
        <v>0</v>
      </c>
    </row>
    <row r="10" spans="1:8">
      <c r="A10" s="26" t="s">
        <v>109</v>
      </c>
      <c r="B10" s="26">
        <v>9</v>
      </c>
      <c r="C10" s="26">
        <v>4</v>
      </c>
      <c r="D10" s="26">
        <v>0</v>
      </c>
    </row>
    <row r="11" spans="1:8">
      <c r="A11" s="26" t="s">
        <v>117</v>
      </c>
      <c r="B11" s="26">
        <v>4</v>
      </c>
      <c r="C11" s="26">
        <v>3</v>
      </c>
      <c r="D11" s="26">
        <v>0</v>
      </c>
    </row>
    <row r="12" spans="1:8">
      <c r="A12" s="26" t="s">
        <v>48</v>
      </c>
      <c r="B12" s="26">
        <v>7</v>
      </c>
      <c r="C12" s="26">
        <v>1</v>
      </c>
      <c r="D12" s="26">
        <v>0</v>
      </c>
    </row>
    <row r="18" spans="1:9">
      <c r="A18" s="27" t="s">
        <v>1314</v>
      </c>
      <c r="B18" s="27" t="s">
        <v>935</v>
      </c>
      <c r="G18" s="27" t="s">
        <v>1769</v>
      </c>
      <c r="H18" s="27" t="s">
        <v>1770</v>
      </c>
      <c r="I18" s="27" t="s">
        <v>1771</v>
      </c>
    </row>
    <row r="19" spans="1:9">
      <c r="A19" s="26" t="s">
        <v>955</v>
      </c>
      <c r="B19" s="26">
        <v>10</v>
      </c>
      <c r="G19" s="26" t="s">
        <v>1772</v>
      </c>
      <c r="H19" s="26">
        <v>902</v>
      </c>
      <c r="I19" s="26">
        <v>18285</v>
      </c>
    </row>
    <row r="20" spans="1:9">
      <c r="A20" s="26" t="s">
        <v>1511</v>
      </c>
      <c r="B20" s="26">
        <v>0</v>
      </c>
      <c r="G20" s="26" t="s">
        <v>1773</v>
      </c>
      <c r="H20" s="26">
        <v>58</v>
      </c>
      <c r="I20" s="26">
        <v>110</v>
      </c>
    </row>
    <row r="21" spans="1:9">
      <c r="A21" s="26" t="s">
        <v>1766</v>
      </c>
      <c r="B21" s="26">
        <v>0</v>
      </c>
      <c r="G21" s="26" t="s">
        <v>1058</v>
      </c>
      <c r="H21" s="26">
        <v>34</v>
      </c>
      <c r="I21" s="26">
        <v>99</v>
      </c>
    </row>
    <row r="22" spans="1:9">
      <c r="A22" s="26" t="s">
        <v>1767</v>
      </c>
      <c r="B22" s="26">
        <v>0</v>
      </c>
      <c r="G22" s="26" t="s">
        <v>1052</v>
      </c>
      <c r="H22" s="26">
        <v>457</v>
      </c>
      <c r="I22" s="26">
        <v>127</v>
      </c>
    </row>
    <row r="23" spans="1:9">
      <c r="A23" s="26" t="s">
        <v>1768</v>
      </c>
      <c r="B23" s="26">
        <v>0</v>
      </c>
      <c r="G23" s="26" t="s">
        <v>1054</v>
      </c>
      <c r="H23" s="26">
        <v>413</v>
      </c>
      <c r="I23" s="26">
        <v>24</v>
      </c>
    </row>
    <row r="24" spans="1:9">
      <c r="G24" s="26" t="s">
        <v>1059</v>
      </c>
      <c r="H24" s="26">
        <v>0</v>
      </c>
      <c r="I24" s="26">
        <v>1</v>
      </c>
    </row>
    <row r="25" spans="1:9" ht="12.75" customHeight="1">
      <c r="A25" s="53" t="s">
        <v>2487</v>
      </c>
      <c r="B25" s="53"/>
      <c r="C25" s="53"/>
      <c r="D25" s="53"/>
      <c r="E25" s="53"/>
    </row>
    <row r="26" spans="1:9">
      <c r="A26" s="53"/>
      <c r="B26" s="53"/>
      <c r="C26" s="53"/>
      <c r="D26" s="53"/>
      <c r="E26" s="53"/>
    </row>
    <row r="27" spans="1:9">
      <c r="A27" s="53"/>
      <c r="B27" s="53"/>
      <c r="C27" s="53"/>
      <c r="D27" s="53"/>
      <c r="E27" s="53"/>
    </row>
    <row r="28" spans="1:9">
      <c r="A28" s="53"/>
      <c r="B28" s="53"/>
      <c r="C28" s="53"/>
      <c r="D28" s="53"/>
      <c r="E28" s="53"/>
    </row>
    <row r="29" spans="1:9">
      <c r="A29" s="53"/>
      <c r="B29" s="53"/>
      <c r="C29" s="53"/>
      <c r="D29" s="53"/>
      <c r="E29" s="53"/>
    </row>
    <row r="30" spans="1:9">
      <c r="A30" s="53"/>
      <c r="B30" s="53"/>
      <c r="C30" s="53"/>
      <c r="D30" s="53"/>
      <c r="E30" s="53"/>
    </row>
    <row r="34" spans="1:2">
      <c r="A34" s="27" t="s">
        <v>1425</v>
      </c>
      <c r="B34" s="27" t="s">
        <v>1397</v>
      </c>
    </row>
    <row r="35" spans="1:2">
      <c r="A35" s="26">
        <v>110201</v>
      </c>
      <c r="B35" s="26">
        <v>0</v>
      </c>
    </row>
    <row r="36" spans="1:2">
      <c r="A36" s="26">
        <v>110202</v>
      </c>
      <c r="B36" s="26">
        <v>5</v>
      </c>
    </row>
    <row r="37" spans="1:2">
      <c r="A37" s="26">
        <v>110203</v>
      </c>
      <c r="B37" s="26">
        <v>4</v>
      </c>
    </row>
    <row r="38" spans="1:2">
      <c r="A38" s="26">
        <v>110301</v>
      </c>
      <c r="B38" s="26">
        <v>2</v>
      </c>
    </row>
    <row r="39" spans="1:2">
      <c r="A39" s="26">
        <v>110401</v>
      </c>
      <c r="B39" s="26">
        <v>0</v>
      </c>
    </row>
    <row r="40" spans="1:2">
      <c r="A40" s="26">
        <v>110402</v>
      </c>
      <c r="B40" s="26">
        <v>1</v>
      </c>
    </row>
    <row r="41" spans="1:2">
      <c r="A41" s="26">
        <v>110501</v>
      </c>
      <c r="B41" s="26">
        <v>44</v>
      </c>
    </row>
    <row r="49" spans="1:18">
      <c r="A49" s="20" t="s">
        <v>1775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 t="s">
        <v>2483</v>
      </c>
    </row>
    <row r="50" spans="1:18">
      <c r="A50" s="27" t="s">
        <v>1051</v>
      </c>
      <c r="B50" s="27" t="s">
        <v>62</v>
      </c>
      <c r="C50" s="27" t="s">
        <v>71</v>
      </c>
      <c r="D50" s="27" t="s">
        <v>78</v>
      </c>
      <c r="E50" s="27" t="s">
        <v>86</v>
      </c>
      <c r="F50" s="27" t="s">
        <v>95</v>
      </c>
      <c r="G50" s="27" t="s">
        <v>102</v>
      </c>
      <c r="H50" s="27" t="s">
        <v>109</v>
      </c>
      <c r="I50" s="27" t="s">
        <v>117</v>
      </c>
      <c r="J50" s="27" t="s">
        <v>48</v>
      </c>
      <c r="K50" s="27" t="s">
        <v>998</v>
      </c>
      <c r="M50" s="27" t="s">
        <v>2484</v>
      </c>
      <c r="N50" s="27" t="s">
        <v>2485</v>
      </c>
      <c r="O50" s="27" t="s">
        <v>1411</v>
      </c>
      <c r="P50" s="27" t="s">
        <v>1417</v>
      </c>
    </row>
    <row r="51" spans="1:18">
      <c r="A51" s="26" t="s">
        <v>1052</v>
      </c>
      <c r="B51" s="28">
        <v>38</v>
      </c>
      <c r="C51" s="28">
        <v>214</v>
      </c>
      <c r="D51" s="28">
        <v>30</v>
      </c>
      <c r="E51" s="28">
        <v>32</v>
      </c>
      <c r="F51" s="28">
        <v>10</v>
      </c>
      <c r="G51" s="28">
        <v>14</v>
      </c>
      <c r="H51" s="29">
        <v>0</v>
      </c>
      <c r="I51" s="28">
        <v>2</v>
      </c>
      <c r="J51" s="28">
        <v>6</v>
      </c>
      <c r="K51" s="26"/>
      <c r="M51" s="26" t="s">
        <v>192</v>
      </c>
      <c r="N51" s="28">
        <v>2</v>
      </c>
      <c r="O51" s="30">
        <v>1</v>
      </c>
      <c r="P51" s="28">
        <v>2</v>
      </c>
    </row>
    <row r="52" spans="1:18">
      <c r="A52" s="26" t="s">
        <v>1053</v>
      </c>
      <c r="B52" s="29">
        <v>0</v>
      </c>
      <c r="C52" s="29">
        <v>0</v>
      </c>
      <c r="D52" s="29">
        <v>0</v>
      </c>
      <c r="E52" s="29">
        <v>0</v>
      </c>
      <c r="F52" s="29">
        <v>0</v>
      </c>
      <c r="G52" s="29">
        <v>0</v>
      </c>
      <c r="H52" s="29">
        <v>0</v>
      </c>
      <c r="I52" s="29">
        <v>0</v>
      </c>
      <c r="J52" s="28">
        <v>8</v>
      </c>
      <c r="K52" s="26"/>
      <c r="M52" s="26" t="s">
        <v>652</v>
      </c>
      <c r="N52" s="28">
        <v>2</v>
      </c>
      <c r="O52" s="30">
        <v>1</v>
      </c>
      <c r="P52" s="28">
        <v>2</v>
      </c>
    </row>
    <row r="53" spans="1:18">
      <c r="A53" s="26" t="s">
        <v>1054</v>
      </c>
      <c r="B53" s="29">
        <v>0</v>
      </c>
      <c r="C53" s="29">
        <v>0</v>
      </c>
      <c r="D53" s="29">
        <v>0</v>
      </c>
      <c r="E53" s="29">
        <v>0</v>
      </c>
      <c r="F53" s="29">
        <v>0</v>
      </c>
      <c r="G53" s="29">
        <v>0</v>
      </c>
      <c r="H53" s="29">
        <v>0</v>
      </c>
      <c r="I53" s="29">
        <v>0</v>
      </c>
      <c r="J53" s="29">
        <v>0</v>
      </c>
      <c r="K53" s="26"/>
      <c r="M53" s="26" t="s">
        <v>846</v>
      </c>
      <c r="N53" s="29">
        <v>2</v>
      </c>
      <c r="O53" s="30">
        <v>0</v>
      </c>
      <c r="P53" s="30">
        <v>2</v>
      </c>
    </row>
    <row r="54" spans="1:18">
      <c r="A54" s="26" t="s">
        <v>1055</v>
      </c>
      <c r="B54" s="29">
        <v>0</v>
      </c>
      <c r="C54" s="29">
        <v>0</v>
      </c>
      <c r="D54" s="29">
        <v>0</v>
      </c>
      <c r="E54" s="28">
        <v>5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6"/>
      <c r="M54" s="26" t="s">
        <v>567</v>
      </c>
      <c r="N54" s="28">
        <v>0</v>
      </c>
      <c r="O54" s="29">
        <v>1</v>
      </c>
      <c r="P54" s="28">
        <v>1</v>
      </c>
    </row>
    <row r="55" spans="1:18">
      <c r="A55" s="26" t="s">
        <v>1056</v>
      </c>
      <c r="B55" s="29">
        <v>0</v>
      </c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26" t="s">
        <v>1057</v>
      </c>
      <c r="M55" s="26" t="s">
        <v>1774</v>
      </c>
      <c r="N55" s="30">
        <v>2</v>
      </c>
      <c r="O55" s="29">
        <v>1</v>
      </c>
      <c r="P55" s="29">
        <v>1</v>
      </c>
    </row>
    <row r="56" spans="1:18">
      <c r="A56" s="26" t="s">
        <v>1058</v>
      </c>
      <c r="B56" s="28">
        <v>4</v>
      </c>
      <c r="C56" s="29">
        <v>0</v>
      </c>
      <c r="D56" s="29">
        <v>0</v>
      </c>
      <c r="E56" s="29">
        <v>0</v>
      </c>
      <c r="F56" s="29">
        <v>0</v>
      </c>
      <c r="G56" s="28">
        <v>4</v>
      </c>
      <c r="H56" s="28">
        <v>5</v>
      </c>
      <c r="I56" s="28">
        <v>2</v>
      </c>
      <c r="J56" s="30">
        <v>1</v>
      </c>
      <c r="K56" s="26"/>
    </row>
    <row r="57" spans="1:18">
      <c r="A57" s="26" t="s">
        <v>1059</v>
      </c>
      <c r="B57" s="29">
        <v>0</v>
      </c>
      <c r="C57" s="29">
        <v>0</v>
      </c>
      <c r="D57" s="29">
        <v>0</v>
      </c>
      <c r="E57" s="29">
        <v>0</v>
      </c>
      <c r="F57" s="28">
        <v>4</v>
      </c>
      <c r="G57" s="29">
        <v>0</v>
      </c>
      <c r="H57" s="29">
        <v>0</v>
      </c>
      <c r="I57" s="29">
        <v>0</v>
      </c>
      <c r="J57" s="29">
        <v>0</v>
      </c>
      <c r="K57" s="26"/>
    </row>
    <row r="58" spans="1:18" ht="12.75" customHeight="1">
      <c r="A58" s="26" t="s">
        <v>1060</v>
      </c>
      <c r="B58" s="29">
        <v>0</v>
      </c>
      <c r="C58" s="29">
        <v>0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  <c r="I58" s="29">
        <v>0</v>
      </c>
      <c r="J58" s="30">
        <v>1</v>
      </c>
      <c r="K58" s="26"/>
      <c r="M58" s="53" t="s">
        <v>2486</v>
      </c>
      <c r="N58" s="53"/>
      <c r="O58" s="53"/>
      <c r="P58" s="53"/>
    </row>
    <row r="59" spans="1:18">
      <c r="M59" s="53"/>
      <c r="N59" s="53"/>
      <c r="O59" s="53"/>
      <c r="P59" s="53"/>
    </row>
    <row r="60" spans="1:18" ht="45">
      <c r="A60" s="38" t="s">
        <v>52</v>
      </c>
      <c r="B60" s="38" t="s">
        <v>356</v>
      </c>
      <c r="C60" s="38" t="s">
        <v>2466</v>
      </c>
      <c r="D60" s="1"/>
      <c r="E60" s="1"/>
      <c r="F60" s="38" t="s">
        <v>2467</v>
      </c>
      <c r="G60" s="38" t="s">
        <v>2468</v>
      </c>
      <c r="H60" s="1"/>
      <c r="I60" s="38" t="s">
        <v>2467</v>
      </c>
      <c r="J60" s="38" t="s">
        <v>192</v>
      </c>
      <c r="K60" s="38" t="s">
        <v>652</v>
      </c>
      <c r="L60" s="38" t="s">
        <v>846</v>
      </c>
      <c r="M60" s="38"/>
      <c r="N60" s="1"/>
      <c r="O60" s="38" t="s">
        <v>52</v>
      </c>
      <c r="P60" s="38" t="s">
        <v>1782</v>
      </c>
      <c r="Q60" s="38" t="s">
        <v>2470</v>
      </c>
      <c r="R60" s="38" t="s">
        <v>2472</v>
      </c>
    </row>
    <row r="61" spans="1:18" ht="71.25">
      <c r="A61" s="1" t="s">
        <v>62</v>
      </c>
      <c r="B61" s="1">
        <v>1</v>
      </c>
      <c r="C61" s="1">
        <v>1</v>
      </c>
      <c r="D61" s="1"/>
      <c r="E61" s="1"/>
      <c r="F61" s="1" t="s">
        <v>2469</v>
      </c>
      <c r="G61" s="1">
        <f>SUM(P61:P69)</f>
        <v>9</v>
      </c>
      <c r="H61" s="1"/>
      <c r="I61" s="1" t="s">
        <v>1782</v>
      </c>
      <c r="J61" s="1">
        <v>9</v>
      </c>
      <c r="K61" s="1">
        <v>9</v>
      </c>
      <c r="L61" s="1">
        <v>9</v>
      </c>
      <c r="M61" s="1"/>
      <c r="N61" s="1"/>
      <c r="O61" s="1" t="s">
        <v>62</v>
      </c>
      <c r="P61" s="1">
        <f>IF(TECNICAS_REAL_VR!O5="SI_CLIENT_EVENT",1,0)</f>
        <v>1</v>
      </c>
      <c r="Q61" s="1">
        <v>1</v>
      </c>
      <c r="R61" s="1">
        <f>--(SUMIF(WAZUH_DETALLE!$D$5:$D$11,"*TEC-001*",WAZUH_DETALLE!$F$5:$F$11)&gt;0)</f>
        <v>1</v>
      </c>
    </row>
    <row r="62" spans="1:18" ht="28.5">
      <c r="A62" s="1" t="s">
        <v>71</v>
      </c>
      <c r="B62" s="1">
        <v>1</v>
      </c>
      <c r="C62" s="1">
        <v>0</v>
      </c>
      <c r="D62" s="1"/>
      <c r="E62" s="1"/>
      <c r="F62" s="1" t="s">
        <v>2470</v>
      </c>
      <c r="G62" s="1">
        <f>SUM(Q61:Q69)</f>
        <v>3</v>
      </c>
      <c r="H62" s="1"/>
      <c r="I62" s="1" t="s">
        <v>2471</v>
      </c>
      <c r="J62" s="1">
        <v>9</v>
      </c>
      <c r="K62" s="1">
        <v>3</v>
      </c>
      <c r="L62" s="1">
        <v>3</v>
      </c>
      <c r="M62" s="1"/>
      <c r="N62" s="1"/>
      <c r="O62" s="1" t="s">
        <v>71</v>
      </c>
      <c r="P62" s="1">
        <f>IF(TECNICAS_REAL_VR!O6="SI_CLIENT_EVENT",1,0)</f>
        <v>1</v>
      </c>
      <c r="Q62" s="1">
        <v>0</v>
      </c>
      <c r="R62" s="1">
        <f>--(SUMIF(WAZUH_DETALLE!$D$5:$D$11,"*TEC-002*",WAZUH_DETALLE!$F$5:$F$11)&gt;0)</f>
        <v>0</v>
      </c>
    </row>
    <row r="63" spans="1:18" ht="57">
      <c r="A63" s="1" t="s">
        <v>78</v>
      </c>
      <c r="B63" s="1">
        <v>1</v>
      </c>
      <c r="C63" s="1">
        <v>1</v>
      </c>
      <c r="D63" s="1"/>
      <c r="E63" s="1"/>
      <c r="F63" s="1" t="s">
        <v>2472</v>
      </c>
      <c r="G63" s="1">
        <f>SUM(R61:R69)</f>
        <v>4</v>
      </c>
      <c r="H63" s="1"/>
      <c r="I63" s="1"/>
      <c r="J63" s="1"/>
      <c r="K63" s="1"/>
      <c r="L63" s="1"/>
      <c r="M63" s="1"/>
      <c r="N63" s="1"/>
      <c r="O63" s="1" t="s">
        <v>78</v>
      </c>
      <c r="P63" s="1">
        <f>IF(TECNICAS_REAL_VR!O7="SI_CLIENT_EVENT",1,0)</f>
        <v>1</v>
      </c>
      <c r="Q63" s="1">
        <v>1</v>
      </c>
      <c r="R63" s="1">
        <f>--(SUMIF(WAZUH_DETALLE!$D$5:$D$11,"*TEC-003*",WAZUH_DETALLE!$F$5:$F$11)&gt;0)</f>
        <v>0</v>
      </c>
    </row>
    <row r="64" spans="1:18" ht="14.25">
      <c r="A64" s="1" t="s">
        <v>86</v>
      </c>
      <c r="B64" s="1">
        <v>1</v>
      </c>
      <c r="C64" s="1">
        <v>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 t="s">
        <v>86</v>
      </c>
      <c r="P64" s="1">
        <f>IF(TECNICAS_REAL_VR!O8="SI_CLIENT_EVENT",1,0)</f>
        <v>1</v>
      </c>
      <c r="Q64" s="1">
        <v>0</v>
      </c>
      <c r="R64" s="1">
        <f>--(SUMIF(WAZUH_DETALLE!$D$5:$D$11,"*TEC-004*",WAZUH_DETALLE!$F$5:$F$11)&gt;0)</f>
        <v>0</v>
      </c>
    </row>
    <row r="65" spans="1:18" ht="14.25">
      <c r="A65" s="1" t="s">
        <v>95</v>
      </c>
      <c r="B65" s="1">
        <v>1</v>
      </c>
      <c r="C65" s="1">
        <v>1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 t="s">
        <v>95</v>
      </c>
      <c r="P65" s="1">
        <f>IF(TECNICAS_REAL_VR!O9="SI_CLIENT_EVENT",1,0)</f>
        <v>1</v>
      </c>
      <c r="Q65" s="1">
        <v>1</v>
      </c>
      <c r="R65" s="1">
        <f>--(SUMIF(WAZUH_DETALLE!$D$5:$D$11,"*TEC-005*",WAZUH_DETALLE!$F$5:$F$11)&gt;0)</f>
        <v>1</v>
      </c>
    </row>
    <row r="66" spans="1:18" ht="14.25">
      <c r="A66" s="1" t="s">
        <v>102</v>
      </c>
      <c r="B66" s="1">
        <v>1</v>
      </c>
      <c r="C66" s="1">
        <v>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 t="s">
        <v>102</v>
      </c>
      <c r="P66" s="1">
        <f>IF(TECNICAS_REAL_VR!O10="SI_CLIENT_EVENT",1,0)</f>
        <v>1</v>
      </c>
      <c r="Q66" s="1">
        <v>0</v>
      </c>
      <c r="R66" s="1">
        <f>--(SUMIF(WAZUH_DETALLE!$D$5:$D$11,"*TEC-006*",WAZUH_DETALLE!$F$5:$F$11)&gt;0)</f>
        <v>0</v>
      </c>
    </row>
    <row r="67" spans="1:18" ht="14.25">
      <c r="A67" s="1" t="s">
        <v>109</v>
      </c>
      <c r="B67" s="1">
        <v>1</v>
      </c>
      <c r="C67" s="1">
        <v>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 t="s">
        <v>109</v>
      </c>
      <c r="P67" s="1">
        <f>IF(TECNICAS_REAL_VR!O11="SI_CLIENT_EVENT",1,0)</f>
        <v>1</v>
      </c>
      <c r="Q67" s="1">
        <v>0</v>
      </c>
      <c r="R67" s="1">
        <f>--(SUMIF(WAZUH_DETALLE!$D$5:$D$11,"*TEC-007*",WAZUH_DETALLE!$F$5:$F$11)&gt;0)</f>
        <v>1</v>
      </c>
    </row>
    <row r="68" spans="1:18" ht="14.25">
      <c r="A68" s="1" t="s">
        <v>117</v>
      </c>
      <c r="B68" s="1">
        <v>1</v>
      </c>
      <c r="C68" s="1">
        <v>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 t="s">
        <v>117</v>
      </c>
      <c r="P68" s="1">
        <f>IF(TECNICAS_REAL_VR!O12="SI_CLIENT_EVENT",1,0)</f>
        <v>1</v>
      </c>
      <c r="Q68" s="1">
        <v>0</v>
      </c>
      <c r="R68" s="1">
        <f>--(SUMIF(WAZUH_DETALLE!$D$5:$D$11,"*TEC-008*",WAZUH_DETALLE!$F$5:$F$11)&gt;0)</f>
        <v>1</v>
      </c>
    </row>
    <row r="69" spans="1:18" ht="14.25">
      <c r="A69" s="1" t="s">
        <v>48</v>
      </c>
      <c r="B69" s="1">
        <v>1</v>
      </c>
      <c r="C69" s="1">
        <v>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 t="s">
        <v>48</v>
      </c>
      <c r="P69" s="1">
        <f>IF(TECNICAS_REAL_VR!O13="SI_CLIENT_EVENT",1,0)</f>
        <v>1</v>
      </c>
      <c r="Q69" s="1">
        <v>0</v>
      </c>
      <c r="R69" s="1">
        <f>--(SUMIF(WAZUH_DETALLE!$D$5:$D$11,"*TEC-009*",WAZUH_DETALLE!$F$5:$F$11)&gt;0)</f>
        <v>0</v>
      </c>
    </row>
    <row r="70" spans="1:18" ht="14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4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4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30">
      <c r="A73" s="38" t="s">
        <v>395</v>
      </c>
      <c r="B73" s="38" t="s">
        <v>2473</v>
      </c>
      <c r="C73" s="38" t="s">
        <v>1837</v>
      </c>
      <c r="D73" s="1"/>
      <c r="E73" s="1"/>
      <c r="F73" s="38" t="s">
        <v>395</v>
      </c>
      <c r="G73" s="38" t="s">
        <v>188</v>
      </c>
      <c r="H73" s="1"/>
      <c r="I73" s="38" t="s">
        <v>183</v>
      </c>
      <c r="J73" s="38" t="s">
        <v>2476</v>
      </c>
      <c r="K73" s="1"/>
      <c r="L73" s="1"/>
      <c r="M73" s="1"/>
      <c r="N73" s="1"/>
      <c r="O73" s="1"/>
      <c r="P73" s="1"/>
      <c r="Q73" s="1"/>
      <c r="R73" s="1"/>
    </row>
    <row r="74" spans="1:18" ht="71.25">
      <c r="A74" s="1" t="s">
        <v>2474</v>
      </c>
      <c r="B74" s="41">
        <f>'15_Publicos_Definitivo'!O5</f>
        <v>73</v>
      </c>
      <c r="C74" s="41">
        <f>'15_Publicos_Definitivo'!P5</f>
        <v>4</v>
      </c>
      <c r="D74" s="1"/>
      <c r="E74" s="1"/>
      <c r="F74" s="1" t="s">
        <v>2474</v>
      </c>
      <c r="G74" s="1" t="s">
        <v>1850</v>
      </c>
      <c r="H74" s="1"/>
      <c r="I74" s="1" t="s">
        <v>1850</v>
      </c>
      <c r="J74" s="1">
        <f>COUNTIF('15_Publicos_Definitivo'!$S$5:$S$10,"POSITIVO")</f>
        <v>5</v>
      </c>
      <c r="K74" s="1"/>
      <c r="L74" s="1"/>
      <c r="M74" s="1"/>
      <c r="N74" s="1"/>
      <c r="O74" s="1"/>
      <c r="P74" s="1"/>
      <c r="Q74" s="1"/>
      <c r="R74" s="1"/>
    </row>
    <row r="75" spans="1:18" ht="57">
      <c r="A75" s="1" t="s">
        <v>346</v>
      </c>
      <c r="B75" s="41">
        <f>'15_Publicos_Definitivo'!O6</f>
        <v>0</v>
      </c>
      <c r="C75" s="41">
        <f>'15_Publicos_Definitivo'!P6</f>
        <v>0</v>
      </c>
      <c r="D75" s="1"/>
      <c r="E75" s="1"/>
      <c r="F75" s="1" t="s">
        <v>346</v>
      </c>
      <c r="G75" s="1" t="s">
        <v>1850</v>
      </c>
      <c r="H75" s="1"/>
      <c r="I75" s="1" t="s">
        <v>2477</v>
      </c>
      <c r="J75" s="1">
        <f>COUNTIF('15_Publicos_Definitivo'!$S$5:$S$10,"NEGATIVO VÁLIDO")</f>
        <v>0</v>
      </c>
      <c r="K75" s="1"/>
      <c r="L75" s="1"/>
      <c r="M75" s="1"/>
      <c r="N75" s="1"/>
      <c r="O75" s="1"/>
      <c r="P75" s="1"/>
      <c r="Q75" s="1"/>
      <c r="R75" s="1"/>
    </row>
    <row r="76" spans="1:18" ht="57">
      <c r="A76" s="1" t="s">
        <v>345</v>
      </c>
      <c r="B76" s="41">
        <f>'15_Publicos_Definitivo'!O7</f>
        <v>18</v>
      </c>
      <c r="C76" s="41">
        <f>'15_Publicos_Definitivo'!P7</f>
        <v>0</v>
      </c>
      <c r="D76" s="1"/>
      <c r="E76" s="1"/>
      <c r="F76" s="1" t="s">
        <v>345</v>
      </c>
      <c r="G76" s="1" t="s">
        <v>1850</v>
      </c>
      <c r="H76" s="1"/>
      <c r="I76" s="1" t="s">
        <v>1881</v>
      </c>
      <c r="J76" s="1">
        <f>COUNTIF('15_Publicos_Definitivo'!$S$5:$S$10,"NO CONCLUYENTE")</f>
        <v>1</v>
      </c>
      <c r="K76" s="1"/>
      <c r="L76" s="1"/>
      <c r="M76" s="1"/>
      <c r="N76" s="1"/>
      <c r="O76" s="1"/>
      <c r="P76" s="1"/>
      <c r="Q76" s="1"/>
      <c r="R76" s="1"/>
    </row>
    <row r="77" spans="1:18" ht="57">
      <c r="A77" s="1" t="s">
        <v>347</v>
      </c>
      <c r="B77" s="41">
        <f>'15_Publicos_Definitivo'!O8</f>
        <v>24</v>
      </c>
      <c r="C77" s="41">
        <f>'15_Publicos_Definitivo'!P8</f>
        <v>0</v>
      </c>
      <c r="D77" s="1"/>
      <c r="E77" s="1"/>
      <c r="F77" s="1" t="s">
        <v>347</v>
      </c>
      <c r="G77" s="1" t="s">
        <v>1850</v>
      </c>
      <c r="H77" s="1"/>
      <c r="I77" s="1" t="s">
        <v>2478</v>
      </c>
      <c r="J77" s="1">
        <f>COUNTIF('15_Publicos_Definitivo'!$S$5:$S$10,"NO EJECUTADO")</f>
        <v>0</v>
      </c>
      <c r="K77" s="1"/>
      <c r="L77" s="1"/>
      <c r="M77" s="1"/>
      <c r="N77" s="1"/>
      <c r="O77" s="1"/>
      <c r="P77" s="1"/>
      <c r="Q77" s="1"/>
      <c r="R77" s="1"/>
    </row>
    <row r="78" spans="1:18" ht="42.75">
      <c r="A78" s="1" t="s">
        <v>2475</v>
      </c>
      <c r="B78" s="41">
        <f>'15_Publicos_Definitivo'!O9</f>
        <v>0</v>
      </c>
      <c r="C78" s="41">
        <f>'15_Publicos_Definitivo'!P9</f>
        <v>0</v>
      </c>
      <c r="D78" s="1"/>
      <c r="E78" s="1"/>
      <c r="F78" s="1" t="s">
        <v>2475</v>
      </c>
      <c r="G78" s="1" t="s">
        <v>1881</v>
      </c>
      <c r="H78" s="1"/>
      <c r="I78" s="1" t="s">
        <v>1922</v>
      </c>
      <c r="J78" s="1">
        <f>COUNTIF('15_Publicos_Definitivo'!$S$5:$S$10,"NO APLICABLE")</f>
        <v>0</v>
      </c>
      <c r="K78" s="1"/>
      <c r="L78" s="1"/>
      <c r="M78" s="1"/>
      <c r="N78" s="1"/>
      <c r="O78" s="1"/>
      <c r="P78" s="1"/>
      <c r="Q78" s="1"/>
      <c r="R78" s="1"/>
    </row>
    <row r="79" spans="1:18" ht="71.25">
      <c r="A79" s="1" t="s">
        <v>2070</v>
      </c>
      <c r="B79" s="41">
        <f>'15_Publicos_Definitivo'!O10</f>
        <v>12</v>
      </c>
      <c r="C79" s="41">
        <f>'15_Publicos_Definitivo'!P10</f>
        <v>0</v>
      </c>
      <c r="D79" s="1"/>
      <c r="E79" s="1"/>
      <c r="F79" s="1" t="s">
        <v>2070</v>
      </c>
      <c r="G79" s="1" t="s">
        <v>1850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4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</sheetData>
  <mergeCells count="2">
    <mergeCell ref="M58:P59"/>
    <mergeCell ref="A25:E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3</vt:i4>
      </vt:variant>
    </vt:vector>
  </HeadingPairs>
  <TitlesOfParts>
    <vt:vector size="34" baseType="lpstr">
      <vt:lpstr>00_Guia</vt:lpstr>
      <vt:lpstr>01_Dashboard</vt:lpstr>
      <vt:lpstr>02_Seleccion_Tecnicas</vt:lpstr>
      <vt:lpstr>03_Evaluacion_VR</vt:lpstr>
      <vt:lpstr>04_Control_Publicos</vt:lpstr>
      <vt:lpstr>05_Matriz_Resultados</vt:lpstr>
      <vt:lpstr>06_Resumen</vt:lpstr>
      <vt:lpstr>07_Catalogo_Artifacts</vt:lpstr>
      <vt:lpstr>08_Benignas_FP</vt:lpstr>
      <vt:lpstr>09_Benchmark_Plan</vt:lpstr>
      <vt:lpstr>10_Gaps_Custom_P1P4</vt:lpstr>
      <vt:lpstr>99_Listas</vt:lpstr>
      <vt:lpstr>11_Alertabilidad</vt:lpstr>
      <vt:lpstr>12_Plan_Alertas</vt:lpstr>
      <vt:lpstr>13_Hayabusa_Resumen</vt:lpstr>
      <vt:lpstr>14_Arquitectura_Custom</vt:lpstr>
      <vt:lpstr>15_Publicos_Definitivo</vt:lpstr>
      <vt:lpstr>16_Scripts_Validados</vt:lpstr>
      <vt:lpstr>17_Incoherencias_Cerradas</vt:lpstr>
      <vt:lpstr>README</vt:lpstr>
      <vt:lpstr>RESUMEN_EJECUTIVO</vt:lpstr>
      <vt:lpstr>TECNICAS_REAL_VR</vt:lpstr>
      <vt:lpstr>VISIBILIDAD_SISTEMA</vt:lpstr>
      <vt:lpstr>ALERTAS_VR</vt:lpstr>
      <vt:lpstr>FP_RUNNER</vt:lpstr>
      <vt:lpstr>FP_HITS</vt:lpstr>
      <vt:lpstr>COMPARACION_VR_WAZUH</vt:lpstr>
      <vt:lpstr>WAZUH_DETALLE</vt:lpstr>
      <vt:lpstr>DISCREPANCIAS</vt:lpstr>
      <vt:lpstr>FUENTES</vt:lpstr>
      <vt:lpstr>GRAFICAS</vt:lpstr>
      <vt:lpstr>'01_Dashboard'!Área_de_impresión</vt:lpstr>
      <vt:lpstr>'15_Publicos_Definitivo'!Área_de_impresión</vt:lpstr>
      <vt:lpstr>'15_Publicos_Definitivo'!Títulos_a_imprimir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GARCÍA-AMORENA REINA</cp:lastModifiedBy>
  <dcterms:modified xsi:type="dcterms:W3CDTF">2026-07-13T15:32:05Z</dcterms:modified>
</cp:coreProperties>
</file>