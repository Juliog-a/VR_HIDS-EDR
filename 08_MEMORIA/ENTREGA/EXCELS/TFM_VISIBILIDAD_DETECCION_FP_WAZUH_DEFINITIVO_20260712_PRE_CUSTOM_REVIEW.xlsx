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34E0C5D3-65FE-426D-ADB5-0C54EFADA54E}" xr6:coauthVersionLast="47" xr6:coauthVersionMax="47" xr10:uidLastSave="{00000000-0000-0000-0000-000000000000}"/>
  <bookViews>
    <workbookView xWindow="-120" yWindow="-120" windowWidth="29040" windowHeight="15720" firstSheet="6" activeTab="7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11_Alertabilidad" sheetId="13" r:id="rId12"/>
    <sheet name="12_Plan_Alertas" sheetId="14" r:id="rId13"/>
    <sheet name="13_Hayabusa_Resumen" sheetId="15" r:id="rId14"/>
    <sheet name="14_Arquitectura_Custom" sheetId="16" r:id="rId15"/>
    <sheet name="15_Publicos_Definitivo" sheetId="17" r:id="rId16"/>
    <sheet name="16_Scripts_Validados" sheetId="18" r:id="rId17"/>
    <sheet name="17_Incoherencias_Cerradas" sheetId="19" r:id="rId18"/>
    <sheet name="README" sheetId="20" r:id="rId19"/>
    <sheet name="RESUMEN_EJECUTIVO" sheetId="21" r:id="rId20"/>
    <sheet name="TECNICAS_REAL_VR" sheetId="22" r:id="rId21"/>
    <sheet name="VISIBILIDAD_SISTEMA" sheetId="23" r:id="rId22"/>
    <sheet name="ALERTAS_VR" sheetId="24" r:id="rId23"/>
    <sheet name="FP_RUNNER" sheetId="25" r:id="rId24"/>
    <sheet name="FP_HITS" sheetId="26" r:id="rId25"/>
    <sheet name="COMPARACION_VR_WAZUH" sheetId="27" r:id="rId26"/>
    <sheet name="WAZUH_DETALLE" sheetId="28" r:id="rId27"/>
    <sheet name="DISCREPANCIAS" sheetId="29" r:id="rId28"/>
    <sheet name="FUENTES" sheetId="30" r:id="rId29"/>
    <sheet name="GRAFICAS" sheetId="31" r:id="rId30"/>
  </sheets>
  <definedNames>
    <definedName name="_xlnm._FilterDatabase" localSheetId="15" hidden="1">'15_Publicos_Definitivo'!$A$4:$T$10</definedName>
    <definedName name="_xlnm._FilterDatabase" localSheetId="22" hidden="1">ALERTAS_VR!$A$4:$O$383</definedName>
    <definedName name="_xlnm._FilterDatabase" localSheetId="25" hidden="1">COMPARACION_VR_WAZUH!$A$4:$M$8</definedName>
    <definedName name="_xlnm._FilterDatabase" localSheetId="27" hidden="1">DISCREPANCIAS!$A$4:$E$58</definedName>
    <definedName name="_xlnm._FilterDatabase" localSheetId="24" hidden="1">FP_HITS!$A$4:$N$5</definedName>
    <definedName name="_xlnm._FilterDatabase" localSheetId="23" hidden="1">FP_RUNNER!$A$4:$L$14</definedName>
    <definedName name="_xlnm._FilterDatabase" localSheetId="28" hidden="1">FUENTES!$A$4:$G$218</definedName>
    <definedName name="_xlnm._FilterDatabase" localSheetId="18" hidden="1">README!$A$4:$B$15</definedName>
    <definedName name="_xlnm._FilterDatabase" localSheetId="19" hidden="1">RESUMEN_EJECUTIVO!$A$4:$C$33</definedName>
    <definedName name="_xlnm._FilterDatabase" localSheetId="20" hidden="1">TECNICAS_REAL_VR!$A$4:$T$13</definedName>
    <definedName name="_xlnm._FilterDatabase" localSheetId="21" hidden="1">VISIBILIDAD_SISTEMA!$A$4:$K$12</definedName>
    <definedName name="_xlnm._FilterDatabase" localSheetId="26" hidden="1">WAZUH_DETALLE!$A$4:$G$11</definedName>
    <definedName name="_xlnm.Print_Area" localSheetId="1">'01_Dashboard'!$A$1:$N$70</definedName>
    <definedName name="_xlnm.Print_Area" localSheetId="5">'05_Matriz_Resultados'!$A$1:$Z$13</definedName>
    <definedName name="_xlnm.Print_Area" localSheetId="15">'15_Publicos_Definitivo'!$A$1:$T$15</definedName>
    <definedName name="_xlnm.Print_Area" localSheetId="25">COMPARACION_VR_WAZUH!$A$1:$M$23</definedName>
    <definedName name="_xlnm.Print_Area" localSheetId="26">WAZUH_DETALLE!$A$1:$H$19</definedName>
    <definedName name="_xlnm.Print_Titles" localSheetId="5">'05_Matriz_Resultados'!$4:$4</definedName>
    <definedName name="_xlnm.Print_Titles" localSheetId="15">'15_Publicos_Definitivo'!$4:$4</definedName>
    <definedName name="_xlnm.Print_Titles" localSheetId="26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31" l="1"/>
  <c r="C14" i="27" s="1"/>
  <c r="G63" i="31"/>
  <c r="C13" i="27" s="1"/>
  <c r="G62" i="31"/>
  <c r="C12" i="27" s="1"/>
  <c r="G61" i="31"/>
  <c r="C11" i="27" s="1"/>
  <c r="J78" i="31"/>
  <c r="J77" i="31"/>
  <c r="J76" i="31"/>
  <c r="J75" i="31"/>
  <c r="J74" i="31"/>
  <c r="S11" i="17"/>
  <c r="Q11" i="17"/>
  <c r="P11" i="17"/>
  <c r="O11" i="17"/>
  <c r="N11" i="17"/>
  <c r="C79" i="31"/>
  <c r="B79" i="31"/>
  <c r="C78" i="31"/>
  <c r="B78" i="31"/>
  <c r="C77" i="31"/>
  <c r="B77" i="31"/>
  <c r="C76" i="31"/>
  <c r="B76" i="31"/>
  <c r="C75" i="31"/>
  <c r="B75" i="31"/>
  <c r="C74" i="31"/>
  <c r="B74" i="31"/>
  <c r="R69" i="31"/>
  <c r="P69" i="31"/>
  <c r="R68" i="31"/>
  <c r="P68" i="31"/>
  <c r="R67" i="31"/>
  <c r="P67" i="31"/>
  <c r="R66" i="31"/>
  <c r="P66" i="31"/>
  <c r="R65" i="31"/>
  <c r="P65" i="31"/>
  <c r="R64" i="31"/>
  <c r="P64" i="31"/>
  <c r="R63" i="31"/>
  <c r="P63" i="31"/>
  <c r="R62" i="31"/>
  <c r="P62" i="31"/>
  <c r="R61" i="31"/>
  <c r="P61" i="31"/>
  <c r="B16" i="7"/>
  <c r="B15" i="7"/>
  <c r="B14" i="7"/>
  <c r="G7" i="2"/>
  <c r="G6" i="2"/>
  <c r="G5" i="2"/>
  <c r="B35" i="21" l="1"/>
  <c r="B34" i="21"/>
</calcChain>
</file>

<file path=xl/sharedStrings.xml><?xml version="1.0" encoding="utf-8"?>
<sst xmlns="http://schemas.openxmlformats.org/spreadsheetml/2006/main" count="10951" uniqueCount="2661">
  <si>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</si>
  <si>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</si>
  <si>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</si>
  <si>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</si>
  <si>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</si>
  <si>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</si>
  <si>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</si>
  <si>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</si>
  <si>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</si>
  <si>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</si>
  <si>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</si>
  <si>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</si>
  <si>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</si>
  <si>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</si>
  <si>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</si>
  <si>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</si>
  <si>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</si>
  <si>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</si>
  <si>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</si>
  <si>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</si>
  <si>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</si>
  <si>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</si>
  <si>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</si>
  <si>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</si>
  <si>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</si>
  <si>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</si>
  <si>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</si>
  <si>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</si>
  <si>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</si>
  <si>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</si>
  <si>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</si>
  <si>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KPI</t>
  </si>
  <si>
    <t>Valor</t>
  </si>
  <si>
    <t>Acción</t>
  </si>
  <si>
    <t>Cobertura</t>
  </si>
  <si>
    <t>Artifacts públicos RT núcleo</t>
  </si>
  <si>
    <t>Hayabusa.Monitoring, ServiceCreation, ProcessCreation, SysmonLogForward, ETW.Monitoring, TrackNetworkConnections</t>
  </si>
  <si>
    <t>Principal</t>
  </si>
  <si>
    <t>Artifact histórico complementario</t>
  </si>
  <si>
    <t>Ampliada</t>
  </si>
  <si>
    <t>Alertas públicas RT validadas</t>
  </si>
  <si>
    <t>3</t>
  </si>
  <si>
    <t>Contextual red</t>
  </si>
  <si>
    <t>Custom necesario</t>
  </si>
  <si>
    <t>Sí</t>
  </si>
  <si>
    <t>Cobertura principal /14</t>
  </si>
  <si>
    <t>Cobertura ampliada /14</t>
  </si>
  <si>
    <t>Cobertura contextual con red /14</t>
  </si>
  <si>
    <t>TEC-009</t>
  </si>
  <si>
    <t>4 artifacts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</si>
  <si>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</si>
  <si>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</si>
  <si>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</si>
  <si>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</si>
  <si>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</si>
  <si>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</si>
  <si>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</si>
  <si>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</si>
  <si>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</si>
  <si>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</si>
  <si>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</si>
  <si>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</si>
  <si>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</si>
  <si>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</si>
  <si>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</si>
  <si>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</si>
  <si>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</si>
  <si>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</si>
  <si>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</si>
  <si>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</si>
  <si>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</si>
  <si>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</si>
  <si>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</si>
  <si>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</si>
  <si>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</si>
  <si>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</si>
  <si>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</si>
  <si>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</si>
  <si>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</si>
  <si>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</si>
  <si>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</si>
  <si>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</si>
  <si>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</si>
  <si>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</si>
  <si>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</si>
  <si>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</si>
  <si>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</si>
  <si>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</si>
  <si>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</si>
  <si>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</si>
  <si>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</si>
  <si>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</si>
  <si>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</si>
  <si>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</si>
  <si>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</si>
  <si>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</si>
  <si>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</si>
  <si>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</si>
  <si>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</si>
  <si>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</si>
  <si>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</si>
  <si>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</si>
  <si>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</si>
  <si>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</si>
  <si>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</si>
  <si>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</si>
  <si>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</si>
  <si>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</si>
  <si>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</si>
  <si>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</si>
  <si>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</si>
  <si>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</si>
  <si>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</si>
  <si>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</si>
  <si>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</si>
  <si>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</si>
  <si>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</si>
  <si>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</si>
  <si>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</si>
  <si>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</si>
  <si>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</si>
  <si>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</si>
  <si>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</si>
  <si>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</si>
  <si>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</si>
  <si>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</si>
  <si>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</si>
  <si>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</si>
  <si>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</si>
  <si>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</si>
  <si>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</si>
  <si>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</si>
  <si>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</si>
  <si>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</si>
  <si>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</si>
  <si>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</si>
  <si>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</si>
  <si>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</si>
  <si>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</si>
  <si>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</si>
  <si>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</si>
  <si>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</si>
  <si>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</si>
  <si>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</si>
  <si>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</si>
  <si>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</si>
  <si>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</si>
  <si>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</si>
  <si>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Detectado básico</t>
  </si>
  <si>
    <t>Positivo</t>
  </si>
  <si>
    <t>Windows Event Logs / Sysmon / Velociraptor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</si>
  <si>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</si>
  <si>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</si>
  <si>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</si>
  <si>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</si>
  <si>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</si>
  <si>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</si>
  <si>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</si>
  <si>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</si>
  <si>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Detectado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</si>
  <si>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</si>
  <si>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</si>
  <si>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</si>
  <si>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</si>
  <si>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</si>
  <si>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</si>
  <si>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</si>
  <si>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</si>
  <si>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</si>
  <si>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</si>
  <si>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</si>
  <si>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</si>
  <si>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</si>
  <si>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</si>
  <si>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</si>
  <si>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</si>
  <si>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</si>
  <si>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</si>
  <si>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</si>
  <si>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</si>
  <si>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</si>
  <si>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</si>
  <si>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</si>
  <si>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</si>
  <si>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</si>
  <si>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</si>
  <si>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</si>
  <si>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</si>
  <si>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</si>
  <si>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</si>
  <si>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</si>
  <si>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</si>
  <si>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</si>
  <si>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</si>
  <si>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</si>
  <si>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</si>
  <si>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</si>
  <si>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</si>
  <si>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</si>
  <si>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</si>
  <si>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</si>
  <si>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</si>
  <si>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</si>
  <si>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</si>
  <si>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</si>
  <si>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</si>
  <si>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</si>
  <si>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</si>
  <si>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</si>
  <si>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</si>
  <si>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</si>
  <si>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</si>
  <si>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</si>
  <si>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</si>
  <si>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</si>
  <si>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</si>
  <si>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</si>
  <si>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</si>
  <si>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</si>
  <si>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</si>
  <si>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</si>
  <si>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</si>
  <si>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</si>
  <si>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</si>
  <si>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</si>
  <si>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</si>
  <si>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</si>
  <si>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</si>
  <si>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</si>
  <si>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</si>
  <si>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</si>
  <si>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</si>
  <si>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</si>
  <si>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</si>
  <si>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</si>
  <si>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</si>
  <si>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</si>
  <si>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</si>
  <si>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</si>
  <si>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</si>
  <si>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</si>
  <si>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</si>
  <si>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</si>
  <si>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</si>
  <si>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</si>
  <si>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</si>
  <si>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</si>
  <si>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</si>
  <si>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</si>
  <si>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</si>
  <si>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</si>
  <si>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</si>
  <si>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</si>
  <si>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</si>
  <si>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</si>
  <si>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</si>
  <si>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</si>
  <si>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</si>
  <si>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</si>
  <si>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</si>
  <si>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</si>
  <si>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</si>
  <si>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</si>
  <si>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</si>
  <si>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</si>
  <si>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</si>
  <si>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</si>
  <si>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</si>
  <si>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</si>
  <si>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</si>
  <si>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</si>
  <si>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</si>
  <si>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</si>
  <si>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</si>
  <si>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</si>
  <si>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</si>
  <si>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</si>
  <si>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</si>
  <si>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</si>
  <si>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</si>
  <si>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</si>
  <si>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</si>
  <si>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</si>
  <si>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</si>
  <si>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</si>
  <si>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</si>
  <si>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</si>
  <si>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</si>
  <si>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</si>
  <si>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</si>
  <si>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</si>
  <si>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</si>
  <si>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</si>
  <si>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</si>
  <si>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</si>
  <si>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</si>
  <si>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</si>
  <si>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</si>
  <si>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</si>
  <si>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</si>
  <si>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</si>
  <si>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</si>
  <si>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</si>
  <si>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</si>
  <si>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</si>
  <si>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</si>
  <si>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</si>
  <si>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</si>
  <si>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</si>
  <si>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</si>
  <si>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</si>
  <si>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</si>
  <si>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</si>
  <si>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</si>
  <si>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</si>
  <si>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</si>
  <si>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</si>
  <si>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</si>
  <si>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</si>
  <si>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</si>
  <si>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</si>
  <si>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</si>
  <si>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</si>
  <si>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</si>
  <si>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</si>
  <si>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</si>
  <si>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</si>
  <si>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</si>
  <si>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</si>
  <si>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</si>
  <si>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</si>
  <si>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</si>
  <si>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</si>
  <si>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</si>
  <si>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</si>
  <si>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</si>
  <si>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</si>
  <si>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</si>
  <si>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</si>
  <si>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</si>
  <si>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</si>
  <si>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</si>
  <si>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</si>
  <si>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</si>
  <si>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</si>
  <si>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</si>
  <si>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</si>
  <si>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</si>
  <si>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</si>
  <si>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</si>
  <si>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</si>
  <si>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</si>
  <si>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</si>
  <si>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</si>
  <si>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</si>
  <si>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</si>
  <si>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</si>
  <si>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</si>
  <si>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</si>
  <si>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</si>
  <si>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</si>
  <si>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Resumen definitivo · evaluación de artifacts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</si>
  <si>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</si>
  <si>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</si>
  <si>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</si>
  <si>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</si>
  <si>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</si>
  <si>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</si>
  <si>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ETW.Monitoring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</si>
  <si>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</si>
  <si>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</si>
  <si>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</si>
  <si>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</si>
  <si>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</si>
  <si>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</si>
  <si>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</si>
  <si>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</si>
  <si>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Benchmark</t>
  </si>
  <si>
    <t>Por proceso</t>
  </si>
  <si>
    <t>B0-B8; CPU/RAM/I/O para velociraptor.exe, Sysmon64.exe y proceso de técnica</t>
  </si>
  <si>
    <t>Conclusión pública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</si>
  <si>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</si>
  <si>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</si>
  <si>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</si>
  <si>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</si>
  <si>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</si>
  <si>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</si>
  <si>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</si>
  <si>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</si>
  <si>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</si>
  <si>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</si>
  <si>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</si>
  <si>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</si>
  <si>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</si>
  <si>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</si>
  <si>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</si>
  <si>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</si>
  <si>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</si>
  <si>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</si>
  <si>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</si>
  <si>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</si>
  <si>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</si>
  <si>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</si>
  <si>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</si>
  <si>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</si>
  <si>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</si>
  <si>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</si>
  <si>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</si>
  <si>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</si>
  <si>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</si>
  <si>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</si>
  <si>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</si>
  <si>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</si>
  <si>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</si>
  <si>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</si>
  <si>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</si>
  <si>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</si>
  <si>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</si>
  <si>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</si>
  <si>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</si>
  <si>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</si>
  <si>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</si>
  <si>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</si>
  <si>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</si>
  <si>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</si>
  <si>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</si>
  <si>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</si>
  <si>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</si>
  <si>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</si>
  <si>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</si>
  <si>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</si>
  <si>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</si>
  <si>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</si>
  <si>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</si>
  <si>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</si>
  <si>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</si>
  <si>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</si>
  <si>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</si>
  <si>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</si>
  <si>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</si>
  <si>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</si>
  <si>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</si>
  <si>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</si>
  <si>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</si>
  <si>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</si>
  <si>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</si>
  <si>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</si>
  <si>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</si>
  <si>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</si>
  <si>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</si>
  <si>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</si>
  <si>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</si>
  <si>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</si>
  <si>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</si>
  <si>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</si>
  <si>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</si>
  <si>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</si>
  <si>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</si>
  <si>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</si>
  <si>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</si>
  <si>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</si>
  <si>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</si>
  <si>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</si>
  <si>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</si>
  <si>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</si>
  <si>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</si>
  <si>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</si>
  <si>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</si>
  <si>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</si>
  <si>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</si>
  <si>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</si>
  <si>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</si>
  <si>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</si>
  <si>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</si>
  <si>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</si>
  <si>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</si>
  <si>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</si>
  <si>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</si>
  <si>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</si>
  <si>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</si>
  <si>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</si>
  <si>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</si>
  <si>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</si>
  <si>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</si>
  <si>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</si>
  <si>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</si>
  <si>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</si>
  <si>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</si>
  <si>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</si>
  <si>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</si>
  <si>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</si>
  <si>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</si>
  <si>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</si>
  <si>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</si>
  <si>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</si>
  <si>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</si>
  <si>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</si>
  <si>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</si>
  <si>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</si>
  <si>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</si>
  <si>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</si>
  <si>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</si>
  <si>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</si>
  <si>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</si>
  <si>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</si>
  <si>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</si>
  <si>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</si>
  <si>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</si>
  <si>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</si>
  <si>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</si>
  <si>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</si>
  <si>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</si>
  <si>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</si>
  <si>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</si>
  <si>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</si>
  <si>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</si>
  <si>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</si>
  <si>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</si>
  <si>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</si>
  <si>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</si>
  <si>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</si>
  <si>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</si>
  <si>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</si>
  <si>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</si>
  <si>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</si>
  <si>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</si>
  <si>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</si>
  <si>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</si>
  <si>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</si>
  <si>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</si>
  <si>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</si>
  <si>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</si>
  <si>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</si>
  <si>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</si>
  <si>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</si>
  <si>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</si>
  <si>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</si>
  <si>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</si>
  <si>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</si>
  <si>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</si>
  <si>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</si>
  <si>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</si>
  <si>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</si>
  <si>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</si>
  <si>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</si>
  <si>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</si>
  <si>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</si>
  <si>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</si>
  <si>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</si>
  <si>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</si>
  <si>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</si>
  <si>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</si>
  <si>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</si>
  <si>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</si>
  <si>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</si>
  <si>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</si>
  <si>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</si>
  <si>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</si>
  <si>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</si>
  <si>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</si>
  <si>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</si>
  <si>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</si>
  <si>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</si>
  <si>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</si>
  <si>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</si>
  <si>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</si>
  <si>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</si>
  <si>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</si>
  <si>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</si>
  <si>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</si>
  <si>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</si>
  <si>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</si>
  <si>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</si>
  <si>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</si>
  <si>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</si>
  <si>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</si>
  <si>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</si>
  <si>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</si>
  <si>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</si>
  <si>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</si>
  <si>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</si>
  <si>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</si>
  <si>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</si>
  <si>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</si>
  <si>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</si>
  <si>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</si>
  <si>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</si>
  <si>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</si>
  <si>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</si>
  <si>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</si>
  <si>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</si>
  <si>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</si>
  <si>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</si>
  <si>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</si>
  <si>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</si>
  <si>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</si>
  <si>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</si>
  <si>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</si>
  <si>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</si>
  <si>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</si>
  <si>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</si>
  <si>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</si>
  <si>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</si>
  <si>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</si>
  <si>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</si>
  <si>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</si>
  <si>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</si>
  <si>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</si>
  <si>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</si>
  <si>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</si>
  <si>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</si>
  <si>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</si>
  <si>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</si>
  <si>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</si>
  <si>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CLIENT</t>
  </si>
  <si>
    <t>SERVER_EVENT</t>
  </si>
  <si>
    <t>P1 Critical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</si>
  <si>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</si>
  <si>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</si>
  <si>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</si>
  <si>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</si>
  <si>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</si>
  <si>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</si>
  <si>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</si>
  <si>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</si>
  <si>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</si>
  <si>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</si>
  <si>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</si>
  <si>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</si>
  <si>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</si>
  <si>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</si>
  <si>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</si>
  <si>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</si>
  <si>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</si>
  <si>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</si>
  <si>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</si>
  <si>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</si>
  <si>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</si>
  <si>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</si>
  <si>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</si>
  <si>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</si>
  <si>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</si>
  <si>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</si>
  <si>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</si>
  <si>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</si>
  <si>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</si>
  <si>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</si>
  <si>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</si>
  <si>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</si>
  <si>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</si>
  <si>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</si>
  <si>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</si>
  <si>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</si>
  <si>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</si>
  <si>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</si>
  <si>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</si>
  <si>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</si>
  <si>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</si>
  <si>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</si>
  <si>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</si>
  <si>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</si>
  <si>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</si>
  <si>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</si>
  <si>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</si>
  <si>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</si>
  <si>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</si>
  <si>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</si>
  <si>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</si>
  <si>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</si>
  <si>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</si>
  <si>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</si>
  <si>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</si>
  <si>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</si>
  <si>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</si>
  <si>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</si>
  <si>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</si>
  <si>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</si>
  <si>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</si>
  <si>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</si>
  <si>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</si>
  <si>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</si>
  <si>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</si>
  <si>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</si>
  <si>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</si>
  <si>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</si>
  <si>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</si>
  <si>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</si>
  <si>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</si>
  <si>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</si>
  <si>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</si>
  <si>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</si>
  <si>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</si>
  <si>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</si>
  <si>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</si>
  <si>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</si>
  <si>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</si>
  <si>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</si>
  <si>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</si>
  <si>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</si>
  <si>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</si>
  <si>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</si>
  <si>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</si>
  <si>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</si>
  <si>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</si>
  <si>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</si>
  <si>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</si>
  <si>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</si>
  <si>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</si>
  <si>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</si>
  <si>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</si>
  <si>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</si>
  <si>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</si>
  <si>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</si>
  <si>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</si>
  <si>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</si>
  <si>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</si>
  <si>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</si>
  <si>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</si>
  <si>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</si>
  <si>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</si>
  <si>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</si>
  <si>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</si>
  <si>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</si>
  <si>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</si>
  <si>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</si>
  <si>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</si>
  <si>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</si>
  <si>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</si>
  <si>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</si>
  <si>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</si>
  <si>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</si>
  <si>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</si>
  <si>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</si>
  <si>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</si>
  <si>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</si>
  <si>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</si>
  <si>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</si>
  <si>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</si>
  <si>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</si>
  <si>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</si>
  <si>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</si>
  <si>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</si>
  <si>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</si>
  <si>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</si>
  <si>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</si>
  <si>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</si>
  <si>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</si>
  <si>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</si>
  <si>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</si>
  <si>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</si>
  <si>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</si>
  <si>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</si>
  <si>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</si>
  <si>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</si>
  <si>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</si>
  <si>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</si>
  <si>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</si>
  <si>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</si>
  <si>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</si>
  <si>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</si>
  <si>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</si>
  <si>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</si>
  <si>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</si>
  <si>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</si>
  <si>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</si>
  <si>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</si>
  <si>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</si>
  <si>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</si>
  <si>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</si>
  <si>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</si>
  <si>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</si>
  <si>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</si>
  <si>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</si>
  <si>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</si>
  <si>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</si>
  <si>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</si>
  <si>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</si>
  <si>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</si>
  <si>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</si>
  <si>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</si>
  <si>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</si>
  <si>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</si>
  <si>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</si>
  <si>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</si>
  <si>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</si>
  <si>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</si>
  <si>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</si>
  <si>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</si>
  <si>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</si>
  <si>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</si>
  <si>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</si>
  <si>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</si>
  <si>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</si>
  <si>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</si>
  <si>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</si>
  <si>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</si>
  <si>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</si>
  <si>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</si>
  <si>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</si>
  <si>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</si>
  <si>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</si>
  <si>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</si>
  <si>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</si>
  <si>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</si>
  <si>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</si>
  <si>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</si>
  <si>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</si>
  <si>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</si>
  <si>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</si>
  <si>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</si>
  <si>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</si>
  <si>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</si>
  <si>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</si>
  <si>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</si>
  <si>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</si>
  <si>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</si>
  <si>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</si>
  <si>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</si>
  <si>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</si>
  <si>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</si>
  <si>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</si>
  <si>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</si>
  <si>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</si>
  <si>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</si>
  <si>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</si>
  <si>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</si>
  <si>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</si>
  <si>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</si>
  <si>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</si>
  <si>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</si>
  <si>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</si>
  <si>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</si>
  <si>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</si>
  <si>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</si>
  <si>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</si>
  <si>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</si>
  <si>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</si>
  <si>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</si>
  <si>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</si>
  <si>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</si>
  <si>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</si>
  <si>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</si>
  <si>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</si>
  <si>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</si>
  <si>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</si>
  <si>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</si>
  <si>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</si>
  <si>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</si>
  <si>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</si>
  <si>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</si>
  <si>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</si>
  <si>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</si>
  <si>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</si>
  <si>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</si>
  <si>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</si>
  <si>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</si>
  <si>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</si>
  <si>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</si>
  <si>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</si>
  <si>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</si>
  <si>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</si>
  <si>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</si>
  <si>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</si>
  <si>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</si>
  <si>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</si>
  <si>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</si>
  <si>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</si>
  <si>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</si>
  <si>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</si>
  <si>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</si>
  <si>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</si>
  <si>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</si>
  <si>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</si>
  <si>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</si>
  <si>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</si>
  <si>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</si>
  <si>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</si>
  <si>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</si>
  <si>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</si>
  <si>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</si>
  <si>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</si>
  <si>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</si>
  <si>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</si>
  <si>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</si>
  <si>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</si>
  <si>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</si>
  <si>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</si>
  <si>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</si>
  <si>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</si>
  <si>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</si>
  <si>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</si>
  <si>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</si>
  <si>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</si>
  <si>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</si>
  <si>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</si>
  <si>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</si>
  <si>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</si>
  <si>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</si>
  <si>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</si>
  <si>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</si>
  <si>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</si>
  <si>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</si>
  <si>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</si>
  <si>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</si>
  <si>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</si>
  <si>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</si>
  <si>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</si>
  <si>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</si>
  <si>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</si>
  <si>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</si>
  <si>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</si>
  <si>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</si>
  <si>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</si>
  <si>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</si>
  <si>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</si>
  <si>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</si>
  <si>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</si>
  <si>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</si>
  <si>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</si>
  <si>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</si>
  <si>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</si>
  <si>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</si>
  <si>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</si>
  <si>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</si>
  <si>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</si>
  <si>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</si>
  <si>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</si>
  <si>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</si>
  <si>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</si>
  <si>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</si>
  <si>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</si>
  <si>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</si>
  <si>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</si>
  <si>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</si>
  <si>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</si>
  <si>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</si>
  <si>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</si>
  <si>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</si>
  <si>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</si>
  <si>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</si>
  <si>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</si>
  <si>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</si>
  <si>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</si>
  <si>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</si>
  <si>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</si>
  <si>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</si>
  <si>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</si>
  <si>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</si>
  <si>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</si>
  <si>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</si>
  <si>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</si>
  <si>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</si>
  <si>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</si>
  <si>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</si>
  <si>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</si>
  <si>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</si>
  <si>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</si>
  <si>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</si>
  <si>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</si>
  <si>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</si>
  <si>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</si>
  <si>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</si>
  <si>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</si>
  <si>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</si>
  <si>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</si>
  <si>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</si>
  <si>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</si>
  <si>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</si>
  <si>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</si>
  <si>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</si>
  <si>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</si>
  <si>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</si>
  <si>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</si>
  <si>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</si>
  <si>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</si>
  <si>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</si>
  <si>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</si>
  <si>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</si>
  <si>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</si>
  <si>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</si>
  <si>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</si>
  <si>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</si>
  <si>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</si>
  <si>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</si>
  <si>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</si>
  <si>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</si>
  <si>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</si>
  <si>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</si>
  <si>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</si>
  <si>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</si>
  <si>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</si>
  <si>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</si>
  <si>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</si>
  <si>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</si>
  <si>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</si>
  <si>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</si>
  <si>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</si>
  <si>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</si>
  <si>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</si>
  <si>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</si>
  <si>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</si>
  <si>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</si>
  <si>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</si>
  <si>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</si>
  <si>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</si>
  <si>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</si>
  <si>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</si>
  <si>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</si>
  <si>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</si>
  <si>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</si>
  <si>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</si>
  <si>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</si>
  <si>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</si>
  <si>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</si>
  <si>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</si>
  <si>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</si>
  <si>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</si>
  <si>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</si>
  <si>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</si>
  <si>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</si>
  <si>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</si>
  <si>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</si>
  <si>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</si>
  <si>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</si>
  <si>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</si>
  <si>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</si>
  <si>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</si>
  <si>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</si>
  <si>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</si>
  <si>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</si>
  <si>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</si>
  <si>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</si>
  <si>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</si>
  <si>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</si>
  <si>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</si>
  <si>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</si>
  <si>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</si>
  <si>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</si>
  <si>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</si>
  <si>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</si>
  <si>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</si>
  <si>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</si>
  <si>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</si>
  <si>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</si>
  <si>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</si>
  <si>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</si>
  <si>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</si>
  <si>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</si>
  <si>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</si>
  <si>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</si>
  <si>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</si>
  <si>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</si>
  <si>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</si>
  <si>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</si>
  <si>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</si>
  <si>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</si>
  <si>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</si>
  <si>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</si>
  <si>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</si>
  <si>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</si>
  <si>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</si>
  <si>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</si>
  <si>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</si>
  <si>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</si>
  <si>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</si>
  <si>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</si>
  <si>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</si>
  <si>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</si>
  <si>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</si>
  <si>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</si>
  <si>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</si>
  <si>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</si>
  <si>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</si>
  <si>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</si>
  <si>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</si>
  <si>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</si>
  <si>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</si>
  <si>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</si>
  <si>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</si>
  <si>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</si>
  <si>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</si>
  <si>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</si>
  <si>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</si>
  <si>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</si>
  <si>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</si>
  <si>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</si>
  <si>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</si>
  <si>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</si>
  <si>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</si>
  <si>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</si>
  <si>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</si>
  <si>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</si>
  <si>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</si>
  <si>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</si>
  <si>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</si>
  <si>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</si>
  <si>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</si>
  <si>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</si>
  <si>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</si>
  <si>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</si>
  <si>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</si>
  <si>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</si>
  <si>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</si>
  <si>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</si>
  <si>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</si>
  <si>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</si>
  <si>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</si>
  <si>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</si>
  <si>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</si>
  <si>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</si>
  <si>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</si>
  <si>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</si>
  <si>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</si>
  <si>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</si>
  <si>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</si>
  <si>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</si>
  <si>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</si>
  <si>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</si>
  <si>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</si>
  <si>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</si>
  <si>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</si>
  <si>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</si>
  <si>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</si>
  <si>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</si>
  <si>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</si>
  <si>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</si>
  <si>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</si>
  <si>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</si>
  <si>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</si>
  <si>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</si>
  <si>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</si>
  <si>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</si>
  <si>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</si>
  <si>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</si>
  <si>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</si>
  <si>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</si>
  <si>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</si>
  <si>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</si>
  <si>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</si>
  <si>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</si>
  <si>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</si>
  <si>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</si>
  <si>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</si>
  <si>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</si>
  <si>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</si>
  <si>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</si>
  <si>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</si>
  <si>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</si>
  <si>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</si>
  <si>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</si>
  <si>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</si>
  <si>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</si>
  <si>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</si>
  <si>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</si>
  <si>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</si>
  <si>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</si>
  <si>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</si>
  <si>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</si>
  <si>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</si>
  <si>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</si>
  <si>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</si>
  <si>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</si>
  <si>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</si>
  <si>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</si>
  <si>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</si>
  <si>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</si>
  <si>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</si>
  <si>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</si>
  <si>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</si>
  <si>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</si>
  <si>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</si>
  <si>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</si>
  <si>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</si>
  <si>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</si>
  <si>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</si>
  <si>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</si>
  <si>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</si>
  <si>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</si>
  <si>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</si>
  <si>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</si>
  <si>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</si>
  <si>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</si>
  <si>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</si>
  <si>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</si>
  <si>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</si>
  <si>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</si>
  <si>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</si>
  <si>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</si>
  <si>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</si>
  <si>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</si>
  <si>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</si>
  <si>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</si>
  <si>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</si>
  <si>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</si>
  <si>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</si>
  <si>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</si>
  <si>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</si>
  <si>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</si>
  <si>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</si>
  <si>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</si>
  <si>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</si>
  <si>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</si>
  <si>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</si>
  <si>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</si>
  <si>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</si>
  <si>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</si>
  <si>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</si>
  <si>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</si>
  <si>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</si>
  <si>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</si>
  <si>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</si>
  <si>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</si>
  <si>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</si>
  <si>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</si>
  <si>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</si>
  <si>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</si>
  <si>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</si>
  <si>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</si>
  <si>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</si>
  <si>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</si>
  <si>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</si>
  <si>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</si>
  <si>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</si>
  <si>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</si>
  <si>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</si>
  <si>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</si>
  <si>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</si>
  <si>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</si>
  <si>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</si>
  <si>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</si>
  <si>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</si>
  <si>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</si>
  <si>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</si>
  <si>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</si>
  <si>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</si>
  <si>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</si>
  <si>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</si>
  <si>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</si>
  <si>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</si>
  <si>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</si>
  <si>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</si>
  <si>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</si>
  <si>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</si>
  <si>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</si>
  <si>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</si>
  <si>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</si>
  <si>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</si>
  <si>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</si>
  <si>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</si>
  <si>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</si>
  <si>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</si>
  <si>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</si>
  <si>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</si>
  <si>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</si>
  <si>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</si>
  <si>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</si>
  <si>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</si>
  <si>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</si>
  <si>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</si>
  <si>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</si>
  <si>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</si>
  <si>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</si>
  <si>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</si>
  <si>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</si>
  <si>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</si>
  <si>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</si>
  <si>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</si>
  <si>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</si>
  <si>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</si>
  <si>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</si>
  <si>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</si>
  <si>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</si>
  <si>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</si>
  <si>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</si>
  <si>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</si>
  <si>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</si>
  <si>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</si>
  <si>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</si>
  <si>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</si>
  <si>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</si>
  <si>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</si>
  <si>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</si>
  <si>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</si>
  <si>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</si>
  <si>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</si>
  <si>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</si>
  <si>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</si>
  <si>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</si>
  <si>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</si>
  <si>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</si>
  <si>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</si>
  <si>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</si>
  <si>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</si>
  <si>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</si>
  <si>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</si>
  <si>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</si>
  <si>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</si>
  <si>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</si>
  <si>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</si>
  <si>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</si>
  <si>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</si>
  <si>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</si>
  <si>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</si>
  <si>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</si>
  <si>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</si>
  <si>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</si>
  <si>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</si>
  <si>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</si>
  <si>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</si>
  <si>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</si>
  <si>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</si>
  <si>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</si>
  <si>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</si>
  <si>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</si>
  <si>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</si>
  <si>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</si>
  <si>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</si>
  <si>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</si>
  <si>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</si>
  <si>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</si>
  <si>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</si>
  <si>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</si>
  <si>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</si>
  <si>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</si>
  <si>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</si>
  <si>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</si>
  <si>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</si>
  <si>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</si>
  <si>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</si>
  <si>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</si>
  <si>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</si>
  <si>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</si>
  <si>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</si>
  <si>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</si>
  <si>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</si>
  <si>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</si>
  <si>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</si>
  <si>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</si>
  <si>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</si>
  <si>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</si>
  <si>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</si>
  <si>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</si>
  <si>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</si>
  <si>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</si>
  <si>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</si>
  <si>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</si>
  <si>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</si>
  <si>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</si>
  <si>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</si>
  <si>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</si>
  <si>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</si>
  <si>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</si>
  <si>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</si>
  <si>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</si>
  <si>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</si>
  <si>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</si>
  <si>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</si>
  <si>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</si>
  <si>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</si>
  <si>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</si>
  <si>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</si>
  <si>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</si>
  <si>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</si>
  <si>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</si>
  <si>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</si>
  <si>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</si>
  <si>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</si>
  <si>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</si>
  <si>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</si>
  <si>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</si>
  <si>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</si>
  <si>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</si>
  <si>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</si>
  <si>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</si>
  <si>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</si>
  <si>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</si>
  <si>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</si>
  <si>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</si>
  <si>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</si>
  <si>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</si>
  <si>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</si>
  <si>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</si>
  <si>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</si>
  <si>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</si>
  <si>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</si>
  <si>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</si>
  <si>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</si>
  <si>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</si>
  <si>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</si>
  <si>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</si>
  <si>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</si>
  <si>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</si>
  <si>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</si>
  <si>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</si>
  <si>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</si>
  <si>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</si>
  <si>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</si>
  <si>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</si>
  <si>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</si>
  <si>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</si>
  <si>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</si>
  <si>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</si>
  <si>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</si>
  <si>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</si>
  <si>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</si>
  <si>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</si>
  <si>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</si>
  <si>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</si>
  <si>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</si>
  <si>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</si>
  <si>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</si>
  <si>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</si>
  <si>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</si>
  <si>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</si>
  <si>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</si>
  <si>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</si>
  <si>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</si>
  <si>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</si>
  <si>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</si>
  <si>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</si>
  <si>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</si>
  <si>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</si>
  <si>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</si>
  <si>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</si>
  <si>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</si>
  <si>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</si>
  <si>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</si>
  <si>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</si>
  <si>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</si>
  <si>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</si>
  <si>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</si>
  <si>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</si>
  <si>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</si>
  <si>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</si>
  <si>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</si>
  <si>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</si>
  <si>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</si>
  <si>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</si>
  <si>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</si>
  <si>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</si>
  <si>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</si>
  <si>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</si>
  <si>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</si>
  <si>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</si>
  <si>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</si>
  <si>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</si>
  <si>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</si>
  <si>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</si>
  <si>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</si>
  <si>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</si>
  <si>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</si>
  <si>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</si>
  <si>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</si>
  <si>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</si>
  <si>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</si>
  <si>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</si>
  <si>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</si>
  <si>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</si>
  <si>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</si>
  <si>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</si>
  <si>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</si>
  <si>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</si>
  <si>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</si>
  <si>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</si>
  <si>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</si>
  <si>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</si>
  <si>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</si>
  <si>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</si>
  <si>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</si>
  <si>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</si>
  <si>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</si>
  <si>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</si>
  <si>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</si>
  <si>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</si>
  <si>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</si>
  <si>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</si>
  <si>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</si>
  <si>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</si>
  <si>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</si>
  <si>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</si>
  <si>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</si>
  <si>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</si>
  <si>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</si>
  <si>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</si>
  <si>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</si>
  <si>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</si>
  <si>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</si>
  <si>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</si>
  <si>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</si>
  <si>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</si>
  <si>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</si>
  <si>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</si>
  <si>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</si>
  <si>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</si>
  <si>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</si>
  <si>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</si>
  <si>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</si>
  <si>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</si>
  <si>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</si>
  <si>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</si>
  <si>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</si>
  <si>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</si>
  <si>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</si>
  <si>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</si>
  <si>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</si>
  <si>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</si>
  <si>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</si>
  <si>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</si>
  <si>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</si>
  <si>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</si>
  <si>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</si>
  <si>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</si>
  <si>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</si>
  <si>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</si>
  <si>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</si>
  <si>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</si>
  <si>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</si>
  <si>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</si>
  <si>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</si>
  <si>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</si>
  <si>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</si>
  <si>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</si>
  <si>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</si>
  <si>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</si>
  <si>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</si>
  <si>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</si>
  <si>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</si>
  <si>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</si>
  <si>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</si>
  <si>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</si>
  <si>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</si>
  <si>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</si>
  <si>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</si>
  <si>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</si>
  <si>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</si>
  <si>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</si>
  <si>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</si>
  <si>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</si>
  <si>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</si>
  <si>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</si>
  <si>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</si>
  <si>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</si>
  <si>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</si>
  <si>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</si>
  <si>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</si>
  <si>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</si>
  <si>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</si>
  <si>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</si>
  <si>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</si>
  <si>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</si>
  <si>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</si>
  <si>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</si>
  <si>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</si>
  <si>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</si>
  <si>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</si>
  <si>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</si>
  <si>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</si>
  <si>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</si>
  <si>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</si>
  <si>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</si>
  <si>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</si>
  <si>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</si>
  <si>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</si>
  <si>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</si>
  <si>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</si>
  <si>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</si>
  <si>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</si>
  <si>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</si>
  <si>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</si>
  <si>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</si>
  <si>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</si>
  <si>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</si>
  <si>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</si>
  <si>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</si>
  <si>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</si>
  <si>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</si>
  <si>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</si>
  <si>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</si>
  <si>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</si>
  <si>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</si>
  <si>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</si>
  <si>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</si>
  <si>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</si>
  <si>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</si>
  <si>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</si>
  <si>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</si>
  <si>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</si>
  <si>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</si>
  <si>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</si>
  <si>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</si>
  <si>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</si>
  <si>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</si>
  <si>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</si>
  <si>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</si>
  <si>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</si>
  <si>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</si>
  <si>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</si>
  <si>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</si>
  <si>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</si>
  <si>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</si>
  <si>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</si>
  <si>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</si>
  <si>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</si>
  <si>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</si>
  <si>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</si>
  <si>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</si>
  <si>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</si>
  <si>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</si>
  <si>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</si>
  <si>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</si>
  <si>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</si>
  <si>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</si>
  <si>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</si>
  <si>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</si>
  <si>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</si>
  <si>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</si>
  <si>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</si>
  <si>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</si>
  <si>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</si>
  <si>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</si>
  <si>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</si>
  <si>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</si>
  <si>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</si>
  <si>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</si>
  <si>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</si>
  <si>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</si>
  <si>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</si>
  <si>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</si>
  <si>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</si>
  <si>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</si>
  <si>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</si>
  <si>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</si>
  <si>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</si>
  <si>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</si>
  <si>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</si>
  <si>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</si>
  <si>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</si>
  <si>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</si>
  <si>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</si>
  <si>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</si>
  <si>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</si>
  <si>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</si>
  <si>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</si>
  <si>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</si>
  <si>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</si>
  <si>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</si>
  <si>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</si>
  <si>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</si>
  <si>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</si>
  <si>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</si>
  <si>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</si>
  <si>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</si>
  <si>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</si>
  <si>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</si>
  <si>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</si>
  <si>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</si>
  <si>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</si>
  <si>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</si>
  <si>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</si>
  <si>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</si>
  <si>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</si>
  <si>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</si>
  <si>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</si>
  <si>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</si>
  <si>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</si>
  <si>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</si>
  <si>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</si>
  <si>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</si>
  <si>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</si>
  <si>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</si>
  <si>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</si>
  <si>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</si>
  <si>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</si>
  <si>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</si>
  <si>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</si>
  <si>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</si>
  <si>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</si>
  <si>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</si>
  <si>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</si>
  <si>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</si>
  <si>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</si>
  <si>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</si>
  <si>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</si>
  <si>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</si>
  <si>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</si>
  <si>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</si>
  <si>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</si>
  <si>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</si>
  <si>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</si>
  <si>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</si>
  <si>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</si>
  <si>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</si>
  <si>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</si>
  <si>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</si>
  <si>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</si>
  <si>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</si>
  <si>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</si>
  <si>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</si>
  <si>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</si>
  <si>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</si>
  <si>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</si>
  <si>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</si>
  <si>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</si>
  <si>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</si>
  <si>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</si>
  <si>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</si>
  <si>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</si>
  <si>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</si>
  <si>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</si>
  <si>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</si>
  <si>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</si>
  <si>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</si>
  <si>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</si>
  <si>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</si>
  <si>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</si>
  <si>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</si>
  <si>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</si>
  <si>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</si>
  <si>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</si>
  <si>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</si>
  <si>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</si>
  <si>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Ruido/FP</t>
  </si>
  <si>
    <t>Heatmap visibilidad por TEC y fuente</t>
  </si>
  <si>
    <t>cobertura y gaps</t>
  </si>
  <si>
    <t>Cobertura global</t>
  </si>
  <si>
    <t>P2, P3, P4</t>
  </si>
  <si>
    <t>P1, P2, P3, P4</t>
  </si>
  <si>
    <t>P2, P3</t>
  </si>
  <si>
    <t>P1, P2, P3</t>
  </si>
  <si>
    <t>Custom</t>
  </si>
  <si>
    <t>Client_Event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</si>
  <si>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</si>
  <si>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</si>
  <si>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</si>
  <si>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</si>
  <si>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</si>
  <si>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</si>
  <si>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</si>
  <si>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</si>
  <si>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</si>
  <si>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</si>
  <si>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Dashboard definitivo · Velociraptor HIDS/DFIR</t>
  </si>
  <si>
    <t>Cierre 12/07/2026: custom P1-P4, artifacts públicos, falsos positivos y Wazuh; capas metodológicas separadas.</t>
  </si>
  <si>
    <t>Campañas públicas ejecutadas</t>
  </si>
  <si>
    <t>Seis artifacts públicos con ventanas TEC/FP trazables.</t>
  </si>
  <si>
    <t>Campañas positivas</t>
  </si>
  <si>
    <t>ProcessCreation, ServiceCreation, SysmonLogForward, Hayabusa.Monitoring CH y TrackNetworkConnections.</t>
  </si>
  <si>
    <t>Negativos válidos</t>
  </si>
  <si>
    <t>Ninguna campaña cumple todos los requisitos para este estado.</t>
  </si>
  <si>
    <t>No concluyentes</t>
  </si>
  <si>
    <t>ETW: faltan runner/log/summary TEC y manifiesto de parámetros.</t>
  </si>
  <si>
    <t>Eventos públicos TEC canónicos</t>
  </si>
  <si>
    <t>Deduplicados y filtrados por ventana; 521 filas raw en ventana. Capas heterogéneas, no sumar como detecciones.</t>
  </si>
  <si>
    <t>Filas públicas FP en ventana</t>
  </si>
  <si>
    <t>Telemetría/coincidencias observadas; no equivalen todas a falsos positivos.</t>
  </si>
  <si>
    <t>FP Hayabusa CH</t>
  </si>
  <si>
    <t>4 matches / 1 caso</t>
  </si>
  <si>
    <t>Cuatro high, cero critical; tres eventos subyacentes, todos ligados a FP-003 benigno.</t>
  </si>
  <si>
    <t>Visibilidad pública por TEC</t>
  </si>
  <si>
    <t>9/9</t>
  </si>
  <si>
    <t>ProcessCreation y fuentes forenses aportan telemetría; no implica detección.</t>
  </si>
  <si>
    <t>Detección pública CH específica</t>
  </si>
  <si>
    <t>3/9</t>
  </si>
  <si>
    <t>TEC-001, TEC-003 y TEC-005 con coincidencias high; no existe campaña CHM separada.</t>
  </si>
  <si>
    <t>Detección custom CLIENT_EVENT</t>
  </si>
  <si>
    <t>P1/P2/P3/P4; 379 filas consolidadas.</t>
  </si>
  <si>
    <t>HTTP 200 confirmado</t>
  </si>
  <si>
    <t>Runner: UploadSucceeded=True, ZIP 6245 B y SHA-256; TrackNetwork observa destino sin PID/proceso atribuible.</t>
  </si>
  <si>
    <t>Campaña final pública cerrada el 12/07/2026; detalle y fuentes integrados.</t>
  </si>
  <si>
    <t>Resultados FP custom y públicos; separar telemetría de detección injustificada.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</si>
  <si>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</si>
  <si>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</si>
  <si>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</si>
  <si>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</si>
  <si>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</si>
  <si>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</si>
  <si>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</si>
  <si>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</si>
  <si>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</si>
  <si>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</si>
  <si>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</si>
  <si>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</si>
  <si>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</si>
  <si>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</si>
  <si>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</si>
  <si>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</si>
  <si>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</si>
  <si>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</si>
  <si>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</si>
  <si>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</si>
  <si>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</si>
  <si>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</si>
  <si>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</si>
  <si>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</si>
  <si>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</si>
  <si>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</si>
  <si>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</si>
  <si>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</si>
  <si>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</si>
  <si>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</si>
  <si>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</si>
  <si>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</si>
  <si>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</si>
  <si>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</si>
  <si>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</si>
  <si>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</si>
  <si>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</si>
  <si>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</si>
  <si>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</si>
  <si>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</si>
  <si>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</si>
  <si>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</si>
  <si>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</si>
  <si>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</si>
  <si>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</si>
  <si>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</si>
  <si>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</si>
  <si>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</si>
  <si>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</si>
  <si>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</si>
  <si>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</si>
  <si>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</si>
  <si>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</si>
  <si>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</si>
  <si>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</si>
  <si>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</si>
  <si>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</si>
  <si>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</si>
  <si>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</si>
  <si>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</si>
  <si>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</si>
  <si>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</si>
  <si>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</si>
  <si>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</si>
  <si>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</si>
  <si>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</si>
  <si>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</si>
  <si>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</si>
  <si>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</si>
  <si>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</si>
  <si>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</si>
  <si>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</si>
  <si>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</si>
  <si>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</si>
  <si>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</si>
  <si>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</si>
  <si>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</si>
  <si>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</si>
  <si>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</si>
  <si>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</si>
  <si>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</si>
  <si>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</si>
  <si>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</si>
  <si>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</si>
  <si>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</si>
  <si>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</si>
  <si>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</si>
  <si>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</si>
  <si>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</si>
  <si>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</si>
  <si>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</si>
  <si>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</si>
  <si>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</si>
  <si>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</si>
  <si>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</si>
  <si>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</si>
  <si>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</si>
  <si>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</si>
  <si>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</si>
  <si>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</si>
  <si>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</si>
  <si>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</si>
  <si>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</si>
  <si>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</si>
  <si>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</si>
  <si>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</si>
  <si>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</si>
  <si>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</si>
  <si>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</si>
  <si>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</si>
  <si>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</si>
  <si>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</si>
  <si>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</si>
  <si>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</si>
  <si>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</si>
  <si>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</si>
  <si>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</si>
  <si>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</si>
  <si>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</si>
  <si>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</si>
  <si>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</si>
  <si>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</si>
  <si>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</si>
  <si>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</si>
  <si>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</si>
  <si>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</si>
  <si>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</si>
  <si>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</si>
  <si>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</si>
  <si>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</si>
  <si>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</si>
  <si>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</si>
  <si>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</si>
  <si>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</si>
  <si>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</si>
  <si>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</si>
  <si>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</si>
  <si>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</si>
  <si>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</si>
  <si>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</si>
  <si>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</si>
  <si>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</si>
  <si>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</si>
  <si>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</si>
  <si>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</si>
  <si>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</si>
  <si>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</si>
  <si>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</si>
  <si>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</si>
  <si>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</si>
  <si>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</si>
  <si>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</si>
  <si>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</si>
  <si>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</si>
  <si>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</si>
  <si>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</si>
  <si>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</si>
  <si>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</si>
  <si>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</si>
  <si>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</si>
  <si>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</si>
  <si>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</si>
  <si>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</si>
  <si>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</si>
  <si>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</si>
  <si>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</si>
  <si>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</si>
  <si>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</si>
  <si>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</si>
  <si>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</si>
  <si>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</si>
  <si>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</si>
  <si>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</si>
  <si>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</si>
  <si>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</si>
  <si>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</si>
  <si>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</si>
  <si>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</si>
  <si>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</si>
  <si>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</si>
  <si>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</si>
  <si>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</si>
  <si>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</si>
  <si>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</si>
  <si>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</si>
  <si>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</si>
  <si>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</si>
  <si>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</si>
  <si>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</si>
  <si>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</si>
  <si>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</si>
  <si>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</si>
  <si>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</si>
  <si>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</si>
  <si>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</si>
  <si>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Hayabusa.Monitoring CH es el único artifact público con detección por reglas; alcanza 3/9 TEC. ServiceCreation aporta visibilidad 7045.</t>
  </si>
  <si>
    <t>ProcessCreation, SysmonLogForward y TrackNetwork aportan visibilidad/forense; no detección por sí solos.</t>
  </si>
  <si>
    <t>0 coincidencias, pero faltan runner/log/summary TEC y manifiesto de parámetros; no se clasifica como negativo válido.</t>
  </si>
  <si>
    <t>HTTP 200 confirmado por runner</t>
  </si>
  <si>
    <t>UploadSucceeded=True; ZIP 6245 B; SHA-256 y ReceiverResponse coinciden. TrackNetwork observa destino sin PID/proceso.</t>
  </si>
  <si>
    <t>5 positivos / 1 no concluyente</t>
  </si>
  <si>
    <t>Públicos: visibilidad 9/9; detección CH específica 3/9; 4 FP high en 1 caso benigno.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</si>
  <si>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</si>
  <si>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</si>
  <si>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</si>
  <si>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</si>
  <si>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</si>
  <si>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</si>
  <si>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</si>
  <si>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</si>
  <si>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</si>
  <si>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</si>
  <si>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</si>
  <si>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</si>
  <si>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</si>
  <si>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</si>
  <si>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</si>
  <si>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</si>
  <si>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</si>
  <si>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</si>
  <si>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</si>
  <si>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</si>
  <si>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</si>
  <si>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</si>
  <si>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</si>
  <si>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</si>
  <si>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</si>
  <si>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</si>
  <si>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</si>
  <si>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</si>
  <si>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</si>
  <si>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</si>
  <si>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</si>
  <si>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</si>
  <si>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</si>
  <si>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</si>
  <si>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</si>
  <si>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</si>
  <si>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</si>
  <si>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</si>
  <si>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</si>
  <si>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</si>
  <si>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</si>
  <si>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</si>
  <si>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</si>
  <si>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</si>
  <si>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</si>
  <si>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</si>
  <si>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</si>
  <si>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</si>
  <si>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</si>
  <si>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</si>
  <si>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</si>
  <si>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</si>
  <si>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</si>
  <si>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</si>
  <si>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</si>
  <si>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</si>
  <si>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</si>
  <si>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</si>
  <si>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</si>
  <si>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</si>
  <si>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</si>
  <si>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</si>
  <si>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</si>
  <si>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</si>
  <si>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</si>
  <si>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</si>
  <si>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</si>
  <si>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</si>
  <si>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</si>
  <si>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</si>
  <si>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</si>
  <si>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</si>
  <si>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</si>
  <si>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</si>
  <si>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</si>
  <si>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</si>
  <si>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</si>
  <si>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</si>
  <si>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</si>
  <si>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</si>
  <si>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</si>
  <si>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</si>
  <si>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</si>
  <si>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</si>
  <si>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</si>
  <si>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</si>
  <si>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</si>
  <si>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</si>
  <si>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</si>
  <si>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</si>
  <si>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</si>
  <si>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</si>
  <si>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</si>
  <si>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</si>
  <si>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</si>
  <si>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</si>
  <si>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</si>
  <si>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</si>
  <si>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</si>
  <si>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</si>
  <si>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</si>
  <si>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</si>
  <si>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</si>
  <si>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</si>
  <si>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</si>
  <si>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</si>
  <si>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</si>
  <si>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</si>
  <si>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</si>
  <si>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</si>
  <si>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</si>
  <si>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</si>
  <si>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</si>
  <si>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</si>
  <si>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</si>
  <si>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</si>
  <si>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</si>
  <si>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</si>
  <si>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</si>
  <si>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</si>
  <si>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</si>
  <si>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</si>
  <si>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</si>
  <si>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</si>
  <si>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</si>
  <si>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</si>
  <si>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</si>
  <si>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</si>
  <si>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</si>
  <si>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</si>
  <si>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</si>
  <si>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</si>
  <si>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</si>
  <si>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</si>
  <si>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</si>
  <si>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</si>
  <si>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</si>
  <si>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</si>
  <si>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</si>
  <si>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</si>
  <si>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</si>
  <si>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</si>
  <si>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</si>
  <si>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</si>
  <si>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</si>
  <si>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</si>
  <si>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</si>
  <si>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</si>
  <si>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</si>
  <si>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</si>
  <si>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</si>
  <si>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</si>
  <si>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</si>
  <si>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</si>
  <si>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</si>
  <si>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</si>
  <si>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</si>
  <si>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</si>
  <si>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</si>
  <si>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</si>
  <si>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</si>
  <si>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</si>
  <si>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</si>
  <si>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</si>
  <si>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</si>
  <si>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</si>
  <si>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</si>
  <si>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</si>
  <si>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</si>
  <si>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</si>
  <si>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</si>
  <si>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</si>
  <si>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</si>
  <si>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</si>
  <si>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</si>
  <si>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</si>
  <si>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</si>
  <si>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</si>
  <si>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</si>
  <si>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</si>
  <si>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</si>
  <si>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</si>
  <si>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</si>
  <si>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</si>
  <si>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</si>
  <si>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</si>
  <si>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</si>
  <si>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</si>
  <si>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</si>
  <si>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</si>
  <si>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</si>
  <si>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</si>
  <si>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</si>
  <si>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</si>
  <si>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</si>
  <si>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</si>
  <si>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</si>
  <si>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</si>
  <si>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</si>
  <si>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</si>
  <si>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</si>
  <si>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</si>
  <si>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</si>
  <si>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</si>
  <si>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</si>
  <si>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</si>
  <si>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</si>
  <si>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</si>
  <si>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</si>
  <si>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</si>
  <si>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</si>
  <si>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</si>
  <si>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</si>
  <si>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</si>
  <si>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</si>
  <si>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</si>
  <si>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</si>
  <si>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</si>
  <si>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</si>
  <si>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</si>
  <si>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</si>
  <si>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</si>
  <si>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</si>
  <si>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</si>
  <si>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</si>
  <si>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</si>
  <si>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</si>
  <si>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</si>
  <si>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</si>
  <si>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</si>
  <si>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</si>
  <si>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</si>
  <si>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</si>
  <si>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</si>
  <si>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</si>
  <si>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</si>
  <si>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</si>
  <si>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</si>
  <si>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</si>
  <si>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</si>
  <si>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</si>
  <si>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</si>
  <si>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</si>
  <si>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</si>
  <si>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</si>
  <si>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</si>
  <si>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</si>
  <si>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</si>
  <si>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</si>
  <si>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</si>
  <si>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</si>
  <si>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</si>
  <si>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</si>
  <si>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</si>
  <si>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</si>
  <si>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</si>
  <si>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</si>
  <si>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</si>
  <si>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</si>
  <si>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</si>
  <si>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</si>
  <si>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</si>
  <si>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</si>
  <si>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</si>
  <si>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</si>
  <si>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</si>
  <si>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</si>
  <si>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</si>
  <si>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</si>
  <si>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</si>
  <si>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</si>
  <si>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</si>
  <si>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</si>
  <si>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</si>
  <si>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</si>
  <si>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</si>
  <si>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</si>
  <si>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</si>
  <si>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</si>
  <si>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</si>
  <si>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</si>
  <si>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</si>
  <si>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</si>
  <si>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</si>
  <si>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</si>
  <si>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</si>
  <si>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</si>
  <si>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</si>
  <si>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</si>
  <si>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</si>
  <si>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</si>
  <si>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</si>
  <si>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</si>
  <si>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</si>
  <si>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</si>
  <si>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</si>
  <si>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</si>
  <si>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</si>
  <si>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</si>
  <si>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</si>
  <si>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</si>
  <si>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</si>
  <si>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</si>
  <si>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</si>
  <si>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</si>
  <si>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</si>
  <si>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</si>
  <si>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</si>
  <si>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</si>
  <si>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</si>
  <si>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</si>
  <si>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</si>
  <si>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</si>
  <si>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</si>
  <si>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</si>
  <si>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</si>
  <si>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</si>
  <si>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</si>
  <si>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</si>
  <si>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</si>
  <si>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</si>
  <si>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</si>
  <si>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</si>
  <si>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</si>
  <si>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</si>
  <si>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</si>
  <si>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</si>
  <si>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</si>
  <si>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</si>
  <si>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</si>
  <si>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</si>
  <si>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</si>
  <si>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</si>
  <si>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</si>
  <si>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</si>
  <si>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</si>
  <si>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</si>
  <si>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</si>
  <si>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</si>
  <si>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</si>
  <si>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</si>
  <si>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</si>
  <si>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</si>
  <si>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</si>
  <si>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</si>
  <si>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</si>
  <si>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</si>
  <si>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</si>
  <si>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</si>
  <si>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</si>
  <si>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</si>
  <si>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</si>
  <si>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</si>
  <si>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</si>
  <si>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</si>
  <si>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</si>
  <si>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</si>
  <si>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</si>
  <si>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</si>
  <si>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</si>
  <si>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</si>
  <si>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</si>
  <si>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</si>
  <si>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</si>
  <si>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</si>
  <si>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</si>
  <si>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</si>
  <si>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</si>
  <si>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</si>
  <si>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</si>
  <si>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</si>
  <si>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</si>
  <si>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</si>
  <si>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</si>
  <si>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</si>
  <si>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</si>
  <si>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</si>
  <si>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</si>
  <si>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</si>
  <si>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</si>
  <si>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</si>
  <si>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</si>
  <si>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</si>
  <si>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</si>
  <si>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</si>
  <si>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</si>
  <si>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</si>
  <si>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</si>
  <si>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</si>
  <si>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</si>
  <si>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</si>
  <si>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</si>
  <si>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</si>
  <si>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</si>
  <si>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</si>
  <si>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</si>
  <si>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</si>
  <si>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</si>
  <si>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</si>
  <si>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</si>
  <si>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</si>
  <si>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</si>
  <si>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</si>
  <si>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</si>
  <si>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</si>
  <si>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</si>
  <si>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</si>
  <si>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</si>
  <si>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</si>
  <si>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</si>
  <si>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</si>
  <si>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</si>
  <si>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</si>
  <si>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</si>
  <si>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</si>
  <si>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</si>
  <si>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</si>
  <si>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</si>
  <si>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</si>
  <si>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</si>
  <si>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</si>
  <si>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</si>
  <si>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</si>
  <si>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</si>
  <si>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</si>
  <si>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</si>
  <si>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</si>
  <si>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</si>
  <si>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</si>
  <si>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</si>
  <si>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</si>
  <si>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</si>
  <si>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</si>
  <si>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</si>
  <si>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</si>
  <si>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</si>
  <si>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TEC con detección específica</t>
  </si>
  <si>
    <t>Públicos CH</t>
  </si>
  <si>
    <t>Públicos</t>
  </si>
  <si>
    <t>Filas en ventana FP</t>
  </si>
  <si>
    <t>Hayabusa Monitoring CH</t>
  </si>
  <si>
    <t>ETW Monitoring</t>
  </si>
  <si>
    <t>Campañas</t>
  </si>
  <si>
    <t>NEGATIVO VÁLIDO</t>
  </si>
  <si>
    <t>NO EJECUTADO</t>
  </si>
  <si>
    <t>Cobertura táctica</t>
  </si>
  <si>
    <t>%</t>
  </si>
  <si>
    <t>/14 corresponde a tácticas MITRE ATT&amp;CK Enterprise consideradas en la clasificación; no corresponde a las 9 técnicas TEC ejecutadas en el laboratorio.</t>
  </si>
  <si>
    <t>Salida externa evaluada separadamente mediante SERVER_EVENT, Router, Discord, webhook o runner; no se considera una capacidad directa del CLIENT_EVENT.</t>
  </si>
  <si>
    <t>Capacidades HIDS acreditadas por sistema</t>
  </si>
  <si>
    <t>Capacidad</t>
  </si>
  <si>
    <t>VR custom</t>
  </si>
  <si>
    <t>La salida externa se evalúa separadamente porque depende de componentes server-side, Router, webhook o runners auxiliares.</t>
  </si>
  <si>
    <t>Este gráfico representa exclusivamente el runner FP custom y no incluye las coincidencias producidas por Hayabusa Monitoring. Datos públicos separados: 4 coincidencias High, 3 eventos subyacentes y 1 caso benigno afectado (FP-003).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</si>
  <si>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</si>
  <si>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</si>
  <si>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</si>
  <si>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</si>
  <si>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</si>
  <si>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</si>
  <si>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</si>
  <si>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</si>
  <si>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</si>
  <si>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</si>
  <si>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</si>
  <si>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192.168.1.129:8088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</si>
  <si>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</si>
  <si>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</si>
  <si>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</si>
  <si>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</si>
  <si>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</si>
  <si>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</si>
  <si>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</si>
  <si>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</si>
  <si>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</si>
  <si>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</si>
  <si>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</si>
  <si>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</si>
  <si>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</si>
  <si>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</si>
  <si>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</si>
  <si>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</si>
  <si>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192.168.1.129:8088;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</si>
  <si>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</si>
  <si>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</si>
  <si>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</si>
  <si>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</si>
  <si>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</si>
  <si>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</si>
  <si>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</si>
  <si>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</si>
  <si>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</si>
  <si>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</si>
  <si>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</si>
  <si>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</si>
  <si>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</si>
  <si>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</si>
  <si>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</si>
  <si>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</si>
  <si>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</si>
  <si>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</si>
  <si>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</si>
  <si>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</si>
  <si>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Escala: 0=no acreditado; 1=parcial o contextual; 2=capacidad acreditada. Las cifras de detección se comparan aparte como técnicas sobre 9.</t>
  </si>
  <si>
    <t>Detección Wazuh custom</t>
  </si>
  <si>
    <t>TEC-001, TEC-005, TEC-007 y TEC-008 con reglas 110xxx; 110201 mantiene gap TEC-009.</t>
  </si>
  <si>
    <t>Detección Wazuh base</t>
  </si>
  <si>
    <t>TEC-002, TEC-004 y TEC-006 con reglas nativas; alertas genéricas y simple visibilidad no se contabilizan.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</si>
  <si>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</si>
  <si>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</si>
  <si>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</si>
  <si>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</si>
  <si>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</si>
  <si>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</si>
  <si>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</si>
  <si>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</si>
  <si>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</si>
  <si>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</si>
  <si>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</si>
  <si>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</si>
  <si>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</si>
  <si>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</si>
  <si>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</si>
  <si>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</si>
  <si>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</si>
  <si>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</si>
  <si>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</si>
  <si>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</si>
  <si>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</si>
  <si>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</si>
  <si>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</si>
  <si>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</si>
  <si>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</si>
  <si>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</si>
  <si>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</si>
  <si>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</si>
  <si>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</si>
  <si>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</si>
  <si>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TEC-001, TEC-005, TEC-007, TEC-008</t>
  </si>
  <si>
    <t>110301; 110402; 110203; 110202</t>
  </si>
  <si>
    <t>110201=0; 110501 es genérica; 110202 incluye coincidencias fuera de TEC-008 y no suma técnicas adicionales.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</si>
  <si>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</si>
  <si>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</si>
  <si>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</si>
  <si>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</si>
  <si>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</si>
  <si>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</si>
  <si>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</si>
  <si>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</si>
  <si>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</si>
  <si>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</si>
  <si>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</si>
  <si>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</si>
  <si>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</si>
  <si>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</si>
  <si>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</si>
  <si>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</si>
  <si>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</si>
  <si>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</si>
  <si>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</si>
  <si>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</si>
  <si>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</si>
  <si>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</si>
  <si>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</si>
  <si>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</si>
  <si>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</si>
  <si>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</si>
  <si>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</si>
  <si>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</si>
  <si>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</si>
  <si>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</si>
  <si>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</si>
  <si>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</si>
  <si>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</si>
  <si>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</si>
  <si>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</si>
  <si>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</si>
  <si>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</si>
  <si>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</si>
  <si>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</si>
  <si>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</si>
  <si>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</si>
  <si>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</si>
  <si>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</si>
  <si>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</si>
  <si>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</si>
  <si>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</si>
  <si>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</si>
  <si>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</si>
  <si>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</si>
  <si>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</si>
  <si>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</si>
  <si>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</si>
  <si>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</si>
  <si>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</si>
  <si>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</si>
  <si>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</si>
  <si>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</si>
  <si>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</si>
  <si>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</si>
  <si>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</si>
  <si>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</si>
  <si>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</si>
  <si>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</si>
  <si>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</si>
  <si>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</si>
  <si>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</si>
  <si>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</si>
  <si>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</si>
  <si>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</si>
  <si>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</si>
  <si>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Unidad de comparación</t>
  </si>
  <si>
    <t>Técnicas /9</t>
  </si>
  <si>
    <t>Velociraptor custom 9/9; Hayabusa CH 3/9; Wazuh base 3/9; Wazuh custom 4/9. No se comparan volúmenes de eventos como cobertura.</t>
  </si>
  <si>
    <t>Libro definitivo consolidado; preserva custom, artifacts públicos, FP y separación Wazuh base/custom.</t>
  </si>
  <si>
    <t>2026-07-13 (Europe/Madrid)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</si>
  <si>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</si>
  <si>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</si>
  <si>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</si>
  <si>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Criterio Wazuh base/custom</t>
  </si>
  <si>
    <t>Base=ruleset nativo; custom=reglas TFM 110xxx. 110 alertas de campaña = 54 nativas + 56 custom; no equivalen a 110 detecciones ni a 110 técnicas.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</si>
  <si>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</si>
  <si>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</si>
  <si>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</si>
  <si>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</si>
  <si>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</si>
  <si>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</si>
  <si>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</si>
  <si>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</si>
  <si>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</si>
  <si>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</si>
  <si>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</si>
  <si>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</si>
  <si>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</si>
  <si>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</si>
  <si>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</si>
  <si>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</si>
  <si>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</si>
  <si>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</si>
  <si>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</si>
  <si>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</si>
  <si>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</si>
  <si>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</si>
  <si>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</si>
  <si>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</si>
  <si>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</si>
  <si>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</si>
  <si>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</si>
  <si>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</si>
  <si>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</si>
  <si>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</si>
  <si>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</si>
  <si>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</si>
  <si>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</si>
  <si>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</si>
  <si>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</si>
  <si>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</si>
  <si>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</si>
  <si>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</si>
  <si>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</si>
  <si>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</si>
  <si>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</si>
  <si>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</si>
  <si>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</si>
  <si>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</si>
  <si>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</si>
  <si>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</si>
  <si>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</si>
  <si>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</si>
  <si>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</si>
  <si>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</si>
  <si>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</si>
  <si>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</si>
  <si>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</si>
  <si>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</si>
  <si>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</si>
  <si>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</si>
  <si>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</si>
  <si>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</si>
  <si>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</si>
  <si>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</si>
  <si>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</si>
  <si>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</si>
  <si>
    <t>Hay conexión TCP externa real controlada. T1020/T1041 solo contextual.</t>
  </si>
  <si>
    <t>Necesitaría añadir en un futuro lógica de umbral y crypto</t>
  </si>
  <si>
    <t>Requiere PoweShell 4104 para contexto</t>
  </si>
  <si>
    <t>Indicadores consolidados tras resolver incoherencias: públicos útiles como base, pero para un resultado real y fiable es recomendable customizar.</t>
  </si>
  <si>
    <t>Separación entre detección CLIENT_EVENT / hunt histórico / server-side transporte.</t>
  </si>
  <si>
    <t>Artifact monolítico contradice modelo de prioridades de riesgo y dificulta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</si>
</sst>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14&quot;"/>
  </numFmts>
  <fonts count="4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b/>
      <sz val="26"/>
      <color rgb="FFFFFFFF"/>
      <name val="Aptos Display"/>
      <family val="2"/>
    </font>
    <font>
      <b/>
      <sz val="26"/>
      <color rgb="FFFFFFFF"/>
      <name val="Aptos"/>
      <family val="2"/>
    </font>
    <font>
      <sz val="26"/>
      <name val="Aptos"/>
      <family val="2"/>
    </font>
    <font>
      <i/>
      <sz val="16"/>
      <color rgb="FF1F4E78"/>
      <name val="Aptos"/>
      <family val="2"/>
    </font>
    <font>
      <sz val="16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color rgb="FF9C0006"/>
      <name val="Calibri"/>
      <family val="2"/>
    </font>
    <font>
      <i/>
      <sz val="8"/>
      <color rgb="FF1F4E79"/>
      <name val="Calibri"/>
      <family val="2"/>
    </font>
    <font>
      <i/>
      <sz val="18"/>
      <color rgb="FF1F4E78"/>
      <name val="Aptos"/>
      <family val="2"/>
    </font>
    <font>
      <sz val="18"/>
      <color rgb="FF0F172A"/>
      <name val="Aptos"/>
      <family val="2"/>
    </font>
    <font>
      <sz val="18"/>
      <name val="Aptos"/>
      <family val="2"/>
    </font>
    <font>
      <b/>
      <sz val="12"/>
      <color rgb="FFFFFFFF"/>
      <name val="Aptos"/>
      <family val="2"/>
    </font>
    <font>
      <sz val="10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0" fontId="13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1" fontId="13" fillId="0" borderId="1" xfId="0" applyNumberFormat="1" applyFont="1" applyBorder="1" applyAlignment="1">
      <alignment vertical="top"/>
    </xf>
    <xf numFmtId="1" fontId="0" fillId="0" borderId="0" xfId="0" applyNumberFormat="1" applyAlignment="1">
      <alignment wrapText="1"/>
    </xf>
    <xf numFmtId="0" fontId="23" fillId="9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0" fontId="24" fillId="0" borderId="0" xfId="0" applyNumberFormat="1" applyFont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1" fontId="30" fillId="0" borderId="2" xfId="0" applyNumberFormat="1" applyFont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1" fontId="31" fillId="10" borderId="2" xfId="0" applyNumberFormat="1" applyFont="1" applyFill="1" applyBorder="1" applyAlignment="1">
      <alignment horizontal="center" vertical="center" wrapText="1"/>
    </xf>
    <xf numFmtId="49" fontId="31" fillId="10" borderId="2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49" fontId="32" fillId="11" borderId="2" xfId="0" applyNumberFormat="1" applyFont="1" applyFill="1" applyBorder="1" applyAlignment="1">
      <alignment horizontal="center" vertical="center" wrapText="1"/>
    </xf>
    <xf numFmtId="0" fontId="30" fillId="16" borderId="2" xfId="0" applyFont="1" applyFill="1" applyBorder="1" applyAlignment="1">
      <alignment horizontal="center" vertical="center" wrapText="1"/>
    </xf>
    <xf numFmtId="49" fontId="30" fillId="16" borderId="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 wrapText="1"/>
    </xf>
    <xf numFmtId="0" fontId="1" fillId="18" borderId="3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7" fillId="18" borderId="3" xfId="0" applyFont="1" applyFill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33" fillId="19" borderId="1" xfId="0" applyFont="1" applyFill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 vertical="center"/>
    </xf>
    <xf numFmtId="0" fontId="35" fillId="21" borderId="1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15" fillId="12" borderId="0" xfId="0" applyFont="1" applyFill="1" applyAlignment="1">
      <alignment wrapText="1"/>
    </xf>
    <xf numFmtId="1" fontId="13" fillId="0" borderId="1" xfId="0" applyNumberFormat="1" applyFont="1" applyBorder="1" applyAlignment="1">
      <alignment vertical="top" wrapText="1"/>
    </xf>
    <xf numFmtId="49" fontId="30" fillId="0" borderId="0" xfId="0" quotePrefix="1" applyNumberFormat="1" applyFont="1" applyAlignment="1">
      <alignment horizontal="center" vertical="center" wrapText="1"/>
    </xf>
    <xf numFmtId="16" fontId="13" fillId="0" borderId="12" xfId="0" quotePrefix="1" applyNumberFormat="1" applyFont="1" applyBorder="1" applyAlignment="1">
      <alignment horizontal="left" vertical="top" wrapText="1"/>
    </xf>
    <xf numFmtId="0" fontId="25" fillId="7" borderId="0" xfId="0" applyFont="1" applyFill="1" applyAlignment="1">
      <alignment horizontal="left" vertical="center" wrapText="1"/>
    </xf>
    <xf numFmtId="0" fontId="26" fillId="7" borderId="0" xfId="0" applyFont="1" applyFill="1" applyAlignment="1">
      <alignment horizontal="left" vertical="center" wrapText="1"/>
    </xf>
    <xf numFmtId="0" fontId="27" fillId="0" borderId="0" xfId="0" applyFont="1" applyAlignment="1">
      <alignment vertical="top"/>
    </xf>
    <xf numFmtId="0" fontId="28" fillId="8" borderId="0" xfId="0" applyFont="1" applyFill="1" applyAlignment="1">
      <alignment vertical="top" wrapText="1"/>
    </xf>
    <xf numFmtId="0" fontId="29" fillId="0" borderId="0" xfId="0" applyFont="1" applyAlignment="1">
      <alignment vertical="top"/>
    </xf>
    <xf numFmtId="0" fontId="22" fillId="17" borderId="4" xfId="0" applyFont="1" applyFill="1" applyBorder="1" applyAlignment="1">
      <alignment horizontal="left" vertical="top" wrapText="1"/>
    </xf>
    <xf numFmtId="0" fontId="19" fillId="17" borderId="5" xfId="0" applyFont="1" applyFill="1" applyBorder="1" applyAlignment="1">
      <alignment horizontal="left" vertical="top" wrapText="1"/>
    </xf>
    <xf numFmtId="0" fontId="19" fillId="17" borderId="6" xfId="0" applyFont="1" applyFill="1" applyBorder="1" applyAlignment="1">
      <alignment horizontal="left" vertical="top" wrapText="1"/>
    </xf>
    <xf numFmtId="0" fontId="19" fillId="17" borderId="7" xfId="0" applyFont="1" applyFill="1" applyBorder="1" applyAlignment="1">
      <alignment horizontal="left" vertical="top" wrapText="1"/>
    </xf>
    <xf numFmtId="0" fontId="19" fillId="17" borderId="0" xfId="0" applyFont="1" applyFill="1" applyAlignment="1">
      <alignment horizontal="left" vertical="top" wrapText="1"/>
    </xf>
    <xf numFmtId="0" fontId="19" fillId="17" borderId="8" xfId="0" applyFont="1" applyFill="1" applyBorder="1" applyAlignment="1">
      <alignment horizontal="left" vertical="top" wrapText="1"/>
    </xf>
    <xf numFmtId="0" fontId="19" fillId="17" borderId="9" xfId="0" applyFont="1" applyFill="1" applyBorder="1" applyAlignment="1">
      <alignment horizontal="left" vertical="top" wrapText="1"/>
    </xf>
    <xf numFmtId="0" fontId="19" fillId="17" borderId="10" xfId="0" applyFont="1" applyFill="1" applyBorder="1" applyAlignment="1">
      <alignment horizontal="left" vertical="top" wrapText="1"/>
    </xf>
    <xf numFmtId="0" fontId="19" fillId="17" borderId="11" xfId="0" applyFont="1" applyFill="1" applyBorder="1" applyAlignment="1">
      <alignment horizontal="left" vertical="top" wrapText="1"/>
    </xf>
    <xf numFmtId="0" fontId="21" fillId="17" borderId="3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top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18" borderId="0" xfId="0" applyFont="1" applyFill="1" applyAlignment="1">
      <alignment horizontal="left" vertical="top" wrapText="1"/>
    </xf>
    <xf numFmtId="0" fontId="17" fillId="18" borderId="3" xfId="0" applyFont="1" applyFill="1" applyBorder="1" applyAlignment="1">
      <alignment horizontal="left" vertical="top" wrapText="1"/>
    </xf>
    <xf numFmtId="0" fontId="20" fillId="17" borderId="3" xfId="0" applyFont="1" applyFill="1" applyBorder="1" applyAlignment="1">
      <alignment horizontal="left" vertical="top" wrapText="1"/>
    </xf>
    <xf numFmtId="0" fontId="15" fillId="12" borderId="0" xfId="0" applyFont="1" applyFill="1"/>
    <xf numFmtId="0" fontId="16" fillId="0" borderId="0" xfId="0" applyFont="1" applyAlignment="1">
      <alignment wrapText="1"/>
    </xf>
    <xf numFmtId="0" fontId="36" fillId="17" borderId="3" xfId="0" applyFont="1" applyFill="1" applyBorder="1" applyAlignment="1">
      <alignment horizontal="left" vertical="top" wrapText="1"/>
    </xf>
    <xf numFmtId="0" fontId="37" fillId="8" borderId="0" xfId="0" applyFont="1" applyFill="1" applyAlignment="1">
      <alignment vertical="top" wrapText="1"/>
    </xf>
    <xf numFmtId="0" fontId="38" fillId="3" borderId="0" xfId="0" applyFont="1" applyFill="1" applyAlignment="1">
      <alignment vertical="top" wrapText="1"/>
    </xf>
    <xf numFmtId="0" fontId="39" fillId="0" borderId="0" xfId="0" applyFont="1" applyAlignment="1">
      <alignment vertical="top"/>
    </xf>
    <xf numFmtId="0" fontId="40" fillId="2" borderId="0" xfId="0" applyFont="1" applyFill="1" applyAlignment="1">
      <alignment horizontal="center" vertical="top" wrapText="1"/>
    </xf>
    <xf numFmtId="0" fontId="30" fillId="0" borderId="0" xfId="0" applyFont="1" applyAlignment="1">
      <alignment vertical="top" wrapText="1"/>
    </xf>
    <xf numFmtId="0" fontId="30" fillId="0" borderId="0" xfId="0" applyFont="1" applyAlignment="1">
      <alignment vertical="top"/>
    </xf>
    <xf numFmtId="0" fontId="40" fillId="9" borderId="0" xfId="0" applyFont="1" applyFill="1" applyAlignment="1">
      <alignment horizontal="center" vertical="center" wrapText="1"/>
    </xf>
    <xf numFmtId="0" fontId="41" fillId="0" borderId="0" xfId="0" applyFont="1" applyAlignment="1">
      <alignment vertical="top" wrapText="1"/>
    </xf>
  </cellXfs>
  <cellStyles count="1">
    <cellStyle name="Normal" xfId="0" builtinId="0"/>
  </cellStyles>
  <dxfs count="137"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'01_Dashboard'!$E$5:$E$7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'01_Dashboard'!$G$5:$G$7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Cobertura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Proporción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GRAFICAS!$B$60</c:f>
              <c:strCache>
                <c:ptCount val="1"/>
                <c:pt idx="0">
                  <c:v>VR custom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GRAFICAS!$B$61:$B$69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F-476D-ADE5-4870D5ADDE41}"/>
            </c:ext>
          </c:extLst>
        </c:ser>
        <c:ser>
          <c:idx val="1"/>
          <c:order val="1"/>
          <c:tx>
            <c:strRef>
              <c:f>GRAFICAS!$C$60</c:f>
              <c:strCache>
                <c:ptCount val="1"/>
                <c:pt idx="0">
                  <c:v>Públicos CH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GRAFICAS!$C$61:$C$69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F-476D-ADE5-4870D5ADDE41}"/>
            </c:ext>
          </c:extLst>
        </c:ser>
        <c:ser>
          <c:idx val="2"/>
          <c:order val="2"/>
          <c:tx>
            <c:strRef>
              <c:f>GRAFICAS!$D$60</c:f>
              <c:strCache>
                <c:ptCount val="1"/>
                <c:pt idx="0">
                  <c:v>Wazuh base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GRAFICAS!$D$61:$D$69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F-476D-ADE5-4870D5ADDE41}"/>
            </c:ext>
          </c:extLst>
        </c:ser>
        <c:ser>
          <c:idx val="3"/>
          <c:order val="3"/>
          <c:tx>
            <c:strRef>
              <c:f>GRAFICAS!$E$60</c:f>
              <c:strCache>
                <c:ptCount val="1"/>
                <c:pt idx="0">
                  <c:v>Wazuh custom</c:v>
                </c:pt>
              </c:strCache>
            </c:strRef>
          </c:tx>
          <c:invertIfNegative val="0"/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GRAFICAS!$E$61:$E$69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DF-476D-ADE5-4870D5ADD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Detección acreditada (0/1)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GRAFICAS!$G$60</c:f>
              <c:strCache>
                <c:ptCount val="1"/>
                <c:pt idx="0">
                  <c:v>TEC con detección específica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GRAFICAS!$F$61:$F$64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GRAFICAS!$G$61:$G$64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5-4354-A9D4-26AADD2C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Visibilidad</a:t>
            </a:r>
            <a:r>
              <a:rPr lang="es-ES" baseline="0"/>
              <a:t> </a:t>
            </a:r>
            <a:r>
              <a:rPr lang="es-ES"/>
              <a:t>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GRAFICAS!$I$61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GRAFICAS!$J$60:$L$60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GRAFICAS!$J$61:$L$61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2-40C1-9477-BB824A46114F}"/>
            </c:ext>
          </c:extLst>
        </c:ser>
        <c:ser>
          <c:idx val="1"/>
          <c:order val="1"/>
          <c:tx>
            <c:strRef>
              <c:f>GRAFICAS!$I$62</c:f>
              <c:strCache>
                <c:ptCount val="1"/>
                <c:pt idx="0">
                  <c:v>Públicos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GRAFICAS!$J$60:$L$60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GRAFICAS!$J$62:$L$62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2-40C1-9477-BB824A46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Ventana FP por artifact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GRAFICAS!$B$73</c:f>
              <c:strCache>
                <c:ptCount val="1"/>
                <c:pt idx="0">
                  <c:v>Filas en ventana FP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GRAFICAS!$B$74:$B$79</c:f>
              <c:numCache>
                <c:formatCode>0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6-4BD9-A5B8-99F3678A46D7}"/>
            </c:ext>
          </c:extLst>
        </c:ser>
        <c:ser>
          <c:idx val="1"/>
          <c:order val="1"/>
          <c:tx>
            <c:strRef>
              <c:f>GRAFICAS!$C$73</c:f>
              <c:strCache>
                <c:ptCount val="1"/>
                <c:pt idx="0">
                  <c:v>FP CH high/critical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GRAFICAS!$C$74:$C$79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6-4BD9-A5B8-99F3678A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Filas / matches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GRAFICAS!$J$73</c:f>
              <c:strCache>
                <c:ptCount val="1"/>
                <c:pt idx="0">
                  <c:v>Campañas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GRAFICAS!$I$74:$I$78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GRAFICAS!$J$74:$J$78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5-4D4C-BD10-BD2F24ECC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Resultado del runner FP custom: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y custom: detección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Wazuh base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GRAFICAS!$G$19:$G$27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GRAFICAS!$H$19:$H$27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9-4EC2-9672-FD5D907A6A9E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Wazuh custom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GRAFICAS!$G$19:$G$27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GRAFICAS!$I$19:$I$27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9-4EC2-9672-FD5D907A6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Detección acreditada (0/1)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por regla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cat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946-BA76-7FDFDC108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Regla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Alertas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672353</xdr:colOff>
      <xdr:row>7</xdr:row>
      <xdr:rowOff>22411</xdr:rowOff>
    </xdr:from>
    <xdr:to>
      <xdr:col>12</xdr:col>
      <xdr:colOff>44824</xdr:colOff>
      <xdr:row>13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27214</xdr:rowOff>
    </xdr:from>
    <xdr:to>
      <xdr:col>6</xdr:col>
      <xdr:colOff>40821</xdr:colOff>
      <xdr:row>50</xdr:row>
      <xdr:rowOff>13607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136070</xdr:colOff>
      <xdr:row>16</xdr:row>
      <xdr:rowOff>13607</xdr:rowOff>
    </xdr:from>
    <xdr:to>
      <xdr:col>16</xdr:col>
      <xdr:colOff>653142</xdr:colOff>
      <xdr:row>33</xdr:row>
      <xdr:rowOff>151040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585107</xdr:colOff>
      <xdr:row>54</xdr:row>
      <xdr:rowOff>27213</xdr:rowOff>
    </xdr:from>
    <xdr:to>
      <xdr:col>17</xdr:col>
      <xdr:colOff>27214</xdr:colOff>
      <xdr:row>79</xdr:row>
      <xdr:rowOff>163285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136070</xdr:colOff>
      <xdr:row>34</xdr:row>
      <xdr:rowOff>1</xdr:rowOff>
    </xdr:from>
    <xdr:to>
      <xdr:col>17</xdr:col>
      <xdr:colOff>40820</xdr:colOff>
      <xdr:row>53</xdr:row>
      <xdr:rowOff>27214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</xdr:colOff>
      <xdr:row>54</xdr:row>
      <xdr:rowOff>1</xdr:rowOff>
    </xdr:from>
    <xdr:to>
      <xdr:col>5</xdr:col>
      <xdr:colOff>394608</xdr:colOff>
      <xdr:row>79</xdr:row>
      <xdr:rowOff>163286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</xdr:row>
      <xdr:rowOff>27215</xdr:rowOff>
    </xdr:from>
    <xdr:to>
      <xdr:col>3</xdr:col>
      <xdr:colOff>0</xdr:colOff>
      <xdr:row>20</xdr:row>
      <xdr:rowOff>27213</xdr:rowOff>
    </xdr:to>
    <xdr:sp macro="" textlink="">
      <xdr:nvSpPr>
        <xdr:cNvPr id="8" name="TFM_Wazuh_Base_Custom_Note">
          <a:extLst>
            <a:ext uri="{FF2B5EF4-FFF2-40B4-BE49-F238E27FC236}">
              <a16:creationId xmlns:a16="http://schemas.microsoft.com/office/drawing/2014/main" id="{F8633264-0A72-3C46-40E5-C46569A1FC5E}"/>
            </a:ext>
          </a:extLst>
        </xdr:cNvPr>
        <xdr:cNvSpPr txBox="1"/>
      </xdr:nvSpPr>
      <xdr:spPr>
        <a:xfrm>
          <a:off x="0" y="8341179"/>
          <a:ext cx="9497786" cy="707570"/>
        </a:xfrm>
        <a:prstGeom prst="rect">
          <a:avLst/>
        </a:prstGeom>
        <a:solidFill>
          <a:srgbClr val="DDEBF7"/>
        </a:solidFill>
        <a:ln w="9525" cmpd="sng">
          <a:solidFill>
            <a:srgbClr val="9BC2E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76200" tIns="38100" rIns="76200" bIns="38100" rtlCol="0" anchor="t"/>
        <a:lstStyle/>
        <a:p>
          <a:r>
            <a:rPr lang="es-ES" sz="1800" i="1">
              <a:solidFill>
                <a:srgbClr val="1F4E79"/>
              </a:solidFill>
              <a:latin typeface="Aptos" panose="020B0004020202020204" pitchFamily="34" charset="0"/>
            </a:rPr>
            <a:t>Wazuh base representa el ruleset nativo; Wazuh custom representa las reglas específicas desarrolladas para el TFM. La métrica cuenta técnicas detectadas, no número de alertas.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297330</xdr:colOff>
      <xdr:row>2</xdr:row>
      <xdr:rowOff>154455</xdr:rowOff>
    </xdr:from>
    <xdr:to>
      <xdr:col>16</xdr:col>
      <xdr:colOff>520701</xdr:colOff>
      <xdr:row>22</xdr:row>
      <xdr:rowOff>90955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274171</xdr:colOff>
      <xdr:row>2</xdr:row>
      <xdr:rowOff>76013</xdr:rowOff>
    </xdr:from>
    <xdr:to>
      <xdr:col>22</xdr:col>
      <xdr:colOff>556559</xdr:colOff>
      <xdr:row>22</xdr:row>
      <xdr:rowOff>12513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454212</xdr:colOff>
      <xdr:row>25</xdr:row>
      <xdr:rowOff>57150</xdr:rowOff>
    </xdr:from>
    <xdr:to>
      <xdr:col>14</xdr:col>
      <xdr:colOff>352612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510241</xdr:colOff>
      <xdr:row>59</xdr:row>
      <xdr:rowOff>94316</xdr:rowOff>
    </xdr:from>
    <xdr:to>
      <xdr:col>14</xdr:col>
      <xdr:colOff>408641</xdr:colOff>
      <xdr:row>79</xdr:row>
      <xdr:rowOff>35859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 headerRowDxfId="2" dataDxfId="0" totalsRowDxfId="1">
  <tableColumns count="10">
    <tableColumn id="1" xr3:uid="{00000000-0010-0000-0100-000001000000}" name="TEC" dataDxfId="12"/>
    <tableColumn id="2" xr3:uid="{00000000-0010-0000-0100-000002000000}" name="MITRE_ID" dataDxfId="11"/>
    <tableColumn id="3" xr3:uid="{00000000-0010-0000-0100-000003000000}" name="Técnica MITRE" dataDxfId="10"/>
    <tableColumn id="4" xr3:uid="{00000000-0010-0000-0100-000004000000}" name="Táctica principal" dataDxfId="9"/>
    <tableColumn id="5" xr3:uid="{00000000-0010-0000-0100-000005000000}" name="Tácticas secundarias/contextuales" dataDxfId="8"/>
    <tableColumn id="6" xr3:uid="{00000000-0010-0000-0100-000006000000}" name="Procedimiento controlado" dataDxfId="7"/>
    <tableColumn id="7" xr3:uid="{00000000-0010-0000-0100-000007000000}" name="Evidencia esperada" dataDxfId="6"/>
    <tableColumn id="8" xr3:uid="{00000000-0010-0000-0100-000008000000}" name="Artifacts públicos candidatos" dataDxfId="5"/>
    <tableColumn id="9" xr3:uid="{00000000-0010-0000-0100-000009000000}" name="Custom esperado" dataDxfId="4"/>
    <tableColumn id="10" xr3:uid="{00000000-0010-0000-0100-00000A000000}" name="Notas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 headerRowDxfId="15" dataDxfId="13" totalsRowDxfId="14">
  <tableColumns count="15">
    <tableColumn id="1" xr3:uid="{00000000-0010-0000-0200-000001000000}" name="ID_Prueba" dataDxfId="30"/>
    <tableColumn id="2" xr3:uid="{00000000-0010-0000-0200-000002000000}" name="ID_Interna" dataDxfId="29"/>
    <tableColumn id="3" xr3:uid="{00000000-0010-0000-0200-000003000000}" name="MITRE" dataDxfId="28"/>
    <tableColumn id="4" xr3:uid="{00000000-0010-0000-0200-000004000000}" name="Táctica" dataDxfId="27"/>
    <tableColumn id="5" xr3:uid="{00000000-0010-0000-0200-000005000000}" name="Escenario_Prueba" dataDxfId="26"/>
    <tableColumn id="6" xr3:uid="{00000000-0010-0000-0200-000006000000}" name="Artifact_Usado" dataDxfId="25"/>
    <tableColumn id="7" xr3:uid="{00000000-0010-0000-0200-000007000000}" name="Tipo_Artifact" dataDxfId="24"/>
    <tableColumn id="8" xr3:uid="{00000000-0010-0000-0200-000008000000}" name="Modo" dataDxfId="23"/>
    <tableColumn id="9" xr3:uid="{00000000-0010-0000-0200-000009000000}" name="Resultado_Detección" dataDxfId="22"/>
    <tableColumn id="10" xr3:uid="{00000000-0010-0000-0200-00000A000000}" name="Ground_Truth" dataDxfId="21"/>
    <tableColumn id="11" xr3:uid="{00000000-0010-0000-0200-00000B000000}" name="Fuente_Evidencia" dataDxfId="20"/>
    <tableColumn id="12" xr3:uid="{00000000-0010-0000-0200-00000C000000}" name="Evidencia_Host_Observada" dataDxfId="19"/>
    <tableColumn id="13" xr3:uid="{00000000-0010-0000-0200-00000D000000}" name="Discord" dataDxfId="18"/>
    <tableColumn id="16" xr3:uid="{00000000-0010-0000-0200-000010000000}" name="Custom_Necesario" dataDxfId="17"/>
    <tableColumn id="17" xr3:uid="{00000000-0010-0000-0200-000011000000}" name="Conclusión_Técnica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136" dataDxfId="135" totalsRowDxfId="134">
  <tableColumns count="31">
    <tableColumn id="1" xr3:uid="{00000000-0010-0000-0300-000001000000}" name="ID_Prueba" dataDxfId="133"/>
    <tableColumn id="2" xr3:uid="{00000000-0010-0000-0300-000002000000}" name="Fase" dataDxfId="132"/>
    <tableColumn id="3" xr3:uid="{00000000-0010-0000-0300-000003000000}" name="Perfil" dataDxfId="131"/>
    <tableColumn id="4" xr3:uid="{00000000-0010-0000-0300-000004000000}" name="Prioridad" dataDxfId="130"/>
    <tableColumn id="5" xr3:uid="{00000000-0010-0000-0300-000005000000}" name="Artifact_Publico" dataDxfId="129"/>
    <tableColumn id="6" xr3:uid="{00000000-0010-0000-0300-000006000000}" name="Modo" dataDxfId="128"/>
    <tableColumn id="7" xr3:uid="{00000000-0010-0000-0300-000007000000}" name="Fuente" dataDxfId="127"/>
    <tableColumn id="8" xr3:uid="{00000000-0010-0000-0300-000008000000}" name="TEC" dataDxfId="126"/>
    <tableColumn id="9" xr3:uid="{00000000-0010-0000-0300-000009000000}" name="MITRE" dataDxfId="125"/>
    <tableColumn id="10" xr3:uid="{00000000-0010-0000-0300-00000A000000}" name="Táctica" dataDxfId="124"/>
    <tableColumn id="11" xr3:uid="{00000000-0010-0000-0300-00000B000000}" name="Objetivo_Prueba" dataDxfId="123"/>
    <tableColumn id="12" xr3:uid="{00000000-0010-0000-0300-00000C000000}" name="Configuración" dataDxfId="122"/>
    <tableColumn id="13" xr3:uid="{00000000-0010-0000-0300-00000D000000}" name="Pasos_Validacion" dataDxfId="121"/>
    <tableColumn id="14" xr3:uid="{00000000-0010-0000-0300-00000E000000}" name="Resultado" dataDxfId="120"/>
    <tableColumn id="15" xr3:uid="{00000000-0010-0000-0300-00000F000000}" name="Regla_Evento" dataDxfId="119"/>
    <tableColumn id="16" xr3:uid="{00000000-0010-0000-0300-000010000000}" name="Severity" dataDxfId="118"/>
    <tableColumn id="17" xr3:uid="{00000000-0010-0000-0300-000011000000}" name="MITRE_Detectado" dataDxfId="117"/>
    <tableColumn id="18" xr3:uid="{00000000-0010-0000-0300-000012000000}" name="Evidencia" dataDxfId="116"/>
    <tableColumn id="19" xr3:uid="{00000000-0010-0000-0300-000013000000}" name="FP_Risk" dataDxfId="115"/>
    <tableColumn id="20" xr3:uid="{00000000-0010-0000-0300-000014000000}" name="Custom_Necesario" dataDxfId="114"/>
    <tableColumn id="21" xr3:uid="{00000000-0010-0000-0300-000015000000}" name="Estado" dataDxfId="113"/>
    <tableColumn id="22" xr3:uid="{00000000-0010-0000-0300-000016000000}" name="Fecha" dataDxfId="112"/>
    <tableColumn id="23" xr3:uid="{00000000-0010-0000-0300-000017000000}" name="Captura_Log" dataDxfId="111"/>
    <tableColumn id="24" xr3:uid="{00000000-0010-0000-0300-000018000000}" name="Observaciones" dataDxfId="110"/>
    <tableColumn id="25" xr3:uid="{318F6CB8-0E6D-45D1-AF6C-8D0504B4190A}" name="Visibilidad" dataDxfId="109"/>
    <tableColumn id="26" xr3:uid="{7561F7F7-11A9-4512-9BA1-43CB0E708863}" name="Detección_Regla" dataDxfId="108"/>
    <tableColumn id="27" xr3:uid="{184489FD-C7B4-40AF-A9F5-E4064380C034}" name="Alerta_RT" dataDxfId="107"/>
    <tableColumn id="28" xr3:uid="{50EF65D0-AAFF-4AB3-8A55-79E1F71E3394}" name="Artifact_Alertante" dataDxfId="106"/>
    <tableColumn id="29" xr3:uid="{2E822539-E109-4AA3-8A82-2A1D580A676D}" name="Salida_Externa" dataDxfId="105"/>
    <tableColumn id="30" xr3:uid="{61AABDEF-3D2C-4516-A067-6CE9388F8678}" name="Veredicto_Alertabilidad" dataDxfId="104"/>
    <tableColumn id="31" xr3:uid="{A1FDDBB9-5DE6-475A-81B4-FB9305514AB7}" name="Resultado_Campaña" dataDxfId="1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102" dataDxfId="101" totalsRowDxfId="100">
  <tableColumns count="26">
    <tableColumn id="1" xr3:uid="{00000000-0010-0000-0400-000001000000}" name="TEC" dataDxfId="99"/>
    <tableColumn id="2" xr3:uid="{00000000-0010-0000-0400-000002000000}" name="MITRE" dataDxfId="98"/>
    <tableColumn id="3" xr3:uid="{00000000-0010-0000-0400-000003000000}" name="Técnica" dataDxfId="97"/>
    <tableColumn id="4" xr3:uid="{00000000-0010-0000-0400-000004000000}" name="ProcessCreation" dataDxfId="96"/>
    <tableColumn id="5" xr3:uid="{00000000-0010-0000-0400-000005000000}" name="ServiceCreation" dataDxfId="95"/>
    <tableColumn id="6" xr3:uid="{00000000-0010-0000-0400-000006000000}" name="SysmonLogForward" dataDxfId="94"/>
    <tableColumn id="7" xr3:uid="{00000000-0010-0000-0400-000007000000}" name="Hayabusa.Rules CH" dataDxfId="93"/>
    <tableColumn id="8" xr3:uid="{00000000-0010-0000-0400-000008000000}" name="Hayabusa.Rules CHM" dataDxfId="92"/>
    <tableColumn id="9" xr3:uid="{00000000-0010-0000-0400-000009000000}" name="Hayabusa.Monitoring CH" dataDxfId="91"/>
    <tableColumn id="10" xr3:uid="{00000000-0010-0000-0400-00000A000000}" name="Hayabusa.Monitoring CHM" dataDxfId="90"/>
    <tableColumn id="11" xr3:uid="{00000000-0010-0000-0400-00000B000000}" name="Persistence/Triage" dataDxfId="89"/>
    <tableColumn id="12" xr3:uid="{00000000-0010-0000-0400-00000C000000}" name="Cobertura pública" dataDxfId="88"/>
    <tableColumn id="13" xr3:uid="{00000000-0010-0000-0400-00000D000000}" name="Custom necesario" dataDxfId="87"/>
    <tableColumn id="14" xr3:uid="{00000000-0010-0000-0400-00000E000000}" name="Evidencia principal" dataDxfId="86"/>
    <tableColumn id="15" xr3:uid="{00000000-0010-0000-0400-00000F000000}" name="Decisión" dataDxfId="85"/>
    <tableColumn id="16" xr3:uid="{8F08DB85-573A-40F4-A9FE-8AE70D37FE19}" name="Visibilidad pública" dataDxfId="84"/>
    <tableColumn id="17" xr3:uid="{5E152254-8D7B-47C1-93B9-308DBBCAA945}" name="Detección pública" dataDxfId="83"/>
    <tableColumn id="18" xr3:uid="{8DF52B22-C8F2-46DC-B0CD-CC395A5BC2DA}" name="Alerta RT pública" dataDxfId="82"/>
    <tableColumn id="19" xr3:uid="{3A864019-84B1-4B0A-8F73-CABB51557B1D}" name="Artifact alertante público" dataDxfId="81"/>
    <tableColumn id="20" xr3:uid="{79AB051C-E78B-49E9-A62E-C58150ECBF0E}" name="Necesidad custom alerta" dataDxfId="80"/>
    <tableColumn id="21" xr3:uid="{C8D58A0D-1EAC-4F6E-9747-67B590A6E0F9}" name="VR custom" dataDxfId="79" totalsRowDxfId="78"/>
    <tableColumn id="22" xr3:uid="{FB7FDAC2-3777-462B-B6D5-CBE11E71E329}" name="Públicos CH" dataDxfId="77" totalsRowDxfId="76"/>
    <tableColumn id="23" xr3:uid="{1D970937-2B7E-43D1-947F-46A695AF096E}" name="Wazuh base" dataDxfId="75" totalsRowDxfId="74"/>
    <tableColumn id="24" xr3:uid="{771F5262-5EA3-4AEC-87DB-0A35DB82BBC0}" name="Wazuh base - regla/evidencia" dataDxfId="73" totalsRowDxfId="72"/>
    <tableColumn id="25" xr3:uid="{0D943273-0206-4EE4-B232-0587F1515B5B}" name="Wazuh custom" dataDxfId="71" totalsRowDxfId="70"/>
    <tableColumn id="26" xr3:uid="{5C4F1F3D-267B-454C-B8F1-CF1F828A5ED8}" name="Wazuh custom - regla/evidencia" dataDxfId="69" totalsRow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B21" sqref="B2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86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1723</v>
      </c>
      <c r="C5" s="5" t="s">
        <v>1724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6</v>
      </c>
      <c r="B6" s="5" t="s">
        <v>7</v>
      </c>
      <c r="C6" s="5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9</v>
      </c>
      <c r="B7" s="5" t="s">
        <v>10</v>
      </c>
      <c r="C7" s="5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12</v>
      </c>
      <c r="B8" s="5" t="s">
        <v>13</v>
      </c>
      <c r="C8" s="5" t="s">
        <v>1768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14</v>
      </c>
      <c r="B9" s="5" t="s">
        <v>15</v>
      </c>
      <c r="C9" s="5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17</v>
      </c>
      <c r="B10" s="5" t="s">
        <v>18</v>
      </c>
      <c r="C10" s="5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20</v>
      </c>
      <c r="B11" s="5" t="s">
        <v>21</v>
      </c>
      <c r="C11" s="5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23</v>
      </c>
      <c r="B12" s="5" t="s">
        <v>24</v>
      </c>
      <c r="C12" s="5" t="s">
        <v>1769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25</v>
      </c>
      <c r="B13" s="5" t="s">
        <v>26</v>
      </c>
      <c r="C13" s="5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28</v>
      </c>
      <c r="B14" s="5" t="s">
        <v>29</v>
      </c>
      <c r="C14" s="5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"/>
  <sheetViews>
    <sheetView zoomScale="70" zoomScaleNormal="70" workbookViewId="0">
      <selection activeCell="G5" sqref="G5"/>
    </sheetView>
  </sheetViews>
  <sheetFormatPr baseColWidth="10" defaultColWidth="9" defaultRowHeight="14.25"/>
  <cols>
    <col min="1" max="1" width="34.375" customWidth="1"/>
    <col min="2" max="2" width="18" customWidth="1"/>
    <col min="3" max="3" width="72.125" customWidth="1"/>
    <col min="5" max="5" width="22" customWidth="1"/>
    <col min="6" max="6" width="12" customWidth="1"/>
    <col min="7" max="7" width="14" customWidth="1"/>
    <col min="8" max="8" width="8.875" customWidth="1"/>
  </cols>
  <sheetData>
    <row r="1" spans="1:23" ht="33.6" customHeight="1">
      <c r="A1" s="69" t="s">
        <v>1741</v>
      </c>
      <c r="B1" s="70"/>
      <c r="C1" s="70"/>
      <c r="D1" s="71"/>
      <c r="E1" s="71"/>
      <c r="F1" s="71"/>
      <c r="G1" s="71"/>
      <c r="H1" s="71"/>
      <c r="I1" s="7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48" customHeight="1">
      <c r="A2" s="72" t="s">
        <v>1742</v>
      </c>
      <c r="B2" s="72"/>
      <c r="C2" s="72"/>
      <c r="D2" s="73"/>
      <c r="E2" s="73"/>
      <c r="F2" s="73"/>
      <c r="G2" s="73"/>
      <c r="H2" s="73"/>
      <c r="I2" s="7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43.5" customHeight="1">
      <c r="A4" s="45" t="s">
        <v>1743</v>
      </c>
      <c r="B4" s="46">
        <v>6</v>
      </c>
      <c r="C4" s="45" t="s">
        <v>1744</v>
      </c>
      <c r="E4" s="41" t="s">
        <v>34</v>
      </c>
      <c r="F4" s="41" t="s">
        <v>2417</v>
      </c>
      <c r="G4" s="41" t="s">
        <v>2418</v>
      </c>
      <c r="H4" s="74" t="s">
        <v>2419</v>
      </c>
      <c r="I4" s="75"/>
      <c r="J4" s="75"/>
      <c r="K4" s="75"/>
      <c r="L4" s="75"/>
      <c r="M4" s="75"/>
      <c r="N4" s="76"/>
      <c r="O4" s="3"/>
      <c r="P4" s="3"/>
      <c r="Q4" s="3"/>
      <c r="R4" s="3"/>
      <c r="S4" s="3"/>
      <c r="T4" s="3"/>
      <c r="U4" s="3"/>
      <c r="V4" s="3"/>
      <c r="W4" s="3"/>
    </row>
    <row r="5" spans="1:23" ht="43.5" customHeight="1">
      <c r="A5" s="45" t="s">
        <v>1745</v>
      </c>
      <c r="B5" s="46">
        <v>5</v>
      </c>
      <c r="C5" s="45" t="s">
        <v>1746</v>
      </c>
      <c r="E5" s="42" t="s">
        <v>37</v>
      </c>
      <c r="F5" s="43">
        <v>5</v>
      </c>
      <c r="G5" s="44">
        <f>F5/14</f>
        <v>0.35714285714285715</v>
      </c>
      <c r="H5" s="77"/>
      <c r="I5" s="78"/>
      <c r="J5" s="78"/>
      <c r="K5" s="78"/>
      <c r="L5" s="78"/>
      <c r="M5" s="78"/>
      <c r="N5" s="79"/>
      <c r="O5" s="3"/>
      <c r="P5" s="3"/>
      <c r="Q5" s="3"/>
      <c r="R5" s="3"/>
      <c r="S5" s="3"/>
      <c r="T5" s="3"/>
      <c r="U5" s="3"/>
      <c r="V5" s="3"/>
      <c r="W5" s="3"/>
    </row>
    <row r="6" spans="1:23" ht="43.5" customHeight="1">
      <c r="A6" s="45" t="s">
        <v>1747</v>
      </c>
      <c r="B6" s="46">
        <v>0</v>
      </c>
      <c r="C6" s="45" t="s">
        <v>1748</v>
      </c>
      <c r="E6" s="42" t="s">
        <v>39</v>
      </c>
      <c r="F6" s="43">
        <v>6</v>
      </c>
      <c r="G6" s="44">
        <f>F6/14</f>
        <v>0.42857142857142855</v>
      </c>
      <c r="H6" s="77"/>
      <c r="I6" s="78"/>
      <c r="J6" s="78"/>
      <c r="K6" s="78"/>
      <c r="L6" s="78"/>
      <c r="M6" s="78"/>
      <c r="N6" s="79"/>
      <c r="O6" s="3"/>
      <c r="P6" s="3"/>
      <c r="Q6" s="3"/>
      <c r="R6" s="3"/>
      <c r="S6" s="3"/>
      <c r="T6" s="3"/>
      <c r="U6" s="3"/>
      <c r="V6" s="3"/>
      <c r="W6" s="3"/>
    </row>
    <row r="7" spans="1:23" ht="43.5" customHeight="1">
      <c r="A7" s="45" t="s">
        <v>1749</v>
      </c>
      <c r="B7" s="46">
        <v>1</v>
      </c>
      <c r="C7" s="45" t="s">
        <v>1750</v>
      </c>
      <c r="E7" s="42" t="s">
        <v>42</v>
      </c>
      <c r="F7" s="43">
        <v>7</v>
      </c>
      <c r="G7" s="44">
        <f>F7/14</f>
        <v>0.5</v>
      </c>
      <c r="H7" s="80"/>
      <c r="I7" s="81"/>
      <c r="J7" s="81"/>
      <c r="K7" s="81"/>
      <c r="L7" s="81"/>
      <c r="M7" s="81"/>
      <c r="N7" s="82"/>
      <c r="O7" s="3"/>
      <c r="P7" s="3"/>
      <c r="Q7" s="3"/>
      <c r="R7" s="3"/>
      <c r="S7" s="3"/>
      <c r="T7" s="3"/>
      <c r="U7" s="3"/>
      <c r="V7" s="3"/>
      <c r="W7" s="3"/>
    </row>
    <row r="8" spans="1:23" ht="43.5" customHeight="1">
      <c r="A8" s="47" t="s">
        <v>1751</v>
      </c>
      <c r="B8" s="48">
        <v>516</v>
      </c>
      <c r="C8" s="47" t="s">
        <v>1752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43.5" customHeight="1">
      <c r="A9" s="47" t="s">
        <v>1753</v>
      </c>
      <c r="B9" s="48">
        <v>127</v>
      </c>
      <c r="C9" s="47" t="s">
        <v>1754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43.5" customHeight="1">
      <c r="A10" s="47" t="s">
        <v>1755</v>
      </c>
      <c r="B10" s="49" t="s">
        <v>1756</v>
      </c>
      <c r="C10" s="47" t="s">
        <v>1757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43.5" customHeight="1">
      <c r="A11" s="50" t="s">
        <v>1758</v>
      </c>
      <c r="B11" s="51" t="s">
        <v>1759</v>
      </c>
      <c r="C11" s="50" t="s">
        <v>1760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43.5" customHeight="1">
      <c r="A12" s="52" t="s">
        <v>1761</v>
      </c>
      <c r="B12" s="53" t="s">
        <v>1762</v>
      </c>
      <c r="C12" s="52" t="s">
        <v>1763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43.5" customHeight="1">
      <c r="A13" s="54" t="s">
        <v>1764</v>
      </c>
      <c r="B13" s="55" t="s">
        <v>1759</v>
      </c>
      <c r="C13" s="54" t="s">
        <v>1765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43.5" customHeight="1">
      <c r="A14" s="54" t="s">
        <v>2476</v>
      </c>
      <c r="B14" s="67" t="s">
        <v>2652</v>
      </c>
      <c r="C14" s="54" t="s">
        <v>2477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43.5" customHeight="1">
      <c r="A15" s="54" t="s">
        <v>48</v>
      </c>
      <c r="B15" s="54" t="s">
        <v>1766</v>
      </c>
      <c r="C15" s="54" t="s">
        <v>1767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31.5">
      <c r="A16" s="54" t="s">
        <v>2478</v>
      </c>
      <c r="B16" s="67" t="s">
        <v>1762</v>
      </c>
      <c r="C16" s="54" t="s">
        <v>2479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4.25" customHeight="1">
      <c r="A51" s="83" t="s">
        <v>2420</v>
      </c>
      <c r="B51" s="83"/>
      <c r="C51" s="83"/>
      <c r="D51" s="83"/>
      <c r="E51" s="8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83"/>
      <c r="B52" s="83"/>
      <c r="C52" s="83"/>
      <c r="D52" s="83"/>
      <c r="E52" s="8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83"/>
      <c r="B53" s="83"/>
      <c r="C53" s="83"/>
      <c r="D53" s="83"/>
      <c r="E53" s="8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</sheetData>
  <mergeCells count="4">
    <mergeCell ref="A1:I1"/>
    <mergeCell ref="A2:I2"/>
    <mergeCell ref="H4:N7"/>
    <mergeCell ref="A51:E53"/>
  </mergeCells>
  <conditionalFormatting sqref="A4:C11">
    <cfRule type="expression" dxfId="67" priority="1">
      <formula>$B5&gt;0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G1" workbookViewId="0">
      <selection activeCell="J12" sqref="J12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87" t="s">
        <v>50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0" t="s">
        <v>51</v>
      </c>
      <c r="B2" s="100"/>
      <c r="C2" s="100"/>
      <c r="D2" s="100"/>
      <c r="E2" s="100"/>
      <c r="F2" s="100"/>
      <c r="G2" s="100"/>
      <c r="H2" s="100"/>
      <c r="I2" s="100"/>
      <c r="J2" s="10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>
      <c r="A4" s="106" t="s">
        <v>52</v>
      </c>
      <c r="B4" s="106" t="s">
        <v>53</v>
      </c>
      <c r="C4" s="106" t="s">
        <v>54</v>
      </c>
      <c r="D4" s="106" t="s">
        <v>55</v>
      </c>
      <c r="E4" s="106" t="s">
        <v>56</v>
      </c>
      <c r="F4" s="106" t="s">
        <v>57</v>
      </c>
      <c r="G4" s="106" t="s">
        <v>58</v>
      </c>
      <c r="H4" s="106" t="s">
        <v>59</v>
      </c>
      <c r="I4" s="106" t="s">
        <v>60</v>
      </c>
      <c r="J4" s="106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>
      <c r="A5" s="104" t="s">
        <v>62</v>
      </c>
      <c r="B5" s="104" t="s">
        <v>63</v>
      </c>
      <c r="C5" s="104" t="s">
        <v>64</v>
      </c>
      <c r="D5" s="104" t="s">
        <v>65</v>
      </c>
      <c r="E5" s="104"/>
      <c r="F5" s="104" t="s">
        <v>66</v>
      </c>
      <c r="G5" s="104" t="s">
        <v>67</v>
      </c>
      <c r="H5" s="104" t="s">
        <v>68</v>
      </c>
      <c r="I5" s="104" t="s">
        <v>69</v>
      </c>
      <c r="J5" s="104" t="s">
        <v>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104" t="s">
        <v>71</v>
      </c>
      <c r="B6" s="104" t="s">
        <v>72</v>
      </c>
      <c r="C6" s="104" t="s">
        <v>73</v>
      </c>
      <c r="D6" s="104" t="s">
        <v>65</v>
      </c>
      <c r="E6" s="104"/>
      <c r="F6" s="104" t="s">
        <v>74</v>
      </c>
      <c r="G6" s="104" t="s">
        <v>75</v>
      </c>
      <c r="H6" s="104" t="s">
        <v>76</v>
      </c>
      <c r="I6" s="104" t="s">
        <v>69</v>
      </c>
      <c r="J6" s="104" t="s">
        <v>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>
      <c r="A7" s="104" t="s">
        <v>78</v>
      </c>
      <c r="B7" s="104" t="s">
        <v>79</v>
      </c>
      <c r="C7" s="104" t="s">
        <v>80</v>
      </c>
      <c r="D7" s="104" t="s">
        <v>65</v>
      </c>
      <c r="E7" s="104" t="s">
        <v>81</v>
      </c>
      <c r="F7" s="104" t="s">
        <v>82</v>
      </c>
      <c r="G7" s="104" t="s">
        <v>83</v>
      </c>
      <c r="H7" s="104" t="s">
        <v>84</v>
      </c>
      <c r="I7" s="104" t="s">
        <v>69</v>
      </c>
      <c r="J7" s="104" t="s">
        <v>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>
      <c r="A8" s="104" t="s">
        <v>86</v>
      </c>
      <c r="B8" s="104" t="s">
        <v>87</v>
      </c>
      <c r="C8" s="104" t="s">
        <v>88</v>
      </c>
      <c r="D8" s="104" t="s">
        <v>89</v>
      </c>
      <c r="E8" s="104" t="s">
        <v>90</v>
      </c>
      <c r="F8" s="104" t="s">
        <v>91</v>
      </c>
      <c r="G8" s="104" t="s">
        <v>92</v>
      </c>
      <c r="H8" s="104" t="s">
        <v>93</v>
      </c>
      <c r="I8" s="104" t="s">
        <v>44</v>
      </c>
      <c r="J8" s="104" t="s">
        <v>94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104" t="s">
        <v>95</v>
      </c>
      <c r="B9" s="104" t="s">
        <v>96</v>
      </c>
      <c r="C9" s="104" t="s">
        <v>97</v>
      </c>
      <c r="D9" s="104" t="s">
        <v>65</v>
      </c>
      <c r="E9" s="104"/>
      <c r="F9" s="104" t="s">
        <v>98</v>
      </c>
      <c r="G9" s="104" t="s">
        <v>99</v>
      </c>
      <c r="H9" s="104" t="s">
        <v>100</v>
      </c>
      <c r="I9" s="104" t="s">
        <v>69</v>
      </c>
      <c r="J9" s="104" t="s">
        <v>101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>
      <c r="A10" s="104" t="s">
        <v>102</v>
      </c>
      <c r="B10" s="104" t="s">
        <v>103</v>
      </c>
      <c r="C10" s="104" t="s">
        <v>104</v>
      </c>
      <c r="D10" s="104" t="s">
        <v>105</v>
      </c>
      <c r="E10" s="104"/>
      <c r="F10" s="104" t="s">
        <v>106</v>
      </c>
      <c r="G10" s="104" t="s">
        <v>107</v>
      </c>
      <c r="H10" s="104" t="s">
        <v>76</v>
      </c>
      <c r="I10" s="104" t="s">
        <v>44</v>
      </c>
      <c r="J10" s="104" t="s">
        <v>2657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104" t="s">
        <v>108</v>
      </c>
      <c r="B11" s="104" t="s">
        <v>109</v>
      </c>
      <c r="C11" s="104" t="s">
        <v>110</v>
      </c>
      <c r="D11" s="104" t="s">
        <v>111</v>
      </c>
      <c r="E11" s="104"/>
      <c r="F11" s="104" t="s">
        <v>112</v>
      </c>
      <c r="G11" s="104" t="s">
        <v>113</v>
      </c>
      <c r="H11" s="104" t="s">
        <v>114</v>
      </c>
      <c r="I11" s="104" t="s">
        <v>44</v>
      </c>
      <c r="J11" s="104" t="s">
        <v>2656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>
      <c r="A12" s="104" t="s">
        <v>115</v>
      </c>
      <c r="B12" s="104" t="s">
        <v>116</v>
      </c>
      <c r="C12" s="104" t="s">
        <v>117</v>
      </c>
      <c r="D12" s="104" t="s">
        <v>111</v>
      </c>
      <c r="E12" s="104"/>
      <c r="F12" s="104" t="s">
        <v>118</v>
      </c>
      <c r="G12" s="104" t="s">
        <v>119</v>
      </c>
      <c r="H12" s="104" t="s">
        <v>120</v>
      </c>
      <c r="I12" s="104" t="s">
        <v>44</v>
      </c>
      <c r="J12" s="10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7.25">
      <c r="A13" s="104" t="s">
        <v>48</v>
      </c>
      <c r="B13" s="104" t="s">
        <v>121</v>
      </c>
      <c r="C13" s="104" t="s">
        <v>122</v>
      </c>
      <c r="D13" s="104" t="s">
        <v>123</v>
      </c>
      <c r="E13" s="104" t="s">
        <v>124</v>
      </c>
      <c r="F13" s="104" t="s">
        <v>125</v>
      </c>
      <c r="G13" s="104" t="s">
        <v>126</v>
      </c>
      <c r="H13" s="104" t="s">
        <v>127</v>
      </c>
      <c r="I13" s="104" t="s">
        <v>44</v>
      </c>
      <c r="J13" s="104" t="s">
        <v>2655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zoomScale="85" zoomScaleNormal="85" workbookViewId="0">
      <selection activeCell="O20" sqref="O20"/>
    </sheetView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20.625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3" width="14" customWidth="1"/>
    <col min="14" max="14" width="18" customWidth="1"/>
    <col min="15" max="15" width="59.5" customWidth="1"/>
  </cols>
  <sheetData>
    <row r="1" spans="1:22" ht="30" customHeight="1">
      <c r="A1" s="84" t="s">
        <v>128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3"/>
      <c r="Q1" s="3"/>
      <c r="R1" s="3"/>
      <c r="S1" s="3"/>
      <c r="T1" s="3"/>
      <c r="U1" s="3"/>
      <c r="V1" s="3"/>
    </row>
    <row r="2" spans="1:22" ht="33.950000000000003" customHeight="1">
      <c r="A2" s="101" t="s">
        <v>129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31.5">
      <c r="A4" s="103" t="s">
        <v>130</v>
      </c>
      <c r="B4" s="103" t="s">
        <v>131</v>
      </c>
      <c r="C4" s="103" t="s">
        <v>132</v>
      </c>
      <c r="D4" s="103" t="s">
        <v>133</v>
      </c>
      <c r="E4" s="103" t="s">
        <v>134</v>
      </c>
      <c r="F4" s="103" t="s">
        <v>135</v>
      </c>
      <c r="G4" s="103" t="s">
        <v>136</v>
      </c>
      <c r="H4" s="103" t="s">
        <v>137</v>
      </c>
      <c r="I4" s="103" t="s">
        <v>138</v>
      </c>
      <c r="J4" s="103" t="s">
        <v>139</v>
      </c>
      <c r="K4" s="103" t="s">
        <v>140</v>
      </c>
      <c r="L4" s="103" t="s">
        <v>141</v>
      </c>
      <c r="M4" s="103" t="s">
        <v>142</v>
      </c>
      <c r="N4" s="103" t="s">
        <v>144</v>
      </c>
      <c r="O4" s="103" t="s">
        <v>145</v>
      </c>
      <c r="P4" s="3"/>
      <c r="Q4" s="3"/>
      <c r="R4" s="3"/>
      <c r="S4" s="3"/>
      <c r="T4" s="3"/>
      <c r="U4" s="3"/>
      <c r="V4" s="3"/>
    </row>
    <row r="5" spans="1:22" ht="31.5">
      <c r="A5" s="104" t="s">
        <v>146</v>
      </c>
      <c r="B5" s="104" t="s">
        <v>62</v>
      </c>
      <c r="C5" s="104" t="s">
        <v>63</v>
      </c>
      <c r="D5" s="104" t="s">
        <v>65</v>
      </c>
      <c r="E5" s="104" t="s">
        <v>147</v>
      </c>
      <c r="F5" s="104" t="s">
        <v>1725</v>
      </c>
      <c r="G5" s="104" t="s">
        <v>1729</v>
      </c>
      <c r="H5" s="104" t="s">
        <v>1730</v>
      </c>
      <c r="I5" s="104" t="s">
        <v>148</v>
      </c>
      <c r="J5" s="104" t="s">
        <v>149</v>
      </c>
      <c r="K5" s="104" t="s">
        <v>150</v>
      </c>
      <c r="L5" s="104" t="s">
        <v>1956</v>
      </c>
      <c r="M5" s="104" t="s">
        <v>1731</v>
      </c>
      <c r="N5" s="104" t="s">
        <v>522</v>
      </c>
      <c r="O5" s="104" t="s">
        <v>1732</v>
      </c>
      <c r="P5" s="3"/>
      <c r="Q5" s="3"/>
      <c r="R5" s="3"/>
      <c r="S5" s="3"/>
      <c r="T5" s="3"/>
      <c r="U5" s="3"/>
      <c r="V5" s="3"/>
    </row>
    <row r="6" spans="1:22" ht="31.5">
      <c r="A6" s="104" t="s">
        <v>151</v>
      </c>
      <c r="B6" s="104" t="s">
        <v>71</v>
      </c>
      <c r="C6" s="104" t="s">
        <v>72</v>
      </c>
      <c r="D6" s="104" t="s">
        <v>65</v>
      </c>
      <c r="E6" s="104" t="s">
        <v>152</v>
      </c>
      <c r="F6" s="104" t="s">
        <v>1725</v>
      </c>
      <c r="G6" s="104" t="s">
        <v>1729</v>
      </c>
      <c r="H6" s="104" t="s">
        <v>1730</v>
      </c>
      <c r="I6" s="104" t="s">
        <v>148</v>
      </c>
      <c r="J6" s="104" t="s">
        <v>149</v>
      </c>
      <c r="K6" s="104" t="s">
        <v>150</v>
      </c>
      <c r="L6" s="104" t="s">
        <v>1957</v>
      </c>
      <c r="M6" s="104" t="s">
        <v>1731</v>
      </c>
      <c r="N6" s="104" t="s">
        <v>522</v>
      </c>
      <c r="O6" s="104" t="s">
        <v>1733</v>
      </c>
      <c r="P6" s="3"/>
      <c r="Q6" s="3"/>
      <c r="R6" s="3"/>
      <c r="S6" s="3"/>
      <c r="T6" s="3"/>
      <c r="U6" s="3"/>
      <c r="V6" s="3"/>
    </row>
    <row r="7" spans="1:22" ht="47.25">
      <c r="A7" s="104" t="s">
        <v>153</v>
      </c>
      <c r="B7" s="104" t="s">
        <v>78</v>
      </c>
      <c r="C7" s="104" t="s">
        <v>79</v>
      </c>
      <c r="D7" s="104" t="s">
        <v>65</v>
      </c>
      <c r="E7" s="104" t="s">
        <v>154</v>
      </c>
      <c r="F7" s="104" t="s">
        <v>1725</v>
      </c>
      <c r="G7" s="104" t="s">
        <v>1729</v>
      </c>
      <c r="H7" s="104" t="s">
        <v>1730</v>
      </c>
      <c r="I7" s="104" t="s">
        <v>148</v>
      </c>
      <c r="J7" s="104" t="s">
        <v>149</v>
      </c>
      <c r="K7" s="104" t="s">
        <v>150</v>
      </c>
      <c r="L7" s="104" t="s">
        <v>1958</v>
      </c>
      <c r="M7" s="104" t="s">
        <v>1731</v>
      </c>
      <c r="N7" s="104" t="s">
        <v>522</v>
      </c>
      <c r="O7" s="104" t="s">
        <v>1734</v>
      </c>
      <c r="P7" s="3"/>
      <c r="Q7" s="3"/>
      <c r="R7" s="3"/>
      <c r="S7" s="3"/>
      <c r="T7" s="3"/>
      <c r="U7" s="3"/>
      <c r="V7" s="3"/>
    </row>
    <row r="8" spans="1:22" ht="31.5">
      <c r="A8" s="104" t="s">
        <v>155</v>
      </c>
      <c r="B8" s="104" t="s">
        <v>86</v>
      </c>
      <c r="C8" s="104" t="s">
        <v>87</v>
      </c>
      <c r="D8" s="104" t="s">
        <v>89</v>
      </c>
      <c r="E8" s="104" t="s">
        <v>156</v>
      </c>
      <c r="F8" s="104" t="s">
        <v>1726</v>
      </c>
      <c r="G8" s="104" t="s">
        <v>1729</v>
      </c>
      <c r="H8" s="104" t="s">
        <v>1730</v>
      </c>
      <c r="I8" s="104" t="s">
        <v>164</v>
      </c>
      <c r="J8" s="104" t="s">
        <v>149</v>
      </c>
      <c r="K8" s="104" t="s">
        <v>150</v>
      </c>
      <c r="L8" s="104" t="s">
        <v>1959</v>
      </c>
      <c r="M8" s="104" t="s">
        <v>1731</v>
      </c>
      <c r="N8" s="104" t="s">
        <v>522</v>
      </c>
      <c r="O8" s="104" t="s">
        <v>1735</v>
      </c>
      <c r="P8" s="3"/>
      <c r="Q8" s="3"/>
      <c r="R8" s="3"/>
      <c r="S8" s="3"/>
      <c r="T8" s="3"/>
      <c r="U8" s="3"/>
      <c r="V8" s="3"/>
    </row>
    <row r="9" spans="1:22" ht="31.5">
      <c r="A9" s="104" t="s">
        <v>157</v>
      </c>
      <c r="B9" s="104" t="s">
        <v>95</v>
      </c>
      <c r="C9" s="104" t="s">
        <v>96</v>
      </c>
      <c r="D9" s="104" t="s">
        <v>65</v>
      </c>
      <c r="E9" s="104" t="s">
        <v>158</v>
      </c>
      <c r="F9" s="104" t="s">
        <v>1726</v>
      </c>
      <c r="G9" s="104" t="s">
        <v>1729</v>
      </c>
      <c r="H9" s="104" t="s">
        <v>1730</v>
      </c>
      <c r="I9" s="104" t="s">
        <v>159</v>
      </c>
      <c r="J9" s="104" t="s">
        <v>149</v>
      </c>
      <c r="K9" s="104" t="s">
        <v>150</v>
      </c>
      <c r="L9" s="104" t="s">
        <v>1960</v>
      </c>
      <c r="M9" s="104" t="s">
        <v>1731</v>
      </c>
      <c r="N9" s="104" t="s">
        <v>522</v>
      </c>
      <c r="O9" s="104" t="s">
        <v>1736</v>
      </c>
      <c r="P9" s="3"/>
      <c r="Q9" s="3"/>
      <c r="R9" s="3"/>
      <c r="S9" s="3"/>
      <c r="T9" s="3"/>
      <c r="U9" s="3"/>
      <c r="V9" s="3"/>
    </row>
    <row r="10" spans="1:22" ht="47.25">
      <c r="A10" s="104" t="s">
        <v>160</v>
      </c>
      <c r="B10" s="104" t="s">
        <v>102</v>
      </c>
      <c r="C10" s="104" t="s">
        <v>103</v>
      </c>
      <c r="D10" s="104" t="s">
        <v>105</v>
      </c>
      <c r="E10" s="104" t="s">
        <v>161</v>
      </c>
      <c r="F10" s="104" t="s">
        <v>1727</v>
      </c>
      <c r="G10" s="104" t="s">
        <v>1729</v>
      </c>
      <c r="H10" s="104" t="s">
        <v>1730</v>
      </c>
      <c r="I10" s="104" t="s">
        <v>159</v>
      </c>
      <c r="J10" s="104" t="s">
        <v>149</v>
      </c>
      <c r="K10" s="104" t="s">
        <v>150</v>
      </c>
      <c r="L10" s="104" t="s">
        <v>1961</v>
      </c>
      <c r="M10" s="104" t="s">
        <v>1731</v>
      </c>
      <c r="N10" s="104" t="s">
        <v>522</v>
      </c>
      <c r="O10" s="104" t="s">
        <v>1737</v>
      </c>
      <c r="P10" s="3"/>
      <c r="Q10" s="3"/>
      <c r="R10" s="3"/>
      <c r="S10" s="3"/>
      <c r="T10" s="3"/>
      <c r="U10" s="3"/>
      <c r="V10" s="3"/>
    </row>
    <row r="11" spans="1:22" ht="31.5">
      <c r="A11" s="104" t="s">
        <v>162</v>
      </c>
      <c r="B11" s="104" t="s">
        <v>108</v>
      </c>
      <c r="C11" s="104" t="s">
        <v>109</v>
      </c>
      <c r="D11" s="104" t="s">
        <v>111</v>
      </c>
      <c r="E11" s="104" t="s">
        <v>163</v>
      </c>
      <c r="F11" s="104" t="s">
        <v>1728</v>
      </c>
      <c r="G11" s="104" t="s">
        <v>1729</v>
      </c>
      <c r="H11" s="104" t="s">
        <v>1730</v>
      </c>
      <c r="I11" s="104" t="s">
        <v>164</v>
      </c>
      <c r="J11" s="104" t="s">
        <v>149</v>
      </c>
      <c r="K11" s="104" t="s">
        <v>150</v>
      </c>
      <c r="L11" s="104" t="s">
        <v>1962</v>
      </c>
      <c r="M11" s="104" t="s">
        <v>1731</v>
      </c>
      <c r="N11" s="104" t="s">
        <v>44</v>
      </c>
      <c r="O11" s="104" t="s">
        <v>1738</v>
      </c>
      <c r="P11" s="3"/>
      <c r="Q11" s="3"/>
      <c r="R11" s="3"/>
      <c r="S11" s="3"/>
      <c r="T11" s="3"/>
      <c r="U11" s="3"/>
      <c r="V11" s="3"/>
    </row>
    <row r="12" spans="1:22" ht="31.5">
      <c r="A12" s="104" t="s">
        <v>165</v>
      </c>
      <c r="B12" s="104" t="s">
        <v>115</v>
      </c>
      <c r="C12" s="104" t="s">
        <v>116</v>
      </c>
      <c r="D12" s="104" t="s">
        <v>111</v>
      </c>
      <c r="E12" s="104" t="s">
        <v>166</v>
      </c>
      <c r="F12" s="104" t="s">
        <v>1728</v>
      </c>
      <c r="G12" s="104" t="s">
        <v>1729</v>
      </c>
      <c r="H12" s="104" t="s">
        <v>1730</v>
      </c>
      <c r="I12" s="104" t="s">
        <v>164</v>
      </c>
      <c r="J12" s="104" t="s">
        <v>149</v>
      </c>
      <c r="K12" s="104" t="s">
        <v>150</v>
      </c>
      <c r="L12" s="104" t="s">
        <v>1963</v>
      </c>
      <c r="M12" s="104" t="s">
        <v>1731</v>
      </c>
      <c r="N12" s="104" t="s">
        <v>44</v>
      </c>
      <c r="O12" s="104" t="s">
        <v>1739</v>
      </c>
      <c r="P12" s="3"/>
      <c r="Q12" s="3"/>
      <c r="R12" s="3"/>
      <c r="S12" s="3"/>
      <c r="T12" s="3"/>
      <c r="U12" s="3"/>
      <c r="V12" s="3"/>
    </row>
    <row r="13" spans="1:22" ht="47.25">
      <c r="A13" s="104" t="s">
        <v>167</v>
      </c>
      <c r="B13" s="104" t="s">
        <v>48</v>
      </c>
      <c r="C13" s="104" t="s">
        <v>121</v>
      </c>
      <c r="D13" s="104" t="s">
        <v>123</v>
      </c>
      <c r="E13" s="104" t="s">
        <v>168</v>
      </c>
      <c r="F13" s="104" t="s">
        <v>1728</v>
      </c>
      <c r="G13" s="104" t="s">
        <v>1729</v>
      </c>
      <c r="H13" s="104" t="s">
        <v>1730</v>
      </c>
      <c r="I13" s="104" t="s">
        <v>164</v>
      </c>
      <c r="J13" s="104" t="s">
        <v>149</v>
      </c>
      <c r="K13" s="104" t="s">
        <v>150</v>
      </c>
      <c r="L13" s="104" t="s">
        <v>1964</v>
      </c>
      <c r="M13" s="104" t="s">
        <v>1731</v>
      </c>
      <c r="N13" s="104" t="s">
        <v>44</v>
      </c>
      <c r="O13" s="104" t="s">
        <v>1740</v>
      </c>
      <c r="P13" s="3"/>
      <c r="Q13" s="3"/>
      <c r="R13" s="3"/>
      <c r="S13" s="3"/>
      <c r="T13" s="3"/>
      <c r="U13" s="3"/>
      <c r="V13" s="3"/>
    </row>
    <row r="14" spans="1:22" ht="15.75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>
      <selection activeCell="A2" sqref="A2:X2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84" t="s">
        <v>169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3"/>
      <c r="Z1" s="3"/>
    </row>
    <row r="2" spans="1:31" ht="33.950000000000003" customHeight="1">
      <c r="A2" s="101" t="s">
        <v>170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130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137</v>
      </c>
      <c r="G4" s="4" t="s">
        <v>175</v>
      </c>
      <c r="H4" s="4" t="s">
        <v>52</v>
      </c>
      <c r="I4" s="4" t="s">
        <v>132</v>
      </c>
      <c r="J4" s="4" t="s">
        <v>133</v>
      </c>
      <c r="K4" s="4" t="s">
        <v>176</v>
      </c>
      <c r="L4" s="4" t="s">
        <v>177</v>
      </c>
      <c r="M4" s="4" t="s">
        <v>178</v>
      </c>
      <c r="N4" s="4" t="s">
        <v>179</v>
      </c>
      <c r="O4" s="4" t="s">
        <v>180</v>
      </c>
      <c r="P4" s="4" t="s">
        <v>181</v>
      </c>
      <c r="Q4" s="4" t="s">
        <v>182</v>
      </c>
      <c r="R4" s="4" t="s">
        <v>183</v>
      </c>
      <c r="S4" s="4" t="s">
        <v>143</v>
      </c>
      <c r="T4" s="4" t="s">
        <v>144</v>
      </c>
      <c r="U4" s="4" t="s">
        <v>184</v>
      </c>
      <c r="V4" s="4" t="s">
        <v>185</v>
      </c>
      <c r="W4" s="4" t="s">
        <v>186</v>
      </c>
      <c r="X4" s="4" t="s">
        <v>187</v>
      </c>
      <c r="Y4" s="9" t="s">
        <v>188</v>
      </c>
      <c r="Z4" s="9" t="s">
        <v>189</v>
      </c>
      <c r="AA4" s="35" t="s">
        <v>190</v>
      </c>
      <c r="AB4" s="35" t="s">
        <v>191</v>
      </c>
      <c r="AC4" s="35" t="s">
        <v>192</v>
      </c>
      <c r="AD4" s="35" t="s">
        <v>193</v>
      </c>
      <c r="AE4" s="35" t="s">
        <v>1831</v>
      </c>
    </row>
    <row r="5" spans="1:31" ht="81">
      <c r="A5" s="5" t="s">
        <v>194</v>
      </c>
      <c r="B5" s="5" t="s">
        <v>195</v>
      </c>
      <c r="C5" s="5" t="s">
        <v>196</v>
      </c>
      <c r="D5" s="5" t="s">
        <v>197</v>
      </c>
      <c r="E5" s="5" t="s">
        <v>198</v>
      </c>
      <c r="F5" s="5" t="s">
        <v>199</v>
      </c>
      <c r="G5" s="5" t="s">
        <v>200</v>
      </c>
      <c r="H5" s="5" t="s">
        <v>62</v>
      </c>
      <c r="I5" s="5" t="s">
        <v>63</v>
      </c>
      <c r="J5" s="5" t="s">
        <v>65</v>
      </c>
      <c r="K5" s="5" t="s">
        <v>201</v>
      </c>
      <c r="L5" s="5" t="s">
        <v>202</v>
      </c>
      <c r="M5" s="5" t="s">
        <v>203</v>
      </c>
      <c r="N5" s="5" t="s">
        <v>1832</v>
      </c>
      <c r="O5" s="5" t="s">
        <v>204</v>
      </c>
      <c r="P5" s="5" t="s">
        <v>205</v>
      </c>
      <c r="Q5" s="5" t="s">
        <v>63</v>
      </c>
      <c r="R5" s="5" t="s">
        <v>206</v>
      </c>
      <c r="S5" s="5" t="s">
        <v>207</v>
      </c>
      <c r="T5" s="5" t="s">
        <v>44</v>
      </c>
      <c r="U5" s="5" t="s">
        <v>2042</v>
      </c>
      <c r="V5" s="34">
        <v>46215</v>
      </c>
      <c r="W5" s="5" t="s">
        <v>1833</v>
      </c>
      <c r="X5" s="5" t="s">
        <v>1834</v>
      </c>
      <c r="Y5" s="5" t="s">
        <v>44</v>
      </c>
      <c r="Z5" s="5" t="s">
        <v>522</v>
      </c>
      <c r="AA5" s="2" t="s">
        <v>522</v>
      </c>
      <c r="AB5" s="2" t="s">
        <v>205</v>
      </c>
      <c r="AC5" s="2" t="s">
        <v>522</v>
      </c>
      <c r="AD5" s="2" t="s">
        <v>1835</v>
      </c>
      <c r="AE5" s="2" t="s">
        <v>1791</v>
      </c>
    </row>
    <row r="6" spans="1:31" ht="81">
      <c r="A6" s="5" t="s">
        <v>208</v>
      </c>
      <c r="B6" s="5" t="s">
        <v>195</v>
      </c>
      <c r="C6" s="5" t="s">
        <v>196</v>
      </c>
      <c r="D6" s="5" t="s">
        <v>197</v>
      </c>
      <c r="E6" s="5" t="s">
        <v>198</v>
      </c>
      <c r="F6" s="5" t="s">
        <v>199</v>
      </c>
      <c r="G6" s="5" t="s">
        <v>200</v>
      </c>
      <c r="H6" s="5" t="s">
        <v>71</v>
      </c>
      <c r="I6" s="5" t="s">
        <v>72</v>
      </c>
      <c r="J6" s="5" t="s">
        <v>65</v>
      </c>
      <c r="K6" s="5" t="s">
        <v>209</v>
      </c>
      <c r="L6" s="5" t="s">
        <v>202</v>
      </c>
      <c r="M6" s="5" t="s">
        <v>203</v>
      </c>
      <c r="N6" s="5" t="s">
        <v>1832</v>
      </c>
      <c r="O6" s="5" t="s">
        <v>204</v>
      </c>
      <c r="P6" s="5" t="s">
        <v>205</v>
      </c>
      <c r="Q6" s="5" t="s">
        <v>72</v>
      </c>
      <c r="R6" s="5" t="s">
        <v>210</v>
      </c>
      <c r="S6" s="5" t="s">
        <v>207</v>
      </c>
      <c r="T6" s="5" t="s">
        <v>44</v>
      </c>
      <c r="U6" s="5" t="s">
        <v>2042</v>
      </c>
      <c r="V6" s="34">
        <v>46215</v>
      </c>
      <c r="W6" s="5" t="s">
        <v>1833</v>
      </c>
      <c r="X6" s="5" t="s">
        <v>1834</v>
      </c>
      <c r="Y6" s="3" t="s">
        <v>44</v>
      </c>
      <c r="Z6" s="3" t="s">
        <v>522</v>
      </c>
      <c r="AA6" s="32" t="s">
        <v>522</v>
      </c>
      <c r="AB6" s="32" t="s">
        <v>205</v>
      </c>
      <c r="AC6" s="32" t="s">
        <v>522</v>
      </c>
      <c r="AD6" s="32" t="s">
        <v>1835</v>
      </c>
      <c r="AE6" s="32" t="s">
        <v>1791</v>
      </c>
    </row>
    <row r="7" spans="1:31" ht="81">
      <c r="A7" s="5" t="s">
        <v>211</v>
      </c>
      <c r="B7" s="5" t="s">
        <v>195</v>
      </c>
      <c r="C7" s="5" t="s">
        <v>196</v>
      </c>
      <c r="D7" s="5" t="s">
        <v>197</v>
      </c>
      <c r="E7" s="5" t="s">
        <v>198</v>
      </c>
      <c r="F7" s="5" t="s">
        <v>199</v>
      </c>
      <c r="G7" s="5" t="s">
        <v>200</v>
      </c>
      <c r="H7" s="5" t="s">
        <v>78</v>
      </c>
      <c r="I7" s="5" t="s">
        <v>79</v>
      </c>
      <c r="J7" s="5" t="s">
        <v>212</v>
      </c>
      <c r="K7" s="5" t="s">
        <v>213</v>
      </c>
      <c r="L7" s="5" t="s">
        <v>202</v>
      </c>
      <c r="M7" s="5" t="s">
        <v>203</v>
      </c>
      <c r="N7" s="5" t="s">
        <v>1832</v>
      </c>
      <c r="O7" s="5" t="s">
        <v>204</v>
      </c>
      <c r="P7" s="5" t="s">
        <v>205</v>
      </c>
      <c r="Q7" s="5" t="s">
        <v>79</v>
      </c>
      <c r="R7" s="5" t="s">
        <v>214</v>
      </c>
      <c r="S7" s="5" t="s">
        <v>207</v>
      </c>
      <c r="T7" s="5" t="s">
        <v>44</v>
      </c>
      <c r="U7" s="5" t="s">
        <v>2042</v>
      </c>
      <c r="V7" s="34">
        <v>46215</v>
      </c>
      <c r="W7" s="5" t="s">
        <v>1833</v>
      </c>
      <c r="X7" s="5" t="s">
        <v>1834</v>
      </c>
      <c r="Y7" s="3" t="s">
        <v>44</v>
      </c>
      <c r="Z7" s="3" t="s">
        <v>522</v>
      </c>
      <c r="AA7" s="32" t="s">
        <v>522</v>
      </c>
      <c r="AB7" s="32" t="s">
        <v>205</v>
      </c>
      <c r="AC7" s="32" t="s">
        <v>522</v>
      </c>
      <c r="AD7" s="32" t="s">
        <v>1835</v>
      </c>
      <c r="AE7" s="32" t="s">
        <v>1791</v>
      </c>
    </row>
    <row r="8" spans="1:31" ht="81">
      <c r="A8" s="5" t="s">
        <v>215</v>
      </c>
      <c r="B8" s="5" t="s">
        <v>195</v>
      </c>
      <c r="C8" s="5" t="s">
        <v>196</v>
      </c>
      <c r="D8" s="5" t="s">
        <v>197</v>
      </c>
      <c r="E8" s="5" t="s">
        <v>198</v>
      </c>
      <c r="F8" s="5" t="s">
        <v>199</v>
      </c>
      <c r="G8" s="5" t="s">
        <v>200</v>
      </c>
      <c r="H8" s="5" t="s">
        <v>86</v>
      </c>
      <c r="I8" s="5" t="s">
        <v>87</v>
      </c>
      <c r="J8" s="5" t="s">
        <v>89</v>
      </c>
      <c r="K8" s="5" t="s">
        <v>216</v>
      </c>
      <c r="L8" s="5" t="s">
        <v>202</v>
      </c>
      <c r="M8" s="5" t="s">
        <v>203</v>
      </c>
      <c r="N8" s="5" t="s">
        <v>1832</v>
      </c>
      <c r="O8" s="5" t="s">
        <v>204</v>
      </c>
      <c r="P8" s="5" t="s">
        <v>205</v>
      </c>
      <c r="Q8" s="5" t="s">
        <v>87</v>
      </c>
      <c r="R8" s="5"/>
      <c r="S8" s="5" t="s">
        <v>207</v>
      </c>
      <c r="T8" s="5" t="s">
        <v>44</v>
      </c>
      <c r="U8" s="5" t="s">
        <v>2042</v>
      </c>
      <c r="V8" s="34">
        <v>46215</v>
      </c>
      <c r="W8" s="5" t="s">
        <v>1833</v>
      </c>
      <c r="X8" s="5" t="s">
        <v>1834</v>
      </c>
      <c r="Y8" s="3" t="s">
        <v>44</v>
      </c>
      <c r="Z8" s="3" t="s">
        <v>522</v>
      </c>
      <c r="AA8" s="32" t="s">
        <v>522</v>
      </c>
      <c r="AB8" s="32" t="s">
        <v>205</v>
      </c>
      <c r="AC8" s="32" t="s">
        <v>522</v>
      </c>
      <c r="AD8" s="32" t="s">
        <v>1835</v>
      </c>
      <c r="AE8" s="32" t="s">
        <v>1791</v>
      </c>
    </row>
    <row r="9" spans="1:31" ht="81">
      <c r="A9" s="5" t="s">
        <v>217</v>
      </c>
      <c r="B9" s="5" t="s">
        <v>195</v>
      </c>
      <c r="C9" s="5" t="s">
        <v>196</v>
      </c>
      <c r="D9" s="5" t="s">
        <v>197</v>
      </c>
      <c r="E9" s="5" t="s">
        <v>198</v>
      </c>
      <c r="F9" s="5" t="s">
        <v>199</v>
      </c>
      <c r="G9" s="5" t="s">
        <v>200</v>
      </c>
      <c r="H9" s="5" t="s">
        <v>95</v>
      </c>
      <c r="I9" s="5" t="s">
        <v>96</v>
      </c>
      <c r="J9" s="5" t="s">
        <v>65</v>
      </c>
      <c r="K9" s="5" t="s">
        <v>218</v>
      </c>
      <c r="L9" s="5" t="s">
        <v>202</v>
      </c>
      <c r="M9" s="5" t="s">
        <v>203</v>
      </c>
      <c r="N9" s="5" t="s">
        <v>1832</v>
      </c>
      <c r="O9" s="5" t="s">
        <v>204</v>
      </c>
      <c r="P9" s="5" t="s">
        <v>205</v>
      </c>
      <c r="Q9" s="5" t="s">
        <v>96</v>
      </c>
      <c r="R9" s="5" t="s">
        <v>219</v>
      </c>
      <c r="S9" s="5" t="s">
        <v>207</v>
      </c>
      <c r="T9" s="5" t="s">
        <v>44</v>
      </c>
      <c r="U9" s="5" t="s">
        <v>2042</v>
      </c>
      <c r="V9" s="34">
        <v>46215</v>
      </c>
      <c r="W9" s="5" t="s">
        <v>1833</v>
      </c>
      <c r="X9" s="5" t="s">
        <v>1834</v>
      </c>
      <c r="Y9" s="3" t="s">
        <v>44</v>
      </c>
      <c r="Z9" s="3" t="s">
        <v>522</v>
      </c>
      <c r="AA9" s="32" t="s">
        <v>522</v>
      </c>
      <c r="AB9" s="32" t="s">
        <v>205</v>
      </c>
      <c r="AC9" s="32" t="s">
        <v>522</v>
      </c>
      <c r="AD9" s="32" t="s">
        <v>1835</v>
      </c>
      <c r="AE9" s="32" t="s">
        <v>1791</v>
      </c>
    </row>
    <row r="10" spans="1:31" ht="81">
      <c r="A10" s="5" t="s">
        <v>220</v>
      </c>
      <c r="B10" s="5" t="s">
        <v>195</v>
      </c>
      <c r="C10" s="5" t="s">
        <v>196</v>
      </c>
      <c r="D10" s="5" t="s">
        <v>197</v>
      </c>
      <c r="E10" s="5" t="s">
        <v>198</v>
      </c>
      <c r="F10" s="5" t="s">
        <v>199</v>
      </c>
      <c r="G10" s="5" t="s">
        <v>200</v>
      </c>
      <c r="H10" s="5" t="s">
        <v>102</v>
      </c>
      <c r="I10" s="5" t="s">
        <v>103</v>
      </c>
      <c r="J10" s="5" t="s">
        <v>105</v>
      </c>
      <c r="K10" s="5" t="s">
        <v>221</v>
      </c>
      <c r="L10" s="5" t="s">
        <v>202</v>
      </c>
      <c r="M10" s="5" t="s">
        <v>203</v>
      </c>
      <c r="N10" s="5" t="s">
        <v>1832</v>
      </c>
      <c r="O10" s="5" t="s">
        <v>204</v>
      </c>
      <c r="P10" s="5" t="s">
        <v>205</v>
      </c>
      <c r="Q10" s="5" t="s">
        <v>103</v>
      </c>
      <c r="R10" s="5"/>
      <c r="S10" s="5" t="s">
        <v>207</v>
      </c>
      <c r="T10" s="5" t="s">
        <v>44</v>
      </c>
      <c r="U10" s="5" t="s">
        <v>2042</v>
      </c>
      <c r="V10" s="34">
        <v>46215</v>
      </c>
      <c r="W10" s="5" t="s">
        <v>1833</v>
      </c>
      <c r="X10" s="5" t="s">
        <v>1834</v>
      </c>
      <c r="Y10" s="3" t="s">
        <v>44</v>
      </c>
      <c r="Z10" s="3" t="s">
        <v>522</v>
      </c>
      <c r="AA10" s="32" t="s">
        <v>522</v>
      </c>
      <c r="AB10" s="32" t="s">
        <v>205</v>
      </c>
      <c r="AC10" s="32" t="s">
        <v>522</v>
      </c>
      <c r="AD10" s="32" t="s">
        <v>1835</v>
      </c>
      <c r="AE10" s="32" t="s">
        <v>1791</v>
      </c>
    </row>
    <row r="11" spans="1:31" ht="81">
      <c r="A11" s="5" t="s">
        <v>222</v>
      </c>
      <c r="B11" s="5" t="s">
        <v>195</v>
      </c>
      <c r="C11" s="5" t="s">
        <v>196</v>
      </c>
      <c r="D11" s="5" t="s">
        <v>197</v>
      </c>
      <c r="E11" s="5" t="s">
        <v>198</v>
      </c>
      <c r="F11" s="5" t="s">
        <v>199</v>
      </c>
      <c r="G11" s="5" t="s">
        <v>200</v>
      </c>
      <c r="H11" s="5" t="s">
        <v>108</v>
      </c>
      <c r="I11" s="5" t="s">
        <v>109</v>
      </c>
      <c r="J11" s="5" t="s">
        <v>111</v>
      </c>
      <c r="K11" s="5" t="s">
        <v>223</v>
      </c>
      <c r="L11" s="5" t="s">
        <v>202</v>
      </c>
      <c r="M11" s="5" t="s">
        <v>203</v>
      </c>
      <c r="N11" s="5" t="s">
        <v>1832</v>
      </c>
      <c r="O11" s="5" t="s">
        <v>204</v>
      </c>
      <c r="P11" s="5" t="s">
        <v>205</v>
      </c>
      <c r="Q11" s="5" t="s">
        <v>109</v>
      </c>
      <c r="R11" s="5" t="s">
        <v>224</v>
      </c>
      <c r="S11" s="5" t="s">
        <v>207</v>
      </c>
      <c r="T11" s="5" t="s">
        <v>44</v>
      </c>
      <c r="U11" s="5" t="s">
        <v>2042</v>
      </c>
      <c r="V11" s="34">
        <v>46215</v>
      </c>
      <c r="W11" s="5" t="s">
        <v>1833</v>
      </c>
      <c r="X11" s="5" t="s">
        <v>1834</v>
      </c>
      <c r="Y11" s="3" t="s">
        <v>44</v>
      </c>
      <c r="Z11" s="3" t="s">
        <v>522</v>
      </c>
      <c r="AA11" s="32" t="s">
        <v>522</v>
      </c>
      <c r="AB11" s="32" t="s">
        <v>205</v>
      </c>
      <c r="AC11" s="32" t="s">
        <v>522</v>
      </c>
      <c r="AD11" s="32" t="s">
        <v>1835</v>
      </c>
      <c r="AE11" s="32" t="s">
        <v>1791</v>
      </c>
    </row>
    <row r="12" spans="1:31" ht="81">
      <c r="A12" s="5" t="s">
        <v>225</v>
      </c>
      <c r="B12" s="5" t="s">
        <v>195</v>
      </c>
      <c r="C12" s="5" t="s">
        <v>196</v>
      </c>
      <c r="D12" s="5" t="s">
        <v>197</v>
      </c>
      <c r="E12" s="5" t="s">
        <v>198</v>
      </c>
      <c r="F12" s="5" t="s">
        <v>199</v>
      </c>
      <c r="G12" s="5" t="s">
        <v>200</v>
      </c>
      <c r="H12" s="5" t="s">
        <v>115</v>
      </c>
      <c r="I12" s="5" t="s">
        <v>116</v>
      </c>
      <c r="J12" s="5" t="s">
        <v>111</v>
      </c>
      <c r="K12" s="5" t="s">
        <v>226</v>
      </c>
      <c r="L12" s="5" t="s">
        <v>202</v>
      </c>
      <c r="M12" s="5" t="s">
        <v>203</v>
      </c>
      <c r="N12" s="5" t="s">
        <v>1832</v>
      </c>
      <c r="O12" s="5" t="s">
        <v>204</v>
      </c>
      <c r="P12" s="5" t="s">
        <v>205</v>
      </c>
      <c r="Q12" s="5" t="s">
        <v>116</v>
      </c>
      <c r="R12" s="5" t="s">
        <v>227</v>
      </c>
      <c r="S12" s="5" t="s">
        <v>207</v>
      </c>
      <c r="T12" s="5" t="s">
        <v>44</v>
      </c>
      <c r="U12" s="5" t="s">
        <v>2042</v>
      </c>
      <c r="V12" s="34">
        <v>46215</v>
      </c>
      <c r="W12" s="5" t="s">
        <v>1833</v>
      </c>
      <c r="X12" s="5" t="s">
        <v>1834</v>
      </c>
      <c r="Y12" s="3" t="s">
        <v>44</v>
      </c>
      <c r="Z12" s="3" t="s">
        <v>522</v>
      </c>
      <c r="AA12" s="32" t="s">
        <v>522</v>
      </c>
      <c r="AB12" s="32" t="s">
        <v>205</v>
      </c>
      <c r="AC12" s="32" t="s">
        <v>522</v>
      </c>
      <c r="AD12" s="32" t="s">
        <v>1835</v>
      </c>
      <c r="AE12" s="32" t="s">
        <v>1791</v>
      </c>
    </row>
    <row r="13" spans="1:31" ht="81">
      <c r="A13" s="5" t="s">
        <v>228</v>
      </c>
      <c r="B13" s="5" t="s">
        <v>195</v>
      </c>
      <c r="C13" s="5" t="s">
        <v>196</v>
      </c>
      <c r="D13" s="5" t="s">
        <v>197</v>
      </c>
      <c r="E13" s="5" t="s">
        <v>198</v>
      </c>
      <c r="F13" s="5" t="s">
        <v>199</v>
      </c>
      <c r="G13" s="5" t="s">
        <v>200</v>
      </c>
      <c r="H13" s="5" t="s">
        <v>48</v>
      </c>
      <c r="I13" s="5" t="s">
        <v>229</v>
      </c>
      <c r="J13" s="5" t="s">
        <v>123</v>
      </c>
      <c r="K13" s="5" t="s">
        <v>230</v>
      </c>
      <c r="L13" s="5" t="s">
        <v>202</v>
      </c>
      <c r="M13" s="5" t="s">
        <v>203</v>
      </c>
      <c r="N13" s="5" t="s">
        <v>1832</v>
      </c>
      <c r="O13" s="5" t="s">
        <v>204</v>
      </c>
      <c r="P13" s="5" t="s">
        <v>205</v>
      </c>
      <c r="Q13" s="5" t="s">
        <v>229</v>
      </c>
      <c r="R13" s="5" t="s">
        <v>231</v>
      </c>
      <c r="S13" s="5" t="s">
        <v>207</v>
      </c>
      <c r="T13" s="5" t="s">
        <v>44</v>
      </c>
      <c r="U13" s="5" t="s">
        <v>2042</v>
      </c>
      <c r="V13" s="34">
        <v>46215</v>
      </c>
      <c r="W13" s="5" t="s">
        <v>1833</v>
      </c>
      <c r="X13" s="5" t="s">
        <v>1834</v>
      </c>
      <c r="Y13" s="3" t="s">
        <v>44</v>
      </c>
      <c r="Z13" s="3" t="s">
        <v>522</v>
      </c>
      <c r="AA13" s="32" t="s">
        <v>522</v>
      </c>
      <c r="AB13" s="32" t="s">
        <v>205</v>
      </c>
      <c r="AC13" s="32" t="s">
        <v>522</v>
      </c>
      <c r="AD13" s="32" t="s">
        <v>1835</v>
      </c>
      <c r="AE13" s="32" t="s">
        <v>1791</v>
      </c>
    </row>
    <row r="14" spans="1:31" ht="81">
      <c r="A14" s="5" t="s">
        <v>232</v>
      </c>
      <c r="B14" s="5" t="s">
        <v>195</v>
      </c>
      <c r="C14" s="5" t="s">
        <v>196</v>
      </c>
      <c r="D14" s="5" t="s">
        <v>197</v>
      </c>
      <c r="E14" s="5" t="s">
        <v>233</v>
      </c>
      <c r="F14" s="5" t="s">
        <v>199</v>
      </c>
      <c r="G14" s="5" t="s">
        <v>234</v>
      </c>
      <c r="H14" s="5" t="s">
        <v>95</v>
      </c>
      <c r="I14" s="5" t="s">
        <v>96</v>
      </c>
      <c r="J14" s="5" t="s">
        <v>65</v>
      </c>
      <c r="K14" s="5" t="s">
        <v>235</v>
      </c>
      <c r="L14" s="5" t="s">
        <v>202</v>
      </c>
      <c r="M14" s="5" t="s">
        <v>236</v>
      </c>
      <c r="N14" s="5" t="s">
        <v>1836</v>
      </c>
      <c r="O14" s="5" t="s">
        <v>1796</v>
      </c>
      <c r="P14" s="5" t="s">
        <v>205</v>
      </c>
      <c r="Q14" s="5" t="s">
        <v>96</v>
      </c>
      <c r="R14" s="5" t="s">
        <v>1837</v>
      </c>
      <c r="S14" s="5" t="s">
        <v>207</v>
      </c>
      <c r="T14" s="5" t="s">
        <v>44</v>
      </c>
      <c r="U14" s="5" t="s">
        <v>2042</v>
      </c>
      <c r="V14" s="34">
        <v>46215</v>
      </c>
      <c r="W14" s="5" t="s">
        <v>1838</v>
      </c>
      <c r="X14" s="5" t="s">
        <v>1839</v>
      </c>
      <c r="Y14" s="3" t="s">
        <v>44</v>
      </c>
      <c r="Z14" s="3" t="s">
        <v>522</v>
      </c>
      <c r="AA14" s="32" t="s">
        <v>522</v>
      </c>
      <c r="AB14" s="32" t="s">
        <v>205</v>
      </c>
      <c r="AC14" s="32" t="s">
        <v>522</v>
      </c>
      <c r="AD14" s="32" t="s">
        <v>1835</v>
      </c>
      <c r="AE14" s="32" t="s">
        <v>1791</v>
      </c>
    </row>
    <row r="15" spans="1:31" ht="81">
      <c r="A15" s="5" t="s">
        <v>237</v>
      </c>
      <c r="B15" s="5" t="s">
        <v>195</v>
      </c>
      <c r="C15" s="5" t="s">
        <v>238</v>
      </c>
      <c r="D15" s="5" t="s">
        <v>197</v>
      </c>
      <c r="E15" s="5" t="s">
        <v>239</v>
      </c>
      <c r="F15" s="5" t="s">
        <v>199</v>
      </c>
      <c r="G15" s="5" t="s">
        <v>240</v>
      </c>
      <c r="H15" s="5" t="s">
        <v>62</v>
      </c>
      <c r="I15" s="5" t="s">
        <v>63</v>
      </c>
      <c r="J15" s="5" t="s">
        <v>65</v>
      </c>
      <c r="K15" s="5" t="s">
        <v>241</v>
      </c>
      <c r="L15" s="5" t="s">
        <v>242</v>
      </c>
      <c r="M15" s="5" t="s">
        <v>243</v>
      </c>
      <c r="N15" s="5" t="s">
        <v>1840</v>
      </c>
      <c r="O15" s="5"/>
      <c r="P15" s="5"/>
      <c r="Q15" s="5"/>
      <c r="R15" s="5"/>
      <c r="S15" s="5" t="s">
        <v>207</v>
      </c>
      <c r="T15" s="5" t="s">
        <v>44</v>
      </c>
      <c r="U15" s="5" t="s">
        <v>2042</v>
      </c>
      <c r="V15" s="34">
        <v>46215</v>
      </c>
      <c r="W15" s="5" t="s">
        <v>1841</v>
      </c>
      <c r="X15" s="5" t="s">
        <v>1842</v>
      </c>
      <c r="Y15" s="3" t="s">
        <v>44</v>
      </c>
      <c r="Z15" s="3" t="s">
        <v>522</v>
      </c>
      <c r="AA15" s="32" t="s">
        <v>522</v>
      </c>
      <c r="AB15" s="32" t="s">
        <v>205</v>
      </c>
      <c r="AC15" s="32" t="s">
        <v>522</v>
      </c>
      <c r="AD15" s="32" t="s">
        <v>1843</v>
      </c>
      <c r="AE15" s="32" t="s">
        <v>1791</v>
      </c>
    </row>
    <row r="16" spans="1:31" ht="81">
      <c r="A16" s="5" t="s">
        <v>244</v>
      </c>
      <c r="B16" s="5" t="s">
        <v>195</v>
      </c>
      <c r="C16" s="5" t="s">
        <v>238</v>
      </c>
      <c r="D16" s="5" t="s">
        <v>197</v>
      </c>
      <c r="E16" s="5" t="s">
        <v>239</v>
      </c>
      <c r="F16" s="5" t="s">
        <v>199</v>
      </c>
      <c r="G16" s="5" t="s">
        <v>240</v>
      </c>
      <c r="H16" s="5" t="s">
        <v>86</v>
      </c>
      <c r="I16" s="5" t="s">
        <v>87</v>
      </c>
      <c r="J16" s="5" t="s">
        <v>89</v>
      </c>
      <c r="K16" s="5" t="s">
        <v>245</v>
      </c>
      <c r="L16" s="5" t="s">
        <v>242</v>
      </c>
      <c r="M16" s="5" t="s">
        <v>243</v>
      </c>
      <c r="N16" s="5" t="s">
        <v>1840</v>
      </c>
      <c r="O16" s="5"/>
      <c r="P16" s="5"/>
      <c r="Q16" s="5"/>
      <c r="R16" s="5"/>
      <c r="S16" s="5" t="s">
        <v>207</v>
      </c>
      <c r="T16" s="5" t="s">
        <v>44</v>
      </c>
      <c r="U16" s="5" t="s">
        <v>2042</v>
      </c>
      <c r="V16" s="34">
        <v>46215</v>
      </c>
      <c r="W16" s="5" t="s">
        <v>1841</v>
      </c>
      <c r="X16" s="5" t="s">
        <v>1842</v>
      </c>
      <c r="Y16" s="3" t="s">
        <v>44</v>
      </c>
      <c r="Z16" s="3" t="s">
        <v>522</v>
      </c>
      <c r="AA16" s="32" t="s">
        <v>522</v>
      </c>
      <c r="AB16" s="32" t="s">
        <v>205</v>
      </c>
      <c r="AC16" s="32" t="s">
        <v>522</v>
      </c>
      <c r="AD16" s="32" t="s">
        <v>1843</v>
      </c>
      <c r="AE16" s="32" t="s">
        <v>1791</v>
      </c>
    </row>
    <row r="17" spans="1:31" ht="81">
      <c r="A17" s="5" t="s">
        <v>246</v>
      </c>
      <c r="B17" s="5" t="s">
        <v>195</v>
      </c>
      <c r="C17" s="5" t="s">
        <v>238</v>
      </c>
      <c r="D17" s="5" t="s">
        <v>197</v>
      </c>
      <c r="E17" s="5" t="s">
        <v>239</v>
      </c>
      <c r="F17" s="5" t="s">
        <v>199</v>
      </c>
      <c r="G17" s="5" t="s">
        <v>240</v>
      </c>
      <c r="H17" s="5" t="s">
        <v>108</v>
      </c>
      <c r="I17" s="5" t="s">
        <v>109</v>
      </c>
      <c r="J17" s="5" t="s">
        <v>111</v>
      </c>
      <c r="K17" s="5" t="s">
        <v>247</v>
      </c>
      <c r="L17" s="5" t="s">
        <v>242</v>
      </c>
      <c r="M17" s="5" t="s">
        <v>243</v>
      </c>
      <c r="N17" s="5" t="s">
        <v>1840</v>
      </c>
      <c r="O17" s="5"/>
      <c r="P17" s="5"/>
      <c r="Q17" s="5"/>
      <c r="R17" s="5"/>
      <c r="S17" s="5" t="s">
        <v>207</v>
      </c>
      <c r="T17" s="5" t="s">
        <v>44</v>
      </c>
      <c r="U17" s="5" t="s">
        <v>2042</v>
      </c>
      <c r="V17" s="34">
        <v>46215</v>
      </c>
      <c r="W17" s="5" t="s">
        <v>1841</v>
      </c>
      <c r="X17" s="5" t="s">
        <v>1842</v>
      </c>
      <c r="Y17" s="3" t="s">
        <v>44</v>
      </c>
      <c r="Z17" s="3" t="s">
        <v>522</v>
      </c>
      <c r="AA17" s="32" t="s">
        <v>522</v>
      </c>
      <c r="AB17" s="32" t="s">
        <v>205</v>
      </c>
      <c r="AC17" s="32" t="s">
        <v>522</v>
      </c>
      <c r="AD17" s="32" t="s">
        <v>1843</v>
      </c>
      <c r="AE17" s="32" t="s">
        <v>1791</v>
      </c>
    </row>
    <row r="18" spans="1:31" ht="81">
      <c r="A18" s="5" t="s">
        <v>248</v>
      </c>
      <c r="B18" s="5" t="s">
        <v>195</v>
      </c>
      <c r="C18" s="5" t="s">
        <v>238</v>
      </c>
      <c r="D18" s="5" t="s">
        <v>197</v>
      </c>
      <c r="E18" s="5" t="s">
        <v>239</v>
      </c>
      <c r="F18" s="5" t="s">
        <v>199</v>
      </c>
      <c r="G18" s="5" t="s">
        <v>240</v>
      </c>
      <c r="H18" s="5" t="s">
        <v>115</v>
      </c>
      <c r="I18" s="5" t="s">
        <v>116</v>
      </c>
      <c r="J18" s="5" t="s">
        <v>111</v>
      </c>
      <c r="K18" s="5" t="s">
        <v>249</v>
      </c>
      <c r="L18" s="5" t="s">
        <v>242</v>
      </c>
      <c r="M18" s="5" t="s">
        <v>243</v>
      </c>
      <c r="N18" s="5" t="s">
        <v>1840</v>
      </c>
      <c r="O18" s="5"/>
      <c r="P18" s="5"/>
      <c r="Q18" s="5"/>
      <c r="R18" s="5"/>
      <c r="S18" s="5" t="s">
        <v>207</v>
      </c>
      <c r="T18" s="5" t="s">
        <v>44</v>
      </c>
      <c r="U18" s="5" t="s">
        <v>2042</v>
      </c>
      <c r="V18" s="34">
        <v>46215</v>
      </c>
      <c r="W18" s="5" t="s">
        <v>1841</v>
      </c>
      <c r="X18" s="5" t="s">
        <v>1842</v>
      </c>
      <c r="Y18" s="3" t="s">
        <v>44</v>
      </c>
      <c r="Z18" s="3" t="s">
        <v>522</v>
      </c>
      <c r="AA18" s="32" t="s">
        <v>522</v>
      </c>
      <c r="AB18" s="32" t="s">
        <v>205</v>
      </c>
      <c r="AC18" s="32" t="s">
        <v>522</v>
      </c>
      <c r="AD18" s="32" t="s">
        <v>1843</v>
      </c>
      <c r="AE18" s="32" t="s">
        <v>1791</v>
      </c>
    </row>
    <row r="19" spans="1:31" ht="81">
      <c r="A19" s="5" t="s">
        <v>250</v>
      </c>
      <c r="B19" s="5" t="s">
        <v>195</v>
      </c>
      <c r="C19" s="5" t="s">
        <v>238</v>
      </c>
      <c r="D19" s="5" t="s">
        <v>197</v>
      </c>
      <c r="E19" s="5" t="s">
        <v>239</v>
      </c>
      <c r="F19" s="5" t="s">
        <v>199</v>
      </c>
      <c r="G19" s="5" t="s">
        <v>240</v>
      </c>
      <c r="H19" s="5" t="s">
        <v>48</v>
      </c>
      <c r="I19" s="5" t="s">
        <v>229</v>
      </c>
      <c r="J19" s="5" t="s">
        <v>123</v>
      </c>
      <c r="K19" s="5" t="s">
        <v>251</v>
      </c>
      <c r="L19" s="5" t="s">
        <v>242</v>
      </c>
      <c r="M19" s="5" t="s">
        <v>243</v>
      </c>
      <c r="N19" s="5" t="s">
        <v>1840</v>
      </c>
      <c r="O19" s="5"/>
      <c r="P19" s="5"/>
      <c r="Q19" s="5"/>
      <c r="R19" s="5"/>
      <c r="S19" s="5" t="s">
        <v>207</v>
      </c>
      <c r="T19" s="5" t="s">
        <v>44</v>
      </c>
      <c r="U19" s="5" t="s">
        <v>2042</v>
      </c>
      <c r="V19" s="34">
        <v>46215</v>
      </c>
      <c r="W19" s="5" t="s">
        <v>1841</v>
      </c>
      <c r="X19" s="5" t="s">
        <v>1842</v>
      </c>
      <c r="Y19" s="3" t="s">
        <v>44</v>
      </c>
      <c r="Z19" s="3" t="s">
        <v>522</v>
      </c>
      <c r="AA19" s="32" t="s">
        <v>522</v>
      </c>
      <c r="AB19" s="32" t="s">
        <v>205</v>
      </c>
      <c r="AC19" s="32" t="s">
        <v>522</v>
      </c>
      <c r="AD19" s="32" t="s">
        <v>1843</v>
      </c>
      <c r="AE19" s="32" t="s">
        <v>1791</v>
      </c>
    </row>
    <row r="20" spans="1:31" ht="67.5">
      <c r="A20" s="5" t="s">
        <v>252</v>
      </c>
      <c r="B20" s="5" t="s">
        <v>253</v>
      </c>
      <c r="C20" s="5" t="s">
        <v>254</v>
      </c>
      <c r="D20" s="5" t="s">
        <v>197</v>
      </c>
      <c r="E20" s="5" t="s">
        <v>255</v>
      </c>
      <c r="F20" s="5" t="s">
        <v>256</v>
      </c>
      <c r="G20" s="5" t="s">
        <v>257</v>
      </c>
      <c r="H20" s="5" t="s">
        <v>62</v>
      </c>
      <c r="I20" s="5" t="s">
        <v>63</v>
      </c>
      <c r="J20" s="5" t="s">
        <v>65</v>
      </c>
      <c r="K20" s="5" t="s">
        <v>258</v>
      </c>
      <c r="L20" s="5" t="s">
        <v>259</v>
      </c>
      <c r="M20" s="5" t="s">
        <v>260</v>
      </c>
      <c r="N20" s="5" t="s">
        <v>1844</v>
      </c>
      <c r="O20" s="5"/>
      <c r="P20" s="5"/>
      <c r="Q20" s="5"/>
      <c r="R20" s="5"/>
      <c r="S20" s="5" t="s">
        <v>497</v>
      </c>
      <c r="T20" s="5" t="s">
        <v>2006</v>
      </c>
      <c r="U20" s="5" t="s">
        <v>1864</v>
      </c>
      <c r="V20" s="5"/>
      <c r="W20" s="5"/>
      <c r="X20" s="5"/>
      <c r="Y20" s="3" t="s">
        <v>1845</v>
      </c>
      <c r="Z20" s="3" t="s">
        <v>69</v>
      </c>
      <c r="AA20" s="32" t="s">
        <v>522</v>
      </c>
      <c r="AB20" s="32" t="s">
        <v>205</v>
      </c>
      <c r="AC20" s="32" t="s">
        <v>522</v>
      </c>
      <c r="AD20" s="32" t="s">
        <v>1846</v>
      </c>
      <c r="AE20" s="32" t="s">
        <v>1864</v>
      </c>
    </row>
    <row r="21" spans="1:31" ht="67.5">
      <c r="A21" s="5" t="s">
        <v>261</v>
      </c>
      <c r="B21" s="5" t="s">
        <v>253</v>
      </c>
      <c r="C21" s="5" t="s">
        <v>254</v>
      </c>
      <c r="D21" s="5" t="s">
        <v>197</v>
      </c>
      <c r="E21" s="5" t="s">
        <v>255</v>
      </c>
      <c r="F21" s="5" t="s">
        <v>256</v>
      </c>
      <c r="G21" s="5" t="s">
        <v>257</v>
      </c>
      <c r="H21" s="5" t="s">
        <v>71</v>
      </c>
      <c r="I21" s="5" t="s">
        <v>72</v>
      </c>
      <c r="J21" s="5" t="s">
        <v>65</v>
      </c>
      <c r="K21" s="5" t="s">
        <v>262</v>
      </c>
      <c r="L21" s="5" t="s">
        <v>259</v>
      </c>
      <c r="M21" s="5" t="s">
        <v>260</v>
      </c>
      <c r="N21" s="5" t="s">
        <v>1844</v>
      </c>
      <c r="O21" s="5"/>
      <c r="P21" s="5"/>
      <c r="Q21" s="5"/>
      <c r="R21" s="5"/>
      <c r="S21" s="5" t="s">
        <v>497</v>
      </c>
      <c r="T21" s="5" t="s">
        <v>2006</v>
      </c>
      <c r="U21" s="5" t="s">
        <v>1864</v>
      </c>
      <c r="V21" s="5"/>
      <c r="W21" s="5"/>
      <c r="X21" s="5"/>
      <c r="Y21" s="3" t="s">
        <v>1845</v>
      </c>
      <c r="Z21" s="3" t="s">
        <v>69</v>
      </c>
      <c r="AA21" s="32" t="s">
        <v>522</v>
      </c>
      <c r="AB21" s="32" t="s">
        <v>205</v>
      </c>
      <c r="AC21" s="32" t="s">
        <v>522</v>
      </c>
      <c r="AD21" s="32" t="s">
        <v>1846</v>
      </c>
      <c r="AE21" s="32" t="s">
        <v>1864</v>
      </c>
    </row>
    <row r="22" spans="1:31" ht="67.5">
      <c r="A22" s="5" t="s">
        <v>263</v>
      </c>
      <c r="B22" s="5" t="s">
        <v>253</v>
      </c>
      <c r="C22" s="5" t="s">
        <v>254</v>
      </c>
      <c r="D22" s="5" t="s">
        <v>197</v>
      </c>
      <c r="E22" s="5" t="s">
        <v>255</v>
      </c>
      <c r="F22" s="5" t="s">
        <v>256</v>
      </c>
      <c r="G22" s="5" t="s">
        <v>257</v>
      </c>
      <c r="H22" s="5" t="s">
        <v>78</v>
      </c>
      <c r="I22" s="5" t="s">
        <v>79</v>
      </c>
      <c r="J22" s="5" t="s">
        <v>212</v>
      </c>
      <c r="K22" s="5" t="s">
        <v>264</v>
      </c>
      <c r="L22" s="5" t="s">
        <v>259</v>
      </c>
      <c r="M22" s="5" t="s">
        <v>260</v>
      </c>
      <c r="N22" s="5" t="s">
        <v>1844</v>
      </c>
      <c r="O22" s="5"/>
      <c r="P22" s="5"/>
      <c r="Q22" s="5"/>
      <c r="R22" s="5"/>
      <c r="S22" s="5" t="s">
        <v>497</v>
      </c>
      <c r="T22" s="5" t="s">
        <v>2006</v>
      </c>
      <c r="U22" s="5" t="s">
        <v>1864</v>
      </c>
      <c r="V22" s="5"/>
      <c r="W22" s="5"/>
      <c r="X22" s="5"/>
      <c r="Y22" s="3" t="s">
        <v>1845</v>
      </c>
      <c r="Z22" s="3" t="s">
        <v>69</v>
      </c>
      <c r="AA22" s="32" t="s">
        <v>522</v>
      </c>
      <c r="AB22" s="32" t="s">
        <v>205</v>
      </c>
      <c r="AC22" s="32" t="s">
        <v>522</v>
      </c>
      <c r="AD22" s="32" t="s">
        <v>1846</v>
      </c>
      <c r="AE22" s="32" t="s">
        <v>1864</v>
      </c>
    </row>
    <row r="23" spans="1:31" ht="67.5">
      <c r="A23" s="5" t="s">
        <v>265</v>
      </c>
      <c r="B23" s="5" t="s">
        <v>253</v>
      </c>
      <c r="C23" s="5" t="s">
        <v>254</v>
      </c>
      <c r="D23" s="5" t="s">
        <v>197</v>
      </c>
      <c r="E23" s="5" t="s">
        <v>255</v>
      </c>
      <c r="F23" s="5" t="s">
        <v>256</v>
      </c>
      <c r="G23" s="5" t="s">
        <v>257</v>
      </c>
      <c r="H23" s="5" t="s">
        <v>86</v>
      </c>
      <c r="I23" s="5" t="s">
        <v>87</v>
      </c>
      <c r="J23" s="5" t="s">
        <v>89</v>
      </c>
      <c r="K23" s="5" t="s">
        <v>266</v>
      </c>
      <c r="L23" s="5" t="s">
        <v>259</v>
      </c>
      <c r="M23" s="5" t="s">
        <v>260</v>
      </c>
      <c r="N23" s="5" t="s">
        <v>1844</v>
      </c>
      <c r="O23" s="5"/>
      <c r="P23" s="5"/>
      <c r="Q23" s="5"/>
      <c r="R23" s="5"/>
      <c r="S23" s="5" t="s">
        <v>497</v>
      </c>
      <c r="T23" s="5" t="s">
        <v>2006</v>
      </c>
      <c r="U23" s="5" t="s">
        <v>1864</v>
      </c>
      <c r="V23" s="5"/>
      <c r="W23" s="5"/>
      <c r="X23" s="5"/>
      <c r="Y23" s="3" t="s">
        <v>1845</v>
      </c>
      <c r="Z23" s="3" t="s">
        <v>69</v>
      </c>
      <c r="AA23" s="32" t="s">
        <v>522</v>
      </c>
      <c r="AB23" s="32" t="s">
        <v>205</v>
      </c>
      <c r="AC23" s="32" t="s">
        <v>522</v>
      </c>
      <c r="AD23" s="32" t="s">
        <v>1846</v>
      </c>
      <c r="AE23" s="32" t="s">
        <v>1864</v>
      </c>
    </row>
    <row r="24" spans="1:31" ht="67.5">
      <c r="A24" s="5" t="s">
        <v>267</v>
      </c>
      <c r="B24" s="5" t="s">
        <v>253</v>
      </c>
      <c r="C24" s="5" t="s">
        <v>254</v>
      </c>
      <c r="D24" s="5" t="s">
        <v>197</v>
      </c>
      <c r="E24" s="5" t="s">
        <v>255</v>
      </c>
      <c r="F24" s="5" t="s">
        <v>256</v>
      </c>
      <c r="G24" s="5" t="s">
        <v>257</v>
      </c>
      <c r="H24" s="5" t="s">
        <v>95</v>
      </c>
      <c r="I24" s="5" t="s">
        <v>96</v>
      </c>
      <c r="J24" s="5" t="s">
        <v>65</v>
      </c>
      <c r="K24" s="5" t="s">
        <v>268</v>
      </c>
      <c r="L24" s="5" t="s">
        <v>259</v>
      </c>
      <c r="M24" s="5" t="s">
        <v>260</v>
      </c>
      <c r="N24" s="5" t="s">
        <v>1844</v>
      </c>
      <c r="O24" s="5"/>
      <c r="P24" s="5"/>
      <c r="Q24" s="5"/>
      <c r="R24" s="5"/>
      <c r="S24" s="5" t="s">
        <v>497</v>
      </c>
      <c r="T24" s="5" t="s">
        <v>2006</v>
      </c>
      <c r="U24" s="5" t="s">
        <v>1864</v>
      </c>
      <c r="V24" s="5"/>
      <c r="W24" s="5"/>
      <c r="X24" s="5"/>
      <c r="Y24" s="3" t="s">
        <v>1845</v>
      </c>
      <c r="Z24" s="3" t="s">
        <v>69</v>
      </c>
      <c r="AA24" s="32" t="s">
        <v>522</v>
      </c>
      <c r="AB24" s="32" t="s">
        <v>205</v>
      </c>
      <c r="AC24" s="32" t="s">
        <v>522</v>
      </c>
      <c r="AD24" s="32" t="s">
        <v>1846</v>
      </c>
      <c r="AE24" s="32" t="s">
        <v>1864</v>
      </c>
    </row>
    <row r="25" spans="1:31" ht="67.5">
      <c r="A25" s="5" t="s">
        <v>269</v>
      </c>
      <c r="B25" s="5" t="s">
        <v>253</v>
      </c>
      <c r="C25" s="5" t="s">
        <v>254</v>
      </c>
      <c r="D25" s="5" t="s">
        <v>197</v>
      </c>
      <c r="E25" s="5" t="s">
        <v>255</v>
      </c>
      <c r="F25" s="5" t="s">
        <v>256</v>
      </c>
      <c r="G25" s="5" t="s">
        <v>257</v>
      </c>
      <c r="H25" s="5" t="s">
        <v>102</v>
      </c>
      <c r="I25" s="5" t="s">
        <v>103</v>
      </c>
      <c r="J25" s="5" t="s">
        <v>105</v>
      </c>
      <c r="K25" s="5" t="s">
        <v>270</v>
      </c>
      <c r="L25" s="5" t="s">
        <v>259</v>
      </c>
      <c r="M25" s="5" t="s">
        <v>260</v>
      </c>
      <c r="N25" s="5" t="s">
        <v>1844</v>
      </c>
      <c r="O25" s="5"/>
      <c r="P25" s="5"/>
      <c r="Q25" s="5"/>
      <c r="R25" s="5"/>
      <c r="S25" s="5" t="s">
        <v>497</v>
      </c>
      <c r="T25" s="5" t="s">
        <v>2006</v>
      </c>
      <c r="U25" s="5" t="s">
        <v>1864</v>
      </c>
      <c r="V25" s="5"/>
      <c r="W25" s="5"/>
      <c r="X25" s="5"/>
      <c r="Y25" s="3" t="s">
        <v>1845</v>
      </c>
      <c r="Z25" s="3" t="s">
        <v>69</v>
      </c>
      <c r="AA25" s="32" t="s">
        <v>522</v>
      </c>
      <c r="AB25" s="32" t="s">
        <v>205</v>
      </c>
      <c r="AC25" s="32" t="s">
        <v>522</v>
      </c>
      <c r="AD25" s="32" t="s">
        <v>1846</v>
      </c>
      <c r="AE25" s="32" t="s">
        <v>1864</v>
      </c>
    </row>
    <row r="26" spans="1:31" ht="67.5">
      <c r="A26" s="5" t="s">
        <v>271</v>
      </c>
      <c r="B26" s="5" t="s">
        <v>253</v>
      </c>
      <c r="C26" s="5" t="s">
        <v>254</v>
      </c>
      <c r="D26" s="5" t="s">
        <v>197</v>
      </c>
      <c r="E26" s="5" t="s">
        <v>255</v>
      </c>
      <c r="F26" s="5" t="s">
        <v>256</v>
      </c>
      <c r="G26" s="5" t="s">
        <v>257</v>
      </c>
      <c r="H26" s="5" t="s">
        <v>108</v>
      </c>
      <c r="I26" s="5" t="s">
        <v>109</v>
      </c>
      <c r="J26" s="5" t="s">
        <v>111</v>
      </c>
      <c r="K26" s="5" t="s">
        <v>272</v>
      </c>
      <c r="L26" s="5" t="s">
        <v>259</v>
      </c>
      <c r="M26" s="5" t="s">
        <v>260</v>
      </c>
      <c r="N26" s="5" t="s">
        <v>1844</v>
      </c>
      <c r="O26" s="5"/>
      <c r="P26" s="5"/>
      <c r="Q26" s="5"/>
      <c r="R26" s="5"/>
      <c r="S26" s="5" t="s">
        <v>497</v>
      </c>
      <c r="T26" s="5" t="s">
        <v>2006</v>
      </c>
      <c r="U26" s="5" t="s">
        <v>1864</v>
      </c>
      <c r="V26" s="5"/>
      <c r="W26" s="5"/>
      <c r="X26" s="5"/>
      <c r="Y26" s="3" t="s">
        <v>1845</v>
      </c>
      <c r="Z26" s="3" t="s">
        <v>69</v>
      </c>
      <c r="AA26" s="32" t="s">
        <v>522</v>
      </c>
      <c r="AB26" s="32" t="s">
        <v>205</v>
      </c>
      <c r="AC26" s="32" t="s">
        <v>522</v>
      </c>
      <c r="AD26" s="32" t="s">
        <v>1846</v>
      </c>
      <c r="AE26" s="32" t="s">
        <v>1864</v>
      </c>
    </row>
    <row r="27" spans="1:31" ht="67.5">
      <c r="A27" s="5" t="s">
        <v>273</v>
      </c>
      <c r="B27" s="5" t="s">
        <v>253</v>
      </c>
      <c r="C27" s="5" t="s">
        <v>254</v>
      </c>
      <c r="D27" s="5" t="s">
        <v>197</v>
      </c>
      <c r="E27" s="5" t="s">
        <v>255</v>
      </c>
      <c r="F27" s="5" t="s">
        <v>256</v>
      </c>
      <c r="G27" s="5" t="s">
        <v>257</v>
      </c>
      <c r="H27" s="5" t="s">
        <v>115</v>
      </c>
      <c r="I27" s="5" t="s">
        <v>116</v>
      </c>
      <c r="J27" s="5" t="s">
        <v>111</v>
      </c>
      <c r="K27" s="5" t="s">
        <v>274</v>
      </c>
      <c r="L27" s="5" t="s">
        <v>259</v>
      </c>
      <c r="M27" s="5" t="s">
        <v>260</v>
      </c>
      <c r="N27" s="5" t="s">
        <v>1844</v>
      </c>
      <c r="O27" s="5"/>
      <c r="P27" s="5"/>
      <c r="Q27" s="5"/>
      <c r="R27" s="5"/>
      <c r="S27" s="5" t="s">
        <v>497</v>
      </c>
      <c r="T27" s="5" t="s">
        <v>2006</v>
      </c>
      <c r="U27" s="5" t="s">
        <v>1864</v>
      </c>
      <c r="V27" s="5"/>
      <c r="W27" s="5"/>
      <c r="X27" s="5"/>
      <c r="Y27" s="3" t="s">
        <v>1845</v>
      </c>
      <c r="Z27" s="3" t="s">
        <v>69</v>
      </c>
      <c r="AA27" s="32" t="s">
        <v>522</v>
      </c>
      <c r="AB27" s="32" t="s">
        <v>205</v>
      </c>
      <c r="AC27" s="32" t="s">
        <v>522</v>
      </c>
      <c r="AD27" s="32" t="s">
        <v>1846</v>
      </c>
      <c r="AE27" s="32" t="s">
        <v>1864</v>
      </c>
    </row>
    <row r="28" spans="1:31" ht="67.5">
      <c r="A28" s="5" t="s">
        <v>275</v>
      </c>
      <c r="B28" s="5" t="s">
        <v>253</v>
      </c>
      <c r="C28" s="5" t="s">
        <v>254</v>
      </c>
      <c r="D28" s="5" t="s">
        <v>197</v>
      </c>
      <c r="E28" s="5" t="s">
        <v>255</v>
      </c>
      <c r="F28" s="5" t="s">
        <v>256</v>
      </c>
      <c r="G28" s="5" t="s">
        <v>257</v>
      </c>
      <c r="H28" s="5" t="s">
        <v>48</v>
      </c>
      <c r="I28" s="5" t="s">
        <v>229</v>
      </c>
      <c r="J28" s="5" t="s">
        <v>123</v>
      </c>
      <c r="K28" s="5" t="s">
        <v>276</v>
      </c>
      <c r="L28" s="5" t="s">
        <v>259</v>
      </c>
      <c r="M28" s="5" t="s">
        <v>260</v>
      </c>
      <c r="N28" s="5" t="s">
        <v>1844</v>
      </c>
      <c r="O28" s="5"/>
      <c r="P28" s="5"/>
      <c r="Q28" s="5"/>
      <c r="R28" s="5"/>
      <c r="S28" s="5" t="s">
        <v>497</v>
      </c>
      <c r="T28" s="5" t="s">
        <v>2006</v>
      </c>
      <c r="U28" s="5" t="s">
        <v>1864</v>
      </c>
      <c r="V28" s="5"/>
      <c r="W28" s="5"/>
      <c r="X28" s="5"/>
      <c r="Y28" s="3" t="s">
        <v>1845</v>
      </c>
      <c r="Z28" s="3" t="s">
        <v>69</v>
      </c>
      <c r="AA28" s="32" t="s">
        <v>522</v>
      </c>
      <c r="AB28" s="32" t="s">
        <v>205</v>
      </c>
      <c r="AC28" s="32" t="s">
        <v>522</v>
      </c>
      <c r="AD28" s="32" t="s">
        <v>1846</v>
      </c>
      <c r="AE28" s="32" t="s">
        <v>1864</v>
      </c>
    </row>
    <row r="29" spans="1:31" ht="67.5">
      <c r="A29" s="5" t="s">
        <v>277</v>
      </c>
      <c r="B29" s="5" t="s">
        <v>278</v>
      </c>
      <c r="C29" s="5" t="s">
        <v>254</v>
      </c>
      <c r="D29" s="5" t="s">
        <v>197</v>
      </c>
      <c r="E29" s="5" t="s">
        <v>255</v>
      </c>
      <c r="F29" s="5" t="s">
        <v>256</v>
      </c>
      <c r="G29" s="5" t="s">
        <v>257</v>
      </c>
      <c r="H29" s="5" t="s">
        <v>62</v>
      </c>
      <c r="I29" s="5" t="s">
        <v>63</v>
      </c>
      <c r="J29" s="5" t="s">
        <v>65</v>
      </c>
      <c r="K29" s="5" t="s">
        <v>258</v>
      </c>
      <c r="L29" s="5" t="s">
        <v>279</v>
      </c>
      <c r="M29" s="5" t="s">
        <v>260</v>
      </c>
      <c r="N29" s="5" t="s">
        <v>1847</v>
      </c>
      <c r="O29" s="5"/>
      <c r="P29" s="5"/>
      <c r="Q29" s="5"/>
      <c r="R29" s="5"/>
      <c r="S29" s="5" t="s">
        <v>1912</v>
      </c>
      <c r="T29" s="5" t="s">
        <v>2006</v>
      </c>
      <c r="U29" s="5" t="s">
        <v>2416</v>
      </c>
      <c r="V29" s="5"/>
      <c r="W29" s="5"/>
      <c r="X29" s="5"/>
      <c r="Y29" s="3" t="s">
        <v>205</v>
      </c>
      <c r="Z29" s="3" t="s">
        <v>205</v>
      </c>
      <c r="AA29" s="32" t="s">
        <v>205</v>
      </c>
      <c r="AB29" s="32" t="s">
        <v>205</v>
      </c>
      <c r="AC29" s="32" t="s">
        <v>205</v>
      </c>
      <c r="AD29" s="32" t="s">
        <v>1849</v>
      </c>
      <c r="AE29" s="32" t="s">
        <v>2416</v>
      </c>
    </row>
    <row r="30" spans="1:31" ht="67.5">
      <c r="A30" s="5" t="s">
        <v>280</v>
      </c>
      <c r="B30" s="5" t="s">
        <v>278</v>
      </c>
      <c r="C30" s="5" t="s">
        <v>254</v>
      </c>
      <c r="D30" s="5" t="s">
        <v>197</v>
      </c>
      <c r="E30" s="5" t="s">
        <v>255</v>
      </c>
      <c r="F30" s="5" t="s">
        <v>256</v>
      </c>
      <c r="G30" s="5" t="s">
        <v>257</v>
      </c>
      <c r="H30" s="5" t="s">
        <v>71</v>
      </c>
      <c r="I30" s="5" t="s">
        <v>72</v>
      </c>
      <c r="J30" s="5" t="s">
        <v>65</v>
      </c>
      <c r="K30" s="5" t="s">
        <v>262</v>
      </c>
      <c r="L30" s="5" t="s">
        <v>279</v>
      </c>
      <c r="M30" s="5" t="s">
        <v>260</v>
      </c>
      <c r="N30" s="5" t="s">
        <v>1847</v>
      </c>
      <c r="O30" s="5"/>
      <c r="P30" s="5"/>
      <c r="Q30" s="5"/>
      <c r="R30" s="5"/>
      <c r="S30" s="5" t="s">
        <v>1912</v>
      </c>
      <c r="T30" s="5" t="s">
        <v>2006</v>
      </c>
      <c r="U30" s="5" t="s">
        <v>2416</v>
      </c>
      <c r="V30" s="5"/>
      <c r="W30" s="5"/>
      <c r="X30" s="5"/>
      <c r="Y30" s="3" t="s">
        <v>205</v>
      </c>
      <c r="Z30" s="3" t="s">
        <v>205</v>
      </c>
      <c r="AA30" s="32" t="s">
        <v>205</v>
      </c>
      <c r="AB30" s="32" t="s">
        <v>205</v>
      </c>
      <c r="AC30" s="32" t="s">
        <v>205</v>
      </c>
      <c r="AD30" s="32" t="s">
        <v>1849</v>
      </c>
      <c r="AE30" s="32" t="s">
        <v>2416</v>
      </c>
    </row>
    <row r="31" spans="1:31" ht="67.5">
      <c r="A31" s="5" t="s">
        <v>281</v>
      </c>
      <c r="B31" s="5" t="s">
        <v>278</v>
      </c>
      <c r="C31" s="5" t="s">
        <v>254</v>
      </c>
      <c r="D31" s="5" t="s">
        <v>197</v>
      </c>
      <c r="E31" s="5" t="s">
        <v>255</v>
      </c>
      <c r="F31" s="5" t="s">
        <v>256</v>
      </c>
      <c r="G31" s="5" t="s">
        <v>257</v>
      </c>
      <c r="H31" s="5" t="s">
        <v>78</v>
      </c>
      <c r="I31" s="5" t="s">
        <v>79</v>
      </c>
      <c r="J31" s="5" t="s">
        <v>212</v>
      </c>
      <c r="K31" s="5" t="s">
        <v>264</v>
      </c>
      <c r="L31" s="5" t="s">
        <v>279</v>
      </c>
      <c r="M31" s="5" t="s">
        <v>260</v>
      </c>
      <c r="N31" s="5" t="s">
        <v>1847</v>
      </c>
      <c r="O31" s="5"/>
      <c r="P31" s="5"/>
      <c r="Q31" s="5"/>
      <c r="R31" s="5"/>
      <c r="S31" s="5" t="s">
        <v>1912</v>
      </c>
      <c r="T31" s="5" t="s">
        <v>2006</v>
      </c>
      <c r="U31" s="5" t="s">
        <v>2416</v>
      </c>
      <c r="V31" s="5"/>
      <c r="W31" s="5"/>
      <c r="X31" s="5"/>
      <c r="Y31" s="3" t="s">
        <v>205</v>
      </c>
      <c r="Z31" s="3" t="s">
        <v>205</v>
      </c>
      <c r="AA31" s="32" t="s">
        <v>205</v>
      </c>
      <c r="AB31" s="32" t="s">
        <v>205</v>
      </c>
      <c r="AC31" s="32" t="s">
        <v>205</v>
      </c>
      <c r="AD31" s="32" t="s">
        <v>1849</v>
      </c>
      <c r="AE31" s="32" t="s">
        <v>2416</v>
      </c>
    </row>
    <row r="32" spans="1:31" ht="67.5">
      <c r="A32" s="5" t="s">
        <v>282</v>
      </c>
      <c r="B32" s="5" t="s">
        <v>278</v>
      </c>
      <c r="C32" s="5" t="s">
        <v>254</v>
      </c>
      <c r="D32" s="5" t="s">
        <v>197</v>
      </c>
      <c r="E32" s="5" t="s">
        <v>255</v>
      </c>
      <c r="F32" s="5" t="s">
        <v>256</v>
      </c>
      <c r="G32" s="5" t="s">
        <v>257</v>
      </c>
      <c r="H32" s="5" t="s">
        <v>86</v>
      </c>
      <c r="I32" s="5" t="s">
        <v>87</v>
      </c>
      <c r="J32" s="5" t="s">
        <v>89</v>
      </c>
      <c r="K32" s="5" t="s">
        <v>266</v>
      </c>
      <c r="L32" s="5" t="s">
        <v>279</v>
      </c>
      <c r="M32" s="5" t="s">
        <v>260</v>
      </c>
      <c r="N32" s="5" t="s">
        <v>1847</v>
      </c>
      <c r="O32" s="5"/>
      <c r="P32" s="5"/>
      <c r="Q32" s="5"/>
      <c r="R32" s="5"/>
      <c r="S32" s="5" t="s">
        <v>1912</v>
      </c>
      <c r="T32" s="5" t="s">
        <v>2006</v>
      </c>
      <c r="U32" s="5" t="s">
        <v>2416</v>
      </c>
      <c r="V32" s="5"/>
      <c r="W32" s="5"/>
      <c r="X32" s="5"/>
      <c r="Y32" s="3" t="s">
        <v>205</v>
      </c>
      <c r="Z32" s="3" t="s">
        <v>205</v>
      </c>
      <c r="AA32" s="32" t="s">
        <v>205</v>
      </c>
      <c r="AB32" s="32" t="s">
        <v>205</v>
      </c>
      <c r="AC32" s="32" t="s">
        <v>205</v>
      </c>
      <c r="AD32" s="32" t="s">
        <v>1849</v>
      </c>
      <c r="AE32" s="32" t="s">
        <v>2416</v>
      </c>
    </row>
    <row r="33" spans="1:31" ht="67.5">
      <c r="A33" s="5" t="s">
        <v>283</v>
      </c>
      <c r="B33" s="5" t="s">
        <v>278</v>
      </c>
      <c r="C33" s="5" t="s">
        <v>254</v>
      </c>
      <c r="D33" s="5" t="s">
        <v>197</v>
      </c>
      <c r="E33" s="5" t="s">
        <v>255</v>
      </c>
      <c r="F33" s="5" t="s">
        <v>256</v>
      </c>
      <c r="G33" s="5" t="s">
        <v>257</v>
      </c>
      <c r="H33" s="5" t="s">
        <v>95</v>
      </c>
      <c r="I33" s="5" t="s">
        <v>96</v>
      </c>
      <c r="J33" s="5" t="s">
        <v>65</v>
      </c>
      <c r="K33" s="5" t="s">
        <v>268</v>
      </c>
      <c r="L33" s="5" t="s">
        <v>279</v>
      </c>
      <c r="M33" s="5" t="s">
        <v>260</v>
      </c>
      <c r="N33" s="5" t="s">
        <v>1847</v>
      </c>
      <c r="O33" s="5"/>
      <c r="P33" s="5"/>
      <c r="Q33" s="5"/>
      <c r="R33" s="5"/>
      <c r="S33" s="5" t="s">
        <v>1912</v>
      </c>
      <c r="T33" s="5" t="s">
        <v>2006</v>
      </c>
      <c r="U33" s="5" t="s">
        <v>2416</v>
      </c>
      <c r="V33" s="5"/>
      <c r="W33" s="5"/>
      <c r="X33" s="5"/>
      <c r="Y33" s="3" t="s">
        <v>205</v>
      </c>
      <c r="Z33" s="3" t="s">
        <v>205</v>
      </c>
      <c r="AA33" s="32" t="s">
        <v>205</v>
      </c>
      <c r="AB33" s="32" t="s">
        <v>205</v>
      </c>
      <c r="AC33" s="32" t="s">
        <v>205</v>
      </c>
      <c r="AD33" s="32" t="s">
        <v>1849</v>
      </c>
      <c r="AE33" s="32" t="s">
        <v>2416</v>
      </c>
    </row>
    <row r="34" spans="1:31" ht="67.5">
      <c r="A34" s="5" t="s">
        <v>284</v>
      </c>
      <c r="B34" s="5" t="s">
        <v>278</v>
      </c>
      <c r="C34" s="5" t="s">
        <v>254</v>
      </c>
      <c r="D34" s="5" t="s">
        <v>197</v>
      </c>
      <c r="E34" s="5" t="s">
        <v>255</v>
      </c>
      <c r="F34" s="5" t="s">
        <v>256</v>
      </c>
      <c r="G34" s="5" t="s">
        <v>257</v>
      </c>
      <c r="H34" s="5" t="s">
        <v>102</v>
      </c>
      <c r="I34" s="5" t="s">
        <v>103</v>
      </c>
      <c r="J34" s="5" t="s">
        <v>105</v>
      </c>
      <c r="K34" s="5" t="s">
        <v>270</v>
      </c>
      <c r="L34" s="5" t="s">
        <v>279</v>
      </c>
      <c r="M34" s="5" t="s">
        <v>260</v>
      </c>
      <c r="N34" s="5" t="s">
        <v>1847</v>
      </c>
      <c r="O34" s="5"/>
      <c r="P34" s="5"/>
      <c r="Q34" s="5"/>
      <c r="R34" s="5"/>
      <c r="S34" s="5" t="s">
        <v>1912</v>
      </c>
      <c r="T34" s="5" t="s">
        <v>2006</v>
      </c>
      <c r="U34" s="5" t="s">
        <v>2416</v>
      </c>
      <c r="V34" s="5"/>
      <c r="W34" s="5"/>
      <c r="X34" s="5"/>
      <c r="Y34" s="3" t="s">
        <v>205</v>
      </c>
      <c r="Z34" s="3" t="s">
        <v>205</v>
      </c>
      <c r="AA34" s="32" t="s">
        <v>205</v>
      </c>
      <c r="AB34" s="32" t="s">
        <v>205</v>
      </c>
      <c r="AC34" s="32" t="s">
        <v>205</v>
      </c>
      <c r="AD34" s="32" t="s">
        <v>1849</v>
      </c>
      <c r="AE34" s="32" t="s">
        <v>2416</v>
      </c>
    </row>
    <row r="35" spans="1:31" ht="67.5">
      <c r="A35" s="5" t="s">
        <v>285</v>
      </c>
      <c r="B35" s="5" t="s">
        <v>278</v>
      </c>
      <c r="C35" s="5" t="s">
        <v>254</v>
      </c>
      <c r="D35" s="5" t="s">
        <v>197</v>
      </c>
      <c r="E35" s="5" t="s">
        <v>255</v>
      </c>
      <c r="F35" s="5" t="s">
        <v>256</v>
      </c>
      <c r="G35" s="5" t="s">
        <v>257</v>
      </c>
      <c r="H35" s="5" t="s">
        <v>108</v>
      </c>
      <c r="I35" s="5" t="s">
        <v>109</v>
      </c>
      <c r="J35" s="5" t="s">
        <v>111</v>
      </c>
      <c r="K35" s="5" t="s">
        <v>272</v>
      </c>
      <c r="L35" s="5" t="s">
        <v>279</v>
      </c>
      <c r="M35" s="5" t="s">
        <v>260</v>
      </c>
      <c r="N35" s="5" t="s">
        <v>1847</v>
      </c>
      <c r="O35" s="5"/>
      <c r="P35" s="5"/>
      <c r="Q35" s="5"/>
      <c r="R35" s="5"/>
      <c r="S35" s="5" t="s">
        <v>1912</v>
      </c>
      <c r="T35" s="5" t="s">
        <v>2006</v>
      </c>
      <c r="U35" s="5" t="s">
        <v>2416</v>
      </c>
      <c r="V35" s="5"/>
      <c r="W35" s="5"/>
      <c r="X35" s="5"/>
      <c r="Y35" s="3" t="s">
        <v>205</v>
      </c>
      <c r="Z35" s="3" t="s">
        <v>205</v>
      </c>
      <c r="AA35" s="32" t="s">
        <v>205</v>
      </c>
      <c r="AB35" s="32" t="s">
        <v>205</v>
      </c>
      <c r="AC35" s="32" t="s">
        <v>205</v>
      </c>
      <c r="AD35" s="32" t="s">
        <v>1849</v>
      </c>
      <c r="AE35" s="32" t="s">
        <v>2416</v>
      </c>
    </row>
    <row r="36" spans="1:31" ht="67.5">
      <c r="A36" s="5" t="s">
        <v>286</v>
      </c>
      <c r="B36" s="5" t="s">
        <v>278</v>
      </c>
      <c r="C36" s="5" t="s">
        <v>254</v>
      </c>
      <c r="D36" s="5" t="s">
        <v>197</v>
      </c>
      <c r="E36" s="5" t="s">
        <v>255</v>
      </c>
      <c r="F36" s="5" t="s">
        <v>256</v>
      </c>
      <c r="G36" s="5" t="s">
        <v>257</v>
      </c>
      <c r="H36" s="5" t="s">
        <v>115</v>
      </c>
      <c r="I36" s="5" t="s">
        <v>116</v>
      </c>
      <c r="J36" s="5" t="s">
        <v>111</v>
      </c>
      <c r="K36" s="5" t="s">
        <v>274</v>
      </c>
      <c r="L36" s="5" t="s">
        <v>279</v>
      </c>
      <c r="M36" s="5" t="s">
        <v>260</v>
      </c>
      <c r="N36" s="5" t="s">
        <v>1847</v>
      </c>
      <c r="O36" s="5"/>
      <c r="P36" s="5"/>
      <c r="Q36" s="5"/>
      <c r="R36" s="5"/>
      <c r="S36" s="5" t="s">
        <v>1912</v>
      </c>
      <c r="T36" s="5" t="s">
        <v>2006</v>
      </c>
      <c r="U36" s="5" t="s">
        <v>2416</v>
      </c>
      <c r="V36" s="5"/>
      <c r="W36" s="5"/>
      <c r="X36" s="5"/>
      <c r="Y36" s="3" t="s">
        <v>205</v>
      </c>
      <c r="Z36" s="3" t="s">
        <v>205</v>
      </c>
      <c r="AA36" s="32" t="s">
        <v>205</v>
      </c>
      <c r="AB36" s="32" t="s">
        <v>205</v>
      </c>
      <c r="AC36" s="32" t="s">
        <v>205</v>
      </c>
      <c r="AD36" s="32" t="s">
        <v>1849</v>
      </c>
      <c r="AE36" s="32" t="s">
        <v>2416</v>
      </c>
    </row>
    <row r="37" spans="1:31" ht="67.5">
      <c r="A37" s="5" t="s">
        <v>287</v>
      </c>
      <c r="B37" s="5" t="s">
        <v>278</v>
      </c>
      <c r="C37" s="5" t="s">
        <v>254</v>
      </c>
      <c r="D37" s="5" t="s">
        <v>197</v>
      </c>
      <c r="E37" s="5" t="s">
        <v>255</v>
      </c>
      <c r="F37" s="5" t="s">
        <v>256</v>
      </c>
      <c r="G37" s="5" t="s">
        <v>257</v>
      </c>
      <c r="H37" s="5" t="s">
        <v>48</v>
      </c>
      <c r="I37" s="5" t="s">
        <v>229</v>
      </c>
      <c r="J37" s="5" t="s">
        <v>123</v>
      </c>
      <c r="K37" s="5" t="s">
        <v>276</v>
      </c>
      <c r="L37" s="5" t="s">
        <v>279</v>
      </c>
      <c r="M37" s="5" t="s">
        <v>260</v>
      </c>
      <c r="N37" s="5" t="s">
        <v>1847</v>
      </c>
      <c r="O37" s="5"/>
      <c r="P37" s="5"/>
      <c r="Q37" s="5"/>
      <c r="R37" s="5"/>
      <c r="S37" s="5" t="s">
        <v>1912</v>
      </c>
      <c r="T37" s="5" t="s">
        <v>2006</v>
      </c>
      <c r="U37" s="5" t="s">
        <v>2416</v>
      </c>
      <c r="V37" s="5"/>
      <c r="W37" s="5"/>
      <c r="X37" s="5"/>
      <c r="Y37" s="3" t="s">
        <v>205</v>
      </c>
      <c r="Z37" s="3" t="s">
        <v>205</v>
      </c>
      <c r="AA37" s="32" t="s">
        <v>205</v>
      </c>
      <c r="AB37" s="32" t="s">
        <v>205</v>
      </c>
      <c r="AC37" s="32" t="s">
        <v>205</v>
      </c>
      <c r="AD37" s="32" t="s">
        <v>1849</v>
      </c>
      <c r="AE37" s="32" t="s">
        <v>2416</v>
      </c>
    </row>
    <row r="38" spans="1:31" ht="81">
      <c r="A38" s="5" t="s">
        <v>288</v>
      </c>
      <c r="B38" s="5" t="s">
        <v>289</v>
      </c>
      <c r="C38" s="5" t="s">
        <v>254</v>
      </c>
      <c r="D38" s="5" t="s">
        <v>197</v>
      </c>
      <c r="E38" s="5" t="s">
        <v>290</v>
      </c>
      <c r="F38" s="5" t="s">
        <v>199</v>
      </c>
      <c r="G38" s="5" t="s">
        <v>257</v>
      </c>
      <c r="H38" s="5" t="s">
        <v>62</v>
      </c>
      <c r="I38" s="5" t="s">
        <v>63</v>
      </c>
      <c r="J38" s="5" t="s">
        <v>65</v>
      </c>
      <c r="K38" s="5" t="s">
        <v>258</v>
      </c>
      <c r="L38" s="5" t="s">
        <v>259</v>
      </c>
      <c r="M38" s="5" t="s">
        <v>260</v>
      </c>
      <c r="N38" s="5" t="s">
        <v>1850</v>
      </c>
      <c r="O38" s="5"/>
      <c r="P38" s="5" t="s">
        <v>1851</v>
      </c>
      <c r="Q38" s="5"/>
      <c r="R38" s="5"/>
      <c r="S38" s="5" t="s">
        <v>497</v>
      </c>
      <c r="T38" s="5" t="s">
        <v>69</v>
      </c>
      <c r="U38" s="5" t="s">
        <v>2042</v>
      </c>
      <c r="V38" s="34">
        <v>46215</v>
      </c>
      <c r="W38" s="5" t="s">
        <v>1852</v>
      </c>
      <c r="X38" s="5" t="s">
        <v>1853</v>
      </c>
      <c r="Y38" s="3" t="s">
        <v>44</v>
      </c>
      <c r="Z38" s="3" t="s">
        <v>1854</v>
      </c>
      <c r="AA38" s="32" t="s">
        <v>1854</v>
      </c>
      <c r="AB38" s="32" t="s">
        <v>290</v>
      </c>
      <c r="AC38" s="32" t="s">
        <v>1784</v>
      </c>
      <c r="AD38" s="32" t="s">
        <v>1855</v>
      </c>
      <c r="AE38" s="32" t="s">
        <v>1791</v>
      </c>
    </row>
    <row r="39" spans="1:31" ht="108">
      <c r="A39" s="5" t="s">
        <v>291</v>
      </c>
      <c r="B39" s="5" t="s">
        <v>289</v>
      </c>
      <c r="C39" s="5" t="s">
        <v>254</v>
      </c>
      <c r="D39" s="5" t="s">
        <v>197</v>
      </c>
      <c r="E39" s="5" t="s">
        <v>290</v>
      </c>
      <c r="F39" s="5" t="s">
        <v>199</v>
      </c>
      <c r="G39" s="5" t="s">
        <v>257</v>
      </c>
      <c r="H39" s="5" t="s">
        <v>71</v>
      </c>
      <c r="I39" s="5" t="s">
        <v>72</v>
      </c>
      <c r="J39" s="5" t="s">
        <v>65</v>
      </c>
      <c r="K39" s="5" t="s">
        <v>262</v>
      </c>
      <c r="L39" s="5" t="s">
        <v>259</v>
      </c>
      <c r="M39" s="5" t="s">
        <v>260</v>
      </c>
      <c r="N39" s="5" t="s">
        <v>1856</v>
      </c>
      <c r="O39" s="5"/>
      <c r="P39" s="5" t="s">
        <v>1857</v>
      </c>
      <c r="Q39" s="5"/>
      <c r="R39" s="5"/>
      <c r="S39" s="5" t="s">
        <v>497</v>
      </c>
      <c r="T39" s="5" t="s">
        <v>69</v>
      </c>
      <c r="U39" s="5" t="s">
        <v>2042</v>
      </c>
      <c r="V39" s="34">
        <v>46215</v>
      </c>
      <c r="W39" s="5" t="s">
        <v>1852</v>
      </c>
      <c r="X39" s="5" t="s">
        <v>1853</v>
      </c>
      <c r="Y39" s="3" t="s">
        <v>44</v>
      </c>
      <c r="Z39" s="3" t="s">
        <v>1858</v>
      </c>
      <c r="AA39" s="32" t="s">
        <v>1858</v>
      </c>
      <c r="AB39" s="32" t="s">
        <v>290</v>
      </c>
      <c r="AC39" s="32" t="s">
        <v>1784</v>
      </c>
      <c r="AD39" s="32" t="s">
        <v>1855</v>
      </c>
      <c r="AE39" s="32" t="s">
        <v>1791</v>
      </c>
    </row>
    <row r="40" spans="1:31" ht="81">
      <c r="A40" s="5" t="s">
        <v>292</v>
      </c>
      <c r="B40" s="5" t="s">
        <v>289</v>
      </c>
      <c r="C40" s="5" t="s">
        <v>254</v>
      </c>
      <c r="D40" s="5" t="s">
        <v>197</v>
      </c>
      <c r="E40" s="5" t="s">
        <v>290</v>
      </c>
      <c r="F40" s="5" t="s">
        <v>199</v>
      </c>
      <c r="G40" s="5" t="s">
        <v>257</v>
      </c>
      <c r="H40" s="5" t="s">
        <v>78</v>
      </c>
      <c r="I40" s="5" t="s">
        <v>79</v>
      </c>
      <c r="J40" s="5" t="s">
        <v>212</v>
      </c>
      <c r="K40" s="5" t="s">
        <v>264</v>
      </c>
      <c r="L40" s="5" t="s">
        <v>259</v>
      </c>
      <c r="M40" s="5" t="s">
        <v>260</v>
      </c>
      <c r="N40" s="5" t="s">
        <v>1859</v>
      </c>
      <c r="O40" s="5"/>
      <c r="P40" s="5" t="s">
        <v>1851</v>
      </c>
      <c r="Q40" s="5"/>
      <c r="R40" s="5"/>
      <c r="S40" s="5" t="s">
        <v>497</v>
      </c>
      <c r="T40" s="5" t="s">
        <v>69</v>
      </c>
      <c r="U40" s="5" t="s">
        <v>2042</v>
      </c>
      <c r="V40" s="34">
        <v>46215</v>
      </c>
      <c r="W40" s="5" t="s">
        <v>1852</v>
      </c>
      <c r="X40" s="5" t="s">
        <v>1853</v>
      </c>
      <c r="Y40" s="3" t="s">
        <v>44</v>
      </c>
      <c r="Z40" s="3" t="s">
        <v>1854</v>
      </c>
      <c r="AA40" s="32" t="s">
        <v>1854</v>
      </c>
      <c r="AB40" s="32" t="s">
        <v>290</v>
      </c>
      <c r="AC40" s="32" t="s">
        <v>1784</v>
      </c>
      <c r="AD40" s="32" t="s">
        <v>1855</v>
      </c>
      <c r="AE40" s="32" t="s">
        <v>1791</v>
      </c>
    </row>
    <row r="41" spans="1:31" ht="108">
      <c r="A41" s="5" t="s">
        <v>293</v>
      </c>
      <c r="B41" s="5" t="s">
        <v>289</v>
      </c>
      <c r="C41" s="5" t="s">
        <v>254</v>
      </c>
      <c r="D41" s="5" t="s">
        <v>197</v>
      </c>
      <c r="E41" s="5" t="s">
        <v>290</v>
      </c>
      <c r="F41" s="5" t="s">
        <v>199</v>
      </c>
      <c r="G41" s="5" t="s">
        <v>257</v>
      </c>
      <c r="H41" s="5" t="s">
        <v>86</v>
      </c>
      <c r="I41" s="5" t="s">
        <v>87</v>
      </c>
      <c r="J41" s="5" t="s">
        <v>89</v>
      </c>
      <c r="K41" s="5" t="s">
        <v>266</v>
      </c>
      <c r="L41" s="5" t="s">
        <v>259</v>
      </c>
      <c r="M41" s="5" t="s">
        <v>260</v>
      </c>
      <c r="N41" s="5" t="s">
        <v>1856</v>
      </c>
      <c r="O41" s="5"/>
      <c r="P41" s="5" t="s">
        <v>1857</v>
      </c>
      <c r="Q41" s="5"/>
      <c r="R41" s="5"/>
      <c r="S41" s="5" t="s">
        <v>497</v>
      </c>
      <c r="T41" s="5" t="s">
        <v>69</v>
      </c>
      <c r="U41" s="5" t="s">
        <v>2042</v>
      </c>
      <c r="V41" s="34">
        <v>46215</v>
      </c>
      <c r="W41" s="5" t="s">
        <v>1852</v>
      </c>
      <c r="X41" s="5" t="s">
        <v>1853</v>
      </c>
      <c r="Y41" s="3" t="s">
        <v>44</v>
      </c>
      <c r="Z41" s="3" t="s">
        <v>1858</v>
      </c>
      <c r="AA41" s="32" t="s">
        <v>1858</v>
      </c>
      <c r="AB41" s="32" t="s">
        <v>290</v>
      </c>
      <c r="AC41" s="32" t="s">
        <v>1784</v>
      </c>
      <c r="AD41" s="32" t="s">
        <v>1855</v>
      </c>
      <c r="AE41" s="32" t="s">
        <v>1791</v>
      </c>
    </row>
    <row r="42" spans="1:31" ht="81">
      <c r="A42" s="5" t="s">
        <v>294</v>
      </c>
      <c r="B42" s="5" t="s">
        <v>289</v>
      </c>
      <c r="C42" s="5" t="s">
        <v>254</v>
      </c>
      <c r="D42" s="5" t="s">
        <v>197</v>
      </c>
      <c r="E42" s="5" t="s">
        <v>290</v>
      </c>
      <c r="F42" s="5" t="s">
        <v>199</v>
      </c>
      <c r="G42" s="5" t="s">
        <v>257</v>
      </c>
      <c r="H42" s="5" t="s">
        <v>95</v>
      </c>
      <c r="I42" s="5" t="s">
        <v>96</v>
      </c>
      <c r="J42" s="5" t="s">
        <v>65</v>
      </c>
      <c r="K42" s="5" t="s">
        <v>268</v>
      </c>
      <c r="L42" s="5" t="s">
        <v>259</v>
      </c>
      <c r="M42" s="5" t="s">
        <v>260</v>
      </c>
      <c r="N42" s="5" t="s">
        <v>1860</v>
      </c>
      <c r="O42" s="5"/>
      <c r="P42" s="5" t="s">
        <v>1851</v>
      </c>
      <c r="Q42" s="5"/>
      <c r="R42" s="5"/>
      <c r="S42" s="5" t="s">
        <v>497</v>
      </c>
      <c r="T42" s="5" t="s">
        <v>69</v>
      </c>
      <c r="U42" s="5" t="s">
        <v>2042</v>
      </c>
      <c r="V42" s="34">
        <v>46215</v>
      </c>
      <c r="W42" s="5" t="s">
        <v>1852</v>
      </c>
      <c r="X42" s="5" t="s">
        <v>1853</v>
      </c>
      <c r="Y42" s="3" t="s">
        <v>44</v>
      </c>
      <c r="Z42" s="3" t="s">
        <v>1854</v>
      </c>
      <c r="AA42" s="32" t="s">
        <v>1854</v>
      </c>
      <c r="AB42" s="32" t="s">
        <v>290</v>
      </c>
      <c r="AC42" s="32" t="s">
        <v>1784</v>
      </c>
      <c r="AD42" s="32" t="s">
        <v>1855</v>
      </c>
      <c r="AE42" s="32" t="s">
        <v>1791</v>
      </c>
    </row>
    <row r="43" spans="1:31" ht="108">
      <c r="A43" s="5" t="s">
        <v>295</v>
      </c>
      <c r="B43" s="5" t="s">
        <v>289</v>
      </c>
      <c r="C43" s="5" t="s">
        <v>254</v>
      </c>
      <c r="D43" s="5" t="s">
        <v>197</v>
      </c>
      <c r="E43" s="5" t="s">
        <v>290</v>
      </c>
      <c r="F43" s="5" t="s">
        <v>199</v>
      </c>
      <c r="G43" s="5" t="s">
        <v>257</v>
      </c>
      <c r="H43" s="5" t="s">
        <v>102</v>
      </c>
      <c r="I43" s="5" t="s">
        <v>103</v>
      </c>
      <c r="J43" s="5" t="s">
        <v>105</v>
      </c>
      <c r="K43" s="5" t="s">
        <v>270</v>
      </c>
      <c r="L43" s="5" t="s">
        <v>259</v>
      </c>
      <c r="M43" s="5" t="s">
        <v>260</v>
      </c>
      <c r="N43" s="5" t="s">
        <v>1856</v>
      </c>
      <c r="O43" s="5"/>
      <c r="P43" s="5" t="s">
        <v>1857</v>
      </c>
      <c r="Q43" s="5"/>
      <c r="R43" s="5"/>
      <c r="S43" s="5" t="s">
        <v>497</v>
      </c>
      <c r="T43" s="5" t="s">
        <v>69</v>
      </c>
      <c r="U43" s="5" t="s">
        <v>2042</v>
      </c>
      <c r="V43" s="34">
        <v>46215</v>
      </c>
      <c r="W43" s="5" t="s">
        <v>1852</v>
      </c>
      <c r="X43" s="5" t="s">
        <v>1853</v>
      </c>
      <c r="Y43" s="3" t="s">
        <v>44</v>
      </c>
      <c r="Z43" s="3" t="s">
        <v>1858</v>
      </c>
      <c r="AA43" s="32" t="s">
        <v>1858</v>
      </c>
      <c r="AB43" s="32" t="s">
        <v>290</v>
      </c>
      <c r="AC43" s="32" t="s">
        <v>1784</v>
      </c>
      <c r="AD43" s="32" t="s">
        <v>1855</v>
      </c>
      <c r="AE43" s="32" t="s">
        <v>1791</v>
      </c>
    </row>
    <row r="44" spans="1:31" ht="108">
      <c r="A44" s="5" t="s">
        <v>296</v>
      </c>
      <c r="B44" s="5" t="s">
        <v>289</v>
      </c>
      <c r="C44" s="5" t="s">
        <v>254</v>
      </c>
      <c r="D44" s="5" t="s">
        <v>197</v>
      </c>
      <c r="E44" s="5" t="s">
        <v>290</v>
      </c>
      <c r="F44" s="5" t="s">
        <v>199</v>
      </c>
      <c r="G44" s="5" t="s">
        <v>257</v>
      </c>
      <c r="H44" s="5" t="s">
        <v>108</v>
      </c>
      <c r="I44" s="5" t="s">
        <v>109</v>
      </c>
      <c r="J44" s="5" t="s">
        <v>111</v>
      </c>
      <c r="K44" s="5" t="s">
        <v>272</v>
      </c>
      <c r="L44" s="5" t="s">
        <v>259</v>
      </c>
      <c r="M44" s="5" t="s">
        <v>260</v>
      </c>
      <c r="N44" s="5" t="s">
        <v>1856</v>
      </c>
      <c r="O44" s="5"/>
      <c r="P44" s="5" t="s">
        <v>1857</v>
      </c>
      <c r="Q44" s="5"/>
      <c r="R44" s="5"/>
      <c r="S44" s="5" t="s">
        <v>497</v>
      </c>
      <c r="T44" s="5" t="s">
        <v>69</v>
      </c>
      <c r="U44" s="5" t="s">
        <v>2042</v>
      </c>
      <c r="V44" s="34">
        <v>46215</v>
      </c>
      <c r="W44" s="5" t="s">
        <v>1852</v>
      </c>
      <c r="X44" s="5" t="s">
        <v>1853</v>
      </c>
      <c r="Y44" s="3" t="s">
        <v>44</v>
      </c>
      <c r="Z44" s="3" t="s">
        <v>1858</v>
      </c>
      <c r="AA44" s="32" t="s">
        <v>1858</v>
      </c>
      <c r="AB44" s="32" t="s">
        <v>290</v>
      </c>
      <c r="AC44" s="32" t="s">
        <v>1784</v>
      </c>
      <c r="AD44" s="32" t="s">
        <v>1855</v>
      </c>
      <c r="AE44" s="32" t="s">
        <v>1791</v>
      </c>
    </row>
    <row r="45" spans="1:31" ht="108">
      <c r="A45" s="5" t="s">
        <v>297</v>
      </c>
      <c r="B45" s="5" t="s">
        <v>289</v>
      </c>
      <c r="C45" s="5" t="s">
        <v>254</v>
      </c>
      <c r="D45" s="5" t="s">
        <v>197</v>
      </c>
      <c r="E45" s="5" t="s">
        <v>290</v>
      </c>
      <c r="F45" s="5" t="s">
        <v>199</v>
      </c>
      <c r="G45" s="5" t="s">
        <v>257</v>
      </c>
      <c r="H45" s="5" t="s">
        <v>115</v>
      </c>
      <c r="I45" s="5" t="s">
        <v>116</v>
      </c>
      <c r="J45" s="5" t="s">
        <v>111</v>
      </c>
      <c r="K45" s="5" t="s">
        <v>274</v>
      </c>
      <c r="L45" s="5" t="s">
        <v>259</v>
      </c>
      <c r="M45" s="5" t="s">
        <v>260</v>
      </c>
      <c r="N45" s="5" t="s">
        <v>1856</v>
      </c>
      <c r="O45" s="5"/>
      <c r="P45" s="5" t="s">
        <v>1857</v>
      </c>
      <c r="Q45" s="5"/>
      <c r="R45" s="5"/>
      <c r="S45" s="5" t="s">
        <v>497</v>
      </c>
      <c r="T45" s="5" t="s">
        <v>69</v>
      </c>
      <c r="U45" s="5" t="s">
        <v>2042</v>
      </c>
      <c r="V45" s="34">
        <v>46215</v>
      </c>
      <c r="W45" s="5" t="s">
        <v>1852</v>
      </c>
      <c r="X45" s="5" t="s">
        <v>1853</v>
      </c>
      <c r="Y45" s="3" t="s">
        <v>44</v>
      </c>
      <c r="Z45" s="3" t="s">
        <v>1858</v>
      </c>
      <c r="AA45" s="32" t="s">
        <v>1858</v>
      </c>
      <c r="AB45" s="32" t="s">
        <v>290</v>
      </c>
      <c r="AC45" s="32" t="s">
        <v>1784</v>
      </c>
      <c r="AD45" s="32" t="s">
        <v>1855</v>
      </c>
      <c r="AE45" s="32" t="s">
        <v>1791</v>
      </c>
    </row>
    <row r="46" spans="1:31" ht="108">
      <c r="A46" s="5" t="s">
        <v>298</v>
      </c>
      <c r="B46" s="5" t="s">
        <v>289</v>
      </c>
      <c r="C46" s="5" t="s">
        <v>254</v>
      </c>
      <c r="D46" s="5" t="s">
        <v>197</v>
      </c>
      <c r="E46" s="5" t="s">
        <v>290</v>
      </c>
      <c r="F46" s="5" t="s">
        <v>199</v>
      </c>
      <c r="G46" s="5" t="s">
        <v>257</v>
      </c>
      <c r="H46" s="5" t="s">
        <v>48</v>
      </c>
      <c r="I46" s="5" t="s">
        <v>229</v>
      </c>
      <c r="J46" s="5" t="s">
        <v>123</v>
      </c>
      <c r="K46" s="5" t="s">
        <v>276</v>
      </c>
      <c r="L46" s="5" t="s">
        <v>259</v>
      </c>
      <c r="M46" s="5" t="s">
        <v>260</v>
      </c>
      <c r="N46" s="5" t="s">
        <v>1856</v>
      </c>
      <c r="O46" s="5"/>
      <c r="P46" s="5" t="s">
        <v>1857</v>
      </c>
      <c r="Q46" s="5"/>
      <c r="R46" s="5"/>
      <c r="S46" s="5" t="s">
        <v>497</v>
      </c>
      <c r="T46" s="5" t="s">
        <v>69</v>
      </c>
      <c r="U46" s="5" t="s">
        <v>2042</v>
      </c>
      <c r="V46" s="34">
        <v>46215</v>
      </c>
      <c r="W46" s="5" t="s">
        <v>1852</v>
      </c>
      <c r="X46" s="5" t="s">
        <v>1853</v>
      </c>
      <c r="Y46" s="3" t="s">
        <v>44</v>
      </c>
      <c r="Z46" s="3" t="s">
        <v>1858</v>
      </c>
      <c r="AA46" s="32" t="s">
        <v>1858</v>
      </c>
      <c r="AB46" s="32" t="s">
        <v>290</v>
      </c>
      <c r="AC46" s="32" t="s">
        <v>1784</v>
      </c>
      <c r="AD46" s="32" t="s">
        <v>1855</v>
      </c>
      <c r="AE46" s="32" t="s">
        <v>1791</v>
      </c>
    </row>
    <row r="47" spans="1:31" ht="54">
      <c r="A47" s="5" t="s">
        <v>299</v>
      </c>
      <c r="B47" s="5" t="s">
        <v>300</v>
      </c>
      <c r="C47" s="5" t="s">
        <v>254</v>
      </c>
      <c r="D47" s="5" t="s">
        <v>197</v>
      </c>
      <c r="E47" s="5" t="s">
        <v>290</v>
      </c>
      <c r="F47" s="5" t="s">
        <v>199</v>
      </c>
      <c r="G47" s="5" t="s">
        <v>257</v>
      </c>
      <c r="H47" s="5" t="s">
        <v>62</v>
      </c>
      <c r="I47" s="5" t="s">
        <v>63</v>
      </c>
      <c r="J47" s="5" t="s">
        <v>65</v>
      </c>
      <c r="K47" s="5" t="s">
        <v>258</v>
      </c>
      <c r="L47" s="5" t="s">
        <v>279</v>
      </c>
      <c r="M47" s="5" t="s">
        <v>260</v>
      </c>
      <c r="N47" s="5" t="s">
        <v>1861</v>
      </c>
      <c r="O47" s="5"/>
      <c r="P47" s="5"/>
      <c r="Q47" s="5"/>
      <c r="R47" s="5"/>
      <c r="S47" s="5" t="s">
        <v>1912</v>
      </c>
      <c r="T47" s="5" t="s">
        <v>2006</v>
      </c>
      <c r="U47" s="5" t="s">
        <v>2416</v>
      </c>
      <c r="V47" s="5"/>
      <c r="W47" s="5"/>
      <c r="X47" s="5"/>
      <c r="Y47" s="3" t="s">
        <v>205</v>
      </c>
      <c r="Z47" s="3" t="s">
        <v>205</v>
      </c>
      <c r="AA47" s="32" t="s">
        <v>205</v>
      </c>
      <c r="AB47" s="32" t="s">
        <v>205</v>
      </c>
      <c r="AC47" s="32" t="s">
        <v>205</v>
      </c>
      <c r="AD47" s="32" t="s">
        <v>1849</v>
      </c>
      <c r="AE47" s="32" t="s">
        <v>2416</v>
      </c>
    </row>
    <row r="48" spans="1:31" ht="54">
      <c r="A48" s="5" t="s">
        <v>301</v>
      </c>
      <c r="B48" s="5" t="s">
        <v>300</v>
      </c>
      <c r="C48" s="5" t="s">
        <v>254</v>
      </c>
      <c r="D48" s="5" t="s">
        <v>197</v>
      </c>
      <c r="E48" s="5" t="s">
        <v>290</v>
      </c>
      <c r="F48" s="5" t="s">
        <v>199</v>
      </c>
      <c r="G48" s="5" t="s">
        <v>257</v>
      </c>
      <c r="H48" s="5" t="s">
        <v>71</v>
      </c>
      <c r="I48" s="5" t="s">
        <v>72</v>
      </c>
      <c r="J48" s="5" t="s">
        <v>65</v>
      </c>
      <c r="K48" s="5" t="s">
        <v>262</v>
      </c>
      <c r="L48" s="5" t="s">
        <v>279</v>
      </c>
      <c r="M48" s="5" t="s">
        <v>260</v>
      </c>
      <c r="N48" s="5" t="s">
        <v>1861</v>
      </c>
      <c r="O48" s="5"/>
      <c r="P48" s="5"/>
      <c r="Q48" s="5"/>
      <c r="R48" s="5"/>
      <c r="S48" s="5" t="s">
        <v>1912</v>
      </c>
      <c r="T48" s="5" t="s">
        <v>2006</v>
      </c>
      <c r="U48" s="5" t="s">
        <v>2416</v>
      </c>
      <c r="V48" s="5"/>
      <c r="W48" s="5"/>
      <c r="X48" s="5"/>
      <c r="Y48" s="3" t="s">
        <v>205</v>
      </c>
      <c r="Z48" s="3" t="s">
        <v>205</v>
      </c>
      <c r="AA48" s="32" t="s">
        <v>205</v>
      </c>
      <c r="AB48" s="32" t="s">
        <v>205</v>
      </c>
      <c r="AC48" s="32" t="s">
        <v>205</v>
      </c>
      <c r="AD48" s="32" t="s">
        <v>1849</v>
      </c>
      <c r="AE48" s="32" t="s">
        <v>2416</v>
      </c>
    </row>
    <row r="49" spans="1:31" ht="54">
      <c r="A49" s="5" t="s">
        <v>302</v>
      </c>
      <c r="B49" s="5" t="s">
        <v>300</v>
      </c>
      <c r="C49" s="5" t="s">
        <v>254</v>
      </c>
      <c r="D49" s="5" t="s">
        <v>197</v>
      </c>
      <c r="E49" s="5" t="s">
        <v>290</v>
      </c>
      <c r="F49" s="5" t="s">
        <v>199</v>
      </c>
      <c r="G49" s="5" t="s">
        <v>257</v>
      </c>
      <c r="H49" s="5" t="s">
        <v>78</v>
      </c>
      <c r="I49" s="5" t="s">
        <v>79</v>
      </c>
      <c r="J49" s="5" t="s">
        <v>212</v>
      </c>
      <c r="K49" s="5" t="s">
        <v>264</v>
      </c>
      <c r="L49" s="5" t="s">
        <v>279</v>
      </c>
      <c r="M49" s="5" t="s">
        <v>260</v>
      </c>
      <c r="N49" s="5" t="s">
        <v>1861</v>
      </c>
      <c r="O49" s="5"/>
      <c r="P49" s="5"/>
      <c r="Q49" s="5"/>
      <c r="R49" s="5"/>
      <c r="S49" s="5" t="s">
        <v>1912</v>
      </c>
      <c r="T49" s="5" t="s">
        <v>2006</v>
      </c>
      <c r="U49" s="5" t="s">
        <v>2416</v>
      </c>
      <c r="V49" s="5"/>
      <c r="W49" s="5"/>
      <c r="X49" s="5"/>
      <c r="Y49" s="3" t="s">
        <v>205</v>
      </c>
      <c r="Z49" s="3" t="s">
        <v>205</v>
      </c>
      <c r="AA49" s="32" t="s">
        <v>205</v>
      </c>
      <c r="AB49" s="32" t="s">
        <v>205</v>
      </c>
      <c r="AC49" s="32" t="s">
        <v>205</v>
      </c>
      <c r="AD49" s="32" t="s">
        <v>1849</v>
      </c>
      <c r="AE49" s="32" t="s">
        <v>2416</v>
      </c>
    </row>
    <row r="50" spans="1:31" ht="54">
      <c r="A50" s="5" t="s">
        <v>303</v>
      </c>
      <c r="B50" s="5" t="s">
        <v>300</v>
      </c>
      <c r="C50" s="5" t="s">
        <v>254</v>
      </c>
      <c r="D50" s="5" t="s">
        <v>197</v>
      </c>
      <c r="E50" s="5" t="s">
        <v>290</v>
      </c>
      <c r="F50" s="5" t="s">
        <v>199</v>
      </c>
      <c r="G50" s="5" t="s">
        <v>257</v>
      </c>
      <c r="H50" s="5" t="s">
        <v>86</v>
      </c>
      <c r="I50" s="5" t="s">
        <v>87</v>
      </c>
      <c r="J50" s="5" t="s">
        <v>89</v>
      </c>
      <c r="K50" s="5" t="s">
        <v>266</v>
      </c>
      <c r="L50" s="5" t="s">
        <v>279</v>
      </c>
      <c r="M50" s="5" t="s">
        <v>260</v>
      </c>
      <c r="N50" s="5" t="s">
        <v>1861</v>
      </c>
      <c r="O50" s="5"/>
      <c r="P50" s="5"/>
      <c r="Q50" s="5"/>
      <c r="R50" s="5"/>
      <c r="S50" s="5" t="s">
        <v>1912</v>
      </c>
      <c r="T50" s="5" t="s">
        <v>2006</v>
      </c>
      <c r="U50" s="5" t="s">
        <v>2416</v>
      </c>
      <c r="V50" s="5"/>
      <c r="W50" s="5"/>
      <c r="X50" s="5"/>
      <c r="Y50" s="3" t="s">
        <v>205</v>
      </c>
      <c r="Z50" s="3" t="s">
        <v>205</v>
      </c>
      <c r="AA50" s="32" t="s">
        <v>205</v>
      </c>
      <c r="AB50" s="32" t="s">
        <v>205</v>
      </c>
      <c r="AC50" s="32" t="s">
        <v>205</v>
      </c>
      <c r="AD50" s="32" t="s">
        <v>1849</v>
      </c>
      <c r="AE50" s="32" t="s">
        <v>2416</v>
      </c>
    </row>
    <row r="51" spans="1:31" ht="54">
      <c r="A51" s="5" t="s">
        <v>304</v>
      </c>
      <c r="B51" s="5" t="s">
        <v>300</v>
      </c>
      <c r="C51" s="5" t="s">
        <v>254</v>
      </c>
      <c r="D51" s="5" t="s">
        <v>197</v>
      </c>
      <c r="E51" s="5" t="s">
        <v>290</v>
      </c>
      <c r="F51" s="5" t="s">
        <v>199</v>
      </c>
      <c r="G51" s="5" t="s">
        <v>257</v>
      </c>
      <c r="H51" s="5" t="s">
        <v>95</v>
      </c>
      <c r="I51" s="5" t="s">
        <v>96</v>
      </c>
      <c r="J51" s="5" t="s">
        <v>65</v>
      </c>
      <c r="K51" s="5" t="s">
        <v>268</v>
      </c>
      <c r="L51" s="5" t="s">
        <v>279</v>
      </c>
      <c r="M51" s="5" t="s">
        <v>260</v>
      </c>
      <c r="N51" s="5" t="s">
        <v>1861</v>
      </c>
      <c r="O51" s="5"/>
      <c r="P51" s="5"/>
      <c r="Q51" s="5"/>
      <c r="R51" s="5"/>
      <c r="S51" s="5" t="s">
        <v>1912</v>
      </c>
      <c r="T51" s="5" t="s">
        <v>2006</v>
      </c>
      <c r="U51" s="5" t="s">
        <v>2416</v>
      </c>
      <c r="V51" s="5"/>
      <c r="W51" s="5"/>
      <c r="X51" s="5"/>
      <c r="Y51" s="3" t="s">
        <v>205</v>
      </c>
      <c r="Z51" s="3" t="s">
        <v>205</v>
      </c>
      <c r="AA51" s="32" t="s">
        <v>205</v>
      </c>
      <c r="AB51" s="32" t="s">
        <v>205</v>
      </c>
      <c r="AC51" s="32" t="s">
        <v>205</v>
      </c>
      <c r="AD51" s="32" t="s">
        <v>1849</v>
      </c>
      <c r="AE51" s="32" t="s">
        <v>2416</v>
      </c>
    </row>
    <row r="52" spans="1:31" ht="54">
      <c r="A52" s="5" t="s">
        <v>305</v>
      </c>
      <c r="B52" s="5" t="s">
        <v>300</v>
      </c>
      <c r="C52" s="5" t="s">
        <v>254</v>
      </c>
      <c r="D52" s="5" t="s">
        <v>197</v>
      </c>
      <c r="E52" s="5" t="s">
        <v>290</v>
      </c>
      <c r="F52" s="5" t="s">
        <v>199</v>
      </c>
      <c r="G52" s="5" t="s">
        <v>257</v>
      </c>
      <c r="H52" s="5" t="s">
        <v>102</v>
      </c>
      <c r="I52" s="5" t="s">
        <v>103</v>
      </c>
      <c r="J52" s="5" t="s">
        <v>105</v>
      </c>
      <c r="K52" s="5" t="s">
        <v>270</v>
      </c>
      <c r="L52" s="5" t="s">
        <v>279</v>
      </c>
      <c r="M52" s="5" t="s">
        <v>260</v>
      </c>
      <c r="N52" s="5" t="s">
        <v>1861</v>
      </c>
      <c r="O52" s="5"/>
      <c r="P52" s="5"/>
      <c r="Q52" s="5"/>
      <c r="R52" s="5"/>
      <c r="S52" s="5" t="s">
        <v>1912</v>
      </c>
      <c r="T52" s="5" t="s">
        <v>2006</v>
      </c>
      <c r="U52" s="5" t="s">
        <v>2416</v>
      </c>
      <c r="V52" s="5"/>
      <c r="W52" s="5"/>
      <c r="X52" s="5"/>
      <c r="Y52" s="3" t="s">
        <v>205</v>
      </c>
      <c r="Z52" s="3" t="s">
        <v>205</v>
      </c>
      <c r="AA52" s="32" t="s">
        <v>205</v>
      </c>
      <c r="AB52" s="32" t="s">
        <v>205</v>
      </c>
      <c r="AC52" s="32" t="s">
        <v>205</v>
      </c>
      <c r="AD52" s="32" t="s">
        <v>1849</v>
      </c>
      <c r="AE52" s="32" t="s">
        <v>2416</v>
      </c>
    </row>
    <row r="53" spans="1:31" ht="54">
      <c r="A53" s="5" t="s">
        <v>306</v>
      </c>
      <c r="B53" s="5" t="s">
        <v>300</v>
      </c>
      <c r="C53" s="5" t="s">
        <v>254</v>
      </c>
      <c r="D53" s="5" t="s">
        <v>197</v>
      </c>
      <c r="E53" s="5" t="s">
        <v>290</v>
      </c>
      <c r="F53" s="5" t="s">
        <v>199</v>
      </c>
      <c r="G53" s="5" t="s">
        <v>257</v>
      </c>
      <c r="H53" s="5" t="s">
        <v>108</v>
      </c>
      <c r="I53" s="5" t="s">
        <v>109</v>
      </c>
      <c r="J53" s="5" t="s">
        <v>111</v>
      </c>
      <c r="K53" s="5" t="s">
        <v>272</v>
      </c>
      <c r="L53" s="5" t="s">
        <v>279</v>
      </c>
      <c r="M53" s="5" t="s">
        <v>260</v>
      </c>
      <c r="N53" s="5" t="s">
        <v>1861</v>
      </c>
      <c r="O53" s="5"/>
      <c r="P53" s="5"/>
      <c r="Q53" s="5"/>
      <c r="R53" s="5"/>
      <c r="S53" s="5" t="s">
        <v>1912</v>
      </c>
      <c r="T53" s="5" t="s">
        <v>2006</v>
      </c>
      <c r="U53" s="5" t="s">
        <v>2416</v>
      </c>
      <c r="V53" s="5"/>
      <c r="W53" s="5"/>
      <c r="X53" s="5"/>
      <c r="Y53" s="3" t="s">
        <v>205</v>
      </c>
      <c r="Z53" s="3" t="s">
        <v>205</v>
      </c>
      <c r="AA53" s="32" t="s">
        <v>205</v>
      </c>
      <c r="AB53" s="32" t="s">
        <v>205</v>
      </c>
      <c r="AC53" s="32" t="s">
        <v>205</v>
      </c>
      <c r="AD53" s="32" t="s">
        <v>1849</v>
      </c>
      <c r="AE53" s="32" t="s">
        <v>2416</v>
      </c>
    </row>
    <row r="54" spans="1:31" ht="54">
      <c r="A54" s="5" t="s">
        <v>307</v>
      </c>
      <c r="B54" s="5" t="s">
        <v>300</v>
      </c>
      <c r="C54" s="5" t="s">
        <v>254</v>
      </c>
      <c r="D54" s="5" t="s">
        <v>197</v>
      </c>
      <c r="E54" s="5" t="s">
        <v>290</v>
      </c>
      <c r="F54" s="5" t="s">
        <v>199</v>
      </c>
      <c r="G54" s="5" t="s">
        <v>257</v>
      </c>
      <c r="H54" s="5" t="s">
        <v>115</v>
      </c>
      <c r="I54" s="5" t="s">
        <v>116</v>
      </c>
      <c r="J54" s="5" t="s">
        <v>111</v>
      </c>
      <c r="K54" s="5" t="s">
        <v>274</v>
      </c>
      <c r="L54" s="5" t="s">
        <v>279</v>
      </c>
      <c r="M54" s="5" t="s">
        <v>260</v>
      </c>
      <c r="N54" s="5" t="s">
        <v>1861</v>
      </c>
      <c r="O54" s="5"/>
      <c r="P54" s="5"/>
      <c r="Q54" s="5"/>
      <c r="R54" s="5"/>
      <c r="S54" s="5" t="s">
        <v>1912</v>
      </c>
      <c r="T54" s="5" t="s">
        <v>2006</v>
      </c>
      <c r="U54" s="5" t="s">
        <v>2416</v>
      </c>
      <c r="V54" s="5"/>
      <c r="W54" s="5"/>
      <c r="X54" s="5"/>
      <c r="Y54" s="3" t="s">
        <v>205</v>
      </c>
      <c r="Z54" s="3" t="s">
        <v>205</v>
      </c>
      <c r="AA54" s="32" t="s">
        <v>205</v>
      </c>
      <c r="AB54" s="32" t="s">
        <v>205</v>
      </c>
      <c r="AC54" s="32" t="s">
        <v>205</v>
      </c>
      <c r="AD54" s="32" t="s">
        <v>1849</v>
      </c>
      <c r="AE54" s="32" t="s">
        <v>2416</v>
      </c>
    </row>
    <row r="55" spans="1:31" ht="54">
      <c r="A55" s="5" t="s">
        <v>308</v>
      </c>
      <c r="B55" s="5" t="s">
        <v>300</v>
      </c>
      <c r="C55" s="5" t="s">
        <v>254</v>
      </c>
      <c r="D55" s="5" t="s">
        <v>197</v>
      </c>
      <c r="E55" s="5" t="s">
        <v>290</v>
      </c>
      <c r="F55" s="5" t="s">
        <v>199</v>
      </c>
      <c r="G55" s="5" t="s">
        <v>257</v>
      </c>
      <c r="H55" s="5" t="s">
        <v>48</v>
      </c>
      <c r="I55" s="5" t="s">
        <v>229</v>
      </c>
      <c r="J55" s="5" t="s">
        <v>123</v>
      </c>
      <c r="K55" s="5" t="s">
        <v>276</v>
      </c>
      <c r="L55" s="5" t="s">
        <v>279</v>
      </c>
      <c r="M55" s="5" t="s">
        <v>260</v>
      </c>
      <c r="N55" s="5" t="s">
        <v>1861</v>
      </c>
      <c r="O55" s="5"/>
      <c r="P55" s="5"/>
      <c r="Q55" s="5"/>
      <c r="R55" s="5"/>
      <c r="S55" s="5" t="s">
        <v>1912</v>
      </c>
      <c r="T55" s="5" t="s">
        <v>2006</v>
      </c>
      <c r="U55" s="5" t="s">
        <v>2416</v>
      </c>
      <c r="V55" s="5"/>
      <c r="W55" s="5"/>
      <c r="X55" s="5"/>
      <c r="Y55" s="3" t="s">
        <v>205</v>
      </c>
      <c r="Z55" s="3" t="s">
        <v>205</v>
      </c>
      <c r="AA55" s="32" t="s">
        <v>205</v>
      </c>
      <c r="AB55" s="32" t="s">
        <v>205</v>
      </c>
      <c r="AC55" s="32" t="s">
        <v>205</v>
      </c>
      <c r="AD55" s="32" t="s">
        <v>1849</v>
      </c>
      <c r="AE55" s="32" t="s">
        <v>2416</v>
      </c>
    </row>
    <row r="56" spans="1:31" ht="81">
      <c r="A56" s="5" t="s">
        <v>309</v>
      </c>
      <c r="B56" s="5" t="s">
        <v>310</v>
      </c>
      <c r="C56" s="5" t="s">
        <v>311</v>
      </c>
      <c r="D56" s="5" t="s">
        <v>312</v>
      </c>
      <c r="E56" s="5" t="s">
        <v>313</v>
      </c>
      <c r="F56" s="5" t="s">
        <v>314</v>
      </c>
      <c r="G56" s="5" t="s">
        <v>315</v>
      </c>
      <c r="H56" s="5" t="s">
        <v>316</v>
      </c>
      <c r="I56" s="5" t="s">
        <v>317</v>
      </c>
      <c r="J56" s="5" t="s">
        <v>318</v>
      </c>
      <c r="K56" s="5" t="s">
        <v>319</v>
      </c>
      <c r="L56" s="5" t="s">
        <v>320</v>
      </c>
      <c r="M56" s="5" t="s">
        <v>321</v>
      </c>
      <c r="N56" s="5" t="s">
        <v>1862</v>
      </c>
      <c r="O56" s="5"/>
      <c r="P56" s="5"/>
      <c r="Q56" s="5"/>
      <c r="R56" s="5"/>
      <c r="S56" s="5" t="s">
        <v>1912</v>
      </c>
      <c r="T56" s="5" t="s">
        <v>2006</v>
      </c>
      <c r="U56" s="5" t="s">
        <v>1864</v>
      </c>
      <c r="V56" s="5"/>
      <c r="W56" s="5"/>
      <c r="X56" s="5"/>
      <c r="Y56" s="3" t="s">
        <v>205</v>
      </c>
      <c r="Z56" s="3" t="s">
        <v>205</v>
      </c>
      <c r="AA56" s="32" t="s">
        <v>205</v>
      </c>
      <c r="AB56" s="32" t="s">
        <v>205</v>
      </c>
      <c r="AC56" s="32" t="s">
        <v>205</v>
      </c>
      <c r="AD56" s="32" t="s">
        <v>1864</v>
      </c>
      <c r="AE56" s="32" t="s">
        <v>1864</v>
      </c>
    </row>
    <row r="57" spans="1:31" ht="81">
      <c r="A57" s="5" t="s">
        <v>322</v>
      </c>
      <c r="B57" s="5" t="s">
        <v>310</v>
      </c>
      <c r="C57" s="5" t="s">
        <v>311</v>
      </c>
      <c r="D57" s="5" t="s">
        <v>312</v>
      </c>
      <c r="E57" s="5" t="s">
        <v>323</v>
      </c>
      <c r="F57" s="5" t="s">
        <v>314</v>
      </c>
      <c r="G57" s="5" t="s">
        <v>315</v>
      </c>
      <c r="H57" s="5" t="s">
        <v>86</v>
      </c>
      <c r="I57" s="5" t="s">
        <v>317</v>
      </c>
      <c r="J57" s="5" t="s">
        <v>318</v>
      </c>
      <c r="K57" s="5" t="s">
        <v>324</v>
      </c>
      <c r="L57" s="5" t="s">
        <v>320</v>
      </c>
      <c r="M57" s="5" t="s">
        <v>321</v>
      </c>
      <c r="N57" s="5" t="s">
        <v>1862</v>
      </c>
      <c r="O57" s="5"/>
      <c r="P57" s="5"/>
      <c r="Q57" s="5"/>
      <c r="R57" s="5"/>
      <c r="S57" s="5" t="s">
        <v>1912</v>
      </c>
      <c r="T57" s="5" t="s">
        <v>2006</v>
      </c>
      <c r="U57" s="5" t="s">
        <v>1864</v>
      </c>
      <c r="V57" s="5"/>
      <c r="W57" s="5"/>
      <c r="X57" s="5"/>
      <c r="Y57" s="3" t="s">
        <v>205</v>
      </c>
      <c r="Z57" s="3" t="s">
        <v>205</v>
      </c>
      <c r="AA57" s="32" t="s">
        <v>205</v>
      </c>
      <c r="AB57" s="32" t="s">
        <v>205</v>
      </c>
      <c r="AC57" s="32" t="s">
        <v>205</v>
      </c>
      <c r="AD57" s="32" t="s">
        <v>1864</v>
      </c>
      <c r="AE57" s="32" t="s">
        <v>1864</v>
      </c>
    </row>
    <row r="58" spans="1:31" ht="81">
      <c r="A58" s="5" t="s">
        <v>325</v>
      </c>
      <c r="B58" s="5" t="s">
        <v>310</v>
      </c>
      <c r="C58" s="5" t="s">
        <v>311</v>
      </c>
      <c r="D58" s="5" t="s">
        <v>312</v>
      </c>
      <c r="E58" s="5" t="s">
        <v>326</v>
      </c>
      <c r="F58" s="5" t="s">
        <v>314</v>
      </c>
      <c r="G58" s="5" t="s">
        <v>315</v>
      </c>
      <c r="H58" s="5" t="s">
        <v>78</v>
      </c>
      <c r="I58" s="5" t="s">
        <v>317</v>
      </c>
      <c r="J58" s="5" t="s">
        <v>318</v>
      </c>
      <c r="K58" s="5" t="s">
        <v>327</v>
      </c>
      <c r="L58" s="5" t="s">
        <v>320</v>
      </c>
      <c r="M58" s="5" t="s">
        <v>321</v>
      </c>
      <c r="N58" s="5" t="s">
        <v>1862</v>
      </c>
      <c r="O58" s="5"/>
      <c r="P58" s="5"/>
      <c r="Q58" s="5"/>
      <c r="R58" s="5"/>
      <c r="S58" s="5" t="s">
        <v>1912</v>
      </c>
      <c r="T58" s="5" t="s">
        <v>2006</v>
      </c>
      <c r="U58" s="5" t="s">
        <v>1864</v>
      </c>
      <c r="V58" s="5"/>
      <c r="W58" s="5"/>
      <c r="X58" s="5"/>
      <c r="Y58" s="3" t="s">
        <v>205</v>
      </c>
      <c r="Z58" s="3" t="s">
        <v>205</v>
      </c>
      <c r="AA58" s="32" t="s">
        <v>205</v>
      </c>
      <c r="AB58" s="32" t="s">
        <v>205</v>
      </c>
      <c r="AC58" s="32" t="s">
        <v>205</v>
      </c>
      <c r="AD58" s="32" t="s">
        <v>1864</v>
      </c>
      <c r="AE58" s="32" t="s">
        <v>1864</v>
      </c>
    </row>
    <row r="59" spans="1:31" ht="81">
      <c r="A59" s="5" t="s">
        <v>328</v>
      </c>
      <c r="B59" s="5" t="s">
        <v>310</v>
      </c>
      <c r="C59" s="5" t="s">
        <v>311</v>
      </c>
      <c r="D59" s="5" t="s">
        <v>312</v>
      </c>
      <c r="E59" s="5" t="s">
        <v>329</v>
      </c>
      <c r="F59" s="5" t="s">
        <v>314</v>
      </c>
      <c r="G59" s="5" t="s">
        <v>315</v>
      </c>
      <c r="H59" s="5" t="s">
        <v>78</v>
      </c>
      <c r="I59" s="5" t="s">
        <v>317</v>
      </c>
      <c r="J59" s="5" t="s">
        <v>318</v>
      </c>
      <c r="K59" s="5" t="s">
        <v>330</v>
      </c>
      <c r="L59" s="5" t="s">
        <v>320</v>
      </c>
      <c r="M59" s="5" t="s">
        <v>321</v>
      </c>
      <c r="N59" s="5" t="s">
        <v>1862</v>
      </c>
      <c r="O59" s="5"/>
      <c r="P59" s="5"/>
      <c r="Q59" s="5"/>
      <c r="R59" s="5"/>
      <c r="S59" s="5" t="s">
        <v>1912</v>
      </c>
      <c r="T59" s="5" t="s">
        <v>2006</v>
      </c>
      <c r="U59" s="5" t="s">
        <v>1864</v>
      </c>
      <c r="V59" s="5"/>
      <c r="W59" s="5"/>
      <c r="X59" s="5"/>
      <c r="Y59" s="3" t="s">
        <v>205</v>
      </c>
      <c r="Z59" s="3" t="s">
        <v>205</v>
      </c>
      <c r="AA59" s="32" t="s">
        <v>205</v>
      </c>
      <c r="AB59" s="32" t="s">
        <v>205</v>
      </c>
      <c r="AC59" s="32" t="s">
        <v>205</v>
      </c>
      <c r="AD59" s="32" t="s">
        <v>1864</v>
      </c>
      <c r="AE59" s="32" t="s">
        <v>1864</v>
      </c>
    </row>
    <row r="60" spans="1:31" ht="81">
      <c r="A60" s="5" t="s">
        <v>331</v>
      </c>
      <c r="B60" s="5" t="s">
        <v>310</v>
      </c>
      <c r="C60" s="5" t="s">
        <v>311</v>
      </c>
      <c r="D60" s="5" t="s">
        <v>312</v>
      </c>
      <c r="E60" s="5" t="s">
        <v>332</v>
      </c>
      <c r="F60" s="5" t="s">
        <v>314</v>
      </c>
      <c r="G60" s="5" t="s">
        <v>315</v>
      </c>
      <c r="H60" s="5" t="s">
        <v>95</v>
      </c>
      <c r="I60" s="5" t="s">
        <v>317</v>
      </c>
      <c r="J60" s="5" t="s">
        <v>318</v>
      </c>
      <c r="K60" s="5" t="s">
        <v>333</v>
      </c>
      <c r="L60" s="5" t="s">
        <v>320</v>
      </c>
      <c r="M60" s="5" t="s">
        <v>321</v>
      </c>
      <c r="N60" s="5" t="s">
        <v>1862</v>
      </c>
      <c r="O60" s="5"/>
      <c r="P60" s="5"/>
      <c r="Q60" s="5"/>
      <c r="R60" s="5"/>
      <c r="S60" s="5" t="s">
        <v>1912</v>
      </c>
      <c r="T60" s="5" t="s">
        <v>2006</v>
      </c>
      <c r="U60" s="5" t="s">
        <v>1864</v>
      </c>
      <c r="V60" s="5"/>
      <c r="W60" s="5"/>
      <c r="X60" s="5"/>
      <c r="Y60" s="3" t="s">
        <v>205</v>
      </c>
      <c r="Z60" s="3" t="s">
        <v>205</v>
      </c>
      <c r="AA60" s="32" t="s">
        <v>205</v>
      </c>
      <c r="AB60" s="32" t="s">
        <v>205</v>
      </c>
      <c r="AC60" s="32" t="s">
        <v>205</v>
      </c>
      <c r="AD60" s="32" t="s">
        <v>1864</v>
      </c>
      <c r="AE60" s="32" t="s">
        <v>1864</v>
      </c>
    </row>
    <row r="61" spans="1:31" ht="81">
      <c r="A61" s="5" t="s">
        <v>334</v>
      </c>
      <c r="B61" s="5" t="s">
        <v>310</v>
      </c>
      <c r="C61" s="5" t="s">
        <v>311</v>
      </c>
      <c r="D61" s="5" t="s">
        <v>312</v>
      </c>
      <c r="E61" s="5" t="s">
        <v>335</v>
      </c>
      <c r="F61" s="5" t="s">
        <v>314</v>
      </c>
      <c r="G61" s="5" t="s">
        <v>315</v>
      </c>
      <c r="H61" s="5" t="s">
        <v>316</v>
      </c>
      <c r="I61" s="5" t="s">
        <v>317</v>
      </c>
      <c r="J61" s="5" t="s">
        <v>318</v>
      </c>
      <c r="K61" s="5" t="s">
        <v>336</v>
      </c>
      <c r="L61" s="5" t="s">
        <v>320</v>
      </c>
      <c r="M61" s="5" t="s">
        <v>321</v>
      </c>
      <c r="N61" s="5" t="s">
        <v>1862</v>
      </c>
      <c r="O61" s="5"/>
      <c r="P61" s="5"/>
      <c r="Q61" s="5"/>
      <c r="R61" s="5"/>
      <c r="S61" s="5" t="s">
        <v>1912</v>
      </c>
      <c r="T61" s="5" t="s">
        <v>2006</v>
      </c>
      <c r="U61" s="5" t="s">
        <v>1864</v>
      </c>
      <c r="V61" s="5"/>
      <c r="W61" s="5"/>
      <c r="X61" s="5"/>
      <c r="Y61" s="3" t="s">
        <v>205</v>
      </c>
      <c r="Z61" s="3" t="s">
        <v>205</v>
      </c>
      <c r="AA61" s="32" t="s">
        <v>205</v>
      </c>
      <c r="AB61" s="32" t="s">
        <v>205</v>
      </c>
      <c r="AC61" s="32" t="s">
        <v>205</v>
      </c>
      <c r="AD61" s="32" t="s">
        <v>1864</v>
      </c>
      <c r="AE61" s="32" t="s">
        <v>1864</v>
      </c>
    </row>
    <row r="62" spans="1:31" ht="81" customHeight="1">
      <c r="A62" s="5" t="s">
        <v>1865</v>
      </c>
      <c r="B62" s="5" t="s">
        <v>1866</v>
      </c>
      <c r="C62" s="5" t="s">
        <v>794</v>
      </c>
      <c r="D62" s="5" t="s">
        <v>1867</v>
      </c>
      <c r="E62" s="5" t="s">
        <v>198</v>
      </c>
      <c r="F62" s="5" t="s">
        <v>199</v>
      </c>
      <c r="G62" s="5" t="s">
        <v>200</v>
      </c>
      <c r="H62" s="5" t="s">
        <v>1868</v>
      </c>
      <c r="I62" s="5" t="s">
        <v>317</v>
      </c>
      <c r="J62" s="5" t="s">
        <v>822</v>
      </c>
      <c r="K62" s="5" t="s">
        <v>1869</v>
      </c>
      <c r="L62" s="5" t="s">
        <v>1870</v>
      </c>
      <c r="M62" s="5" t="s">
        <v>1871</v>
      </c>
      <c r="N62" s="5" t="s">
        <v>1872</v>
      </c>
      <c r="O62" s="5" t="s">
        <v>1873</v>
      </c>
      <c r="P62" s="5" t="s">
        <v>205</v>
      </c>
      <c r="Q62" s="5" t="s">
        <v>205</v>
      </c>
      <c r="R62" s="5" t="s">
        <v>1874</v>
      </c>
      <c r="S62" s="5" t="s">
        <v>207</v>
      </c>
      <c r="T62" s="5" t="s">
        <v>44</v>
      </c>
      <c r="U62" s="5" t="s">
        <v>2042</v>
      </c>
      <c r="V62" s="34">
        <v>46215</v>
      </c>
      <c r="W62" s="5" t="s">
        <v>1875</v>
      </c>
      <c r="X62" s="5" t="s">
        <v>1876</v>
      </c>
      <c r="Y62" s="5" t="s">
        <v>44</v>
      </c>
      <c r="Z62" s="5" t="s">
        <v>522</v>
      </c>
      <c r="AA62" s="2" t="s">
        <v>522</v>
      </c>
      <c r="AB62" s="2" t="s">
        <v>205</v>
      </c>
      <c r="AC62" s="2" t="s">
        <v>522</v>
      </c>
      <c r="AD62" s="2" t="s">
        <v>1835</v>
      </c>
      <c r="AE62" s="2" t="s">
        <v>1791</v>
      </c>
    </row>
    <row r="63" spans="1:31" ht="81" customHeight="1">
      <c r="A63" s="5" t="s">
        <v>1877</v>
      </c>
      <c r="B63" s="5" t="s">
        <v>1866</v>
      </c>
      <c r="C63" s="5" t="s">
        <v>238</v>
      </c>
      <c r="D63" s="5" t="s">
        <v>1867</v>
      </c>
      <c r="E63" s="5" t="s">
        <v>233</v>
      </c>
      <c r="F63" s="5" t="s">
        <v>199</v>
      </c>
      <c r="G63" s="5" t="s">
        <v>1028</v>
      </c>
      <c r="H63" s="5" t="s">
        <v>95</v>
      </c>
      <c r="I63" s="5" t="s">
        <v>96</v>
      </c>
      <c r="J63" s="5" t="s">
        <v>65</v>
      </c>
      <c r="K63" s="5" t="s">
        <v>1878</v>
      </c>
      <c r="L63" s="5" t="s">
        <v>1870</v>
      </c>
      <c r="M63" s="5" t="s">
        <v>1871</v>
      </c>
      <c r="N63" s="5" t="s">
        <v>1879</v>
      </c>
      <c r="O63" s="5">
        <v>7045</v>
      </c>
      <c r="P63" s="5" t="s">
        <v>205</v>
      </c>
      <c r="Q63" s="5" t="s">
        <v>96</v>
      </c>
      <c r="R63" s="5" t="s">
        <v>1880</v>
      </c>
      <c r="S63" s="5" t="s">
        <v>207</v>
      </c>
      <c r="T63" s="5" t="s">
        <v>44</v>
      </c>
      <c r="U63" s="5" t="s">
        <v>2042</v>
      </c>
      <c r="V63" s="34">
        <v>46215</v>
      </c>
      <c r="W63" s="5" t="s">
        <v>1881</v>
      </c>
      <c r="X63" s="5" t="s">
        <v>1882</v>
      </c>
      <c r="Y63" s="5" t="s">
        <v>44</v>
      </c>
      <c r="Z63" s="5" t="s">
        <v>522</v>
      </c>
      <c r="AA63" s="2" t="s">
        <v>522</v>
      </c>
      <c r="AB63" s="2" t="s">
        <v>205</v>
      </c>
      <c r="AC63" s="2" t="s">
        <v>522</v>
      </c>
      <c r="AD63" s="2" t="s">
        <v>1835</v>
      </c>
      <c r="AE63" s="2" t="s">
        <v>1791</v>
      </c>
    </row>
    <row r="64" spans="1:31" ht="81" customHeight="1">
      <c r="A64" s="5" t="s">
        <v>1883</v>
      </c>
      <c r="B64" s="5" t="s">
        <v>1866</v>
      </c>
      <c r="C64" s="5" t="s">
        <v>238</v>
      </c>
      <c r="D64" s="5" t="s">
        <v>1867</v>
      </c>
      <c r="E64" s="5" t="s">
        <v>239</v>
      </c>
      <c r="F64" s="5" t="s">
        <v>199</v>
      </c>
      <c r="G64" s="5" t="s">
        <v>1884</v>
      </c>
      <c r="H64" s="5" t="s">
        <v>1868</v>
      </c>
      <c r="I64" s="5" t="s">
        <v>317</v>
      </c>
      <c r="J64" s="5" t="s">
        <v>822</v>
      </c>
      <c r="K64" s="5" t="s">
        <v>1885</v>
      </c>
      <c r="L64" s="5" t="s">
        <v>1886</v>
      </c>
      <c r="M64" s="5" t="s">
        <v>1871</v>
      </c>
      <c r="N64" s="5" t="s">
        <v>1887</v>
      </c>
      <c r="O64" s="5" t="s">
        <v>1888</v>
      </c>
      <c r="P64" s="5" t="s">
        <v>205</v>
      </c>
      <c r="Q64" s="5" t="s">
        <v>205</v>
      </c>
      <c r="R64" s="5" t="s">
        <v>1889</v>
      </c>
      <c r="S64" s="5" t="s">
        <v>207</v>
      </c>
      <c r="T64" s="5" t="s">
        <v>44</v>
      </c>
      <c r="U64" s="5" t="s">
        <v>2042</v>
      </c>
      <c r="V64" s="34">
        <v>46215</v>
      </c>
      <c r="W64" s="5" t="s">
        <v>1890</v>
      </c>
      <c r="X64" s="5" t="s">
        <v>1891</v>
      </c>
      <c r="Y64" s="5" t="s">
        <v>44</v>
      </c>
      <c r="Z64" s="5" t="s">
        <v>522</v>
      </c>
      <c r="AA64" s="2" t="s">
        <v>522</v>
      </c>
      <c r="AB64" s="2" t="s">
        <v>205</v>
      </c>
      <c r="AC64" s="2" t="s">
        <v>522</v>
      </c>
      <c r="AD64" s="2" t="s">
        <v>1892</v>
      </c>
      <c r="AE64" s="2" t="s">
        <v>1791</v>
      </c>
    </row>
    <row r="65" spans="1:31" ht="81" customHeight="1">
      <c r="A65" s="5" t="s">
        <v>1893</v>
      </c>
      <c r="B65" s="5" t="s">
        <v>1866</v>
      </c>
      <c r="C65" s="5" t="s">
        <v>599</v>
      </c>
      <c r="D65" s="5" t="s">
        <v>1867</v>
      </c>
      <c r="E65" s="5" t="s">
        <v>290</v>
      </c>
      <c r="F65" s="5" t="s">
        <v>199</v>
      </c>
      <c r="G65" s="5" t="s">
        <v>1894</v>
      </c>
      <c r="H65" s="5" t="s">
        <v>1868</v>
      </c>
      <c r="I65" s="5" t="s">
        <v>317</v>
      </c>
      <c r="J65" s="5" t="s">
        <v>822</v>
      </c>
      <c r="K65" s="5" t="s">
        <v>1895</v>
      </c>
      <c r="L65" s="5" t="s">
        <v>1896</v>
      </c>
      <c r="M65" s="5" t="s">
        <v>1897</v>
      </c>
      <c r="N65" s="5" t="s">
        <v>1898</v>
      </c>
      <c r="O65" s="5" t="s">
        <v>1899</v>
      </c>
      <c r="P65" s="5" t="s">
        <v>1851</v>
      </c>
      <c r="Q65" s="5" t="s">
        <v>317</v>
      </c>
      <c r="R65" s="5" t="s">
        <v>1900</v>
      </c>
      <c r="S65" s="5" t="s">
        <v>497</v>
      </c>
      <c r="T65" s="5" t="s">
        <v>69</v>
      </c>
      <c r="U65" s="5" t="s">
        <v>2042</v>
      </c>
      <c r="V65" s="34">
        <v>46215</v>
      </c>
      <c r="W65" s="5" t="s">
        <v>1901</v>
      </c>
      <c r="X65" s="5" t="s">
        <v>1902</v>
      </c>
      <c r="Y65" s="5" t="s">
        <v>44</v>
      </c>
      <c r="Z65" s="5" t="s">
        <v>1903</v>
      </c>
      <c r="AA65" s="2" t="s">
        <v>44</v>
      </c>
      <c r="AB65" s="2" t="s">
        <v>688</v>
      </c>
      <c r="AC65" s="2" t="s">
        <v>522</v>
      </c>
      <c r="AD65" s="2" t="s">
        <v>1904</v>
      </c>
      <c r="AE65" s="2" t="s">
        <v>1791</v>
      </c>
    </row>
    <row r="66" spans="1:31" ht="81" customHeight="1">
      <c r="A66" s="5" t="s">
        <v>1905</v>
      </c>
      <c r="B66" s="5" t="s">
        <v>1866</v>
      </c>
      <c r="C66" s="5" t="s">
        <v>599</v>
      </c>
      <c r="D66" s="5" t="s">
        <v>1867</v>
      </c>
      <c r="E66" s="5" t="s">
        <v>415</v>
      </c>
      <c r="F66" s="5" t="s">
        <v>199</v>
      </c>
      <c r="G66" s="5" t="s">
        <v>1906</v>
      </c>
      <c r="H66" s="5" t="s">
        <v>1868</v>
      </c>
      <c r="I66" s="5" t="s">
        <v>317</v>
      </c>
      <c r="J66" s="5" t="s">
        <v>822</v>
      </c>
      <c r="K66" s="5" t="s">
        <v>1907</v>
      </c>
      <c r="L66" s="5" t="s">
        <v>1908</v>
      </c>
      <c r="M66" s="5" t="s">
        <v>1909</v>
      </c>
      <c r="N66" s="5" t="s">
        <v>1910</v>
      </c>
      <c r="O66" s="5" t="s">
        <v>1814</v>
      </c>
      <c r="P66" s="5" t="s">
        <v>205</v>
      </c>
      <c r="Q66" s="5" t="s">
        <v>205</v>
      </c>
      <c r="R66" s="5" t="s">
        <v>1911</v>
      </c>
      <c r="S66" s="5" t="s">
        <v>1912</v>
      </c>
      <c r="T66" s="5" t="s">
        <v>2006</v>
      </c>
      <c r="U66" s="5" t="s">
        <v>1822</v>
      </c>
      <c r="V66" s="34">
        <v>46215</v>
      </c>
      <c r="W66" s="5" t="s">
        <v>1913</v>
      </c>
      <c r="X66" s="5" t="s">
        <v>1914</v>
      </c>
      <c r="Y66" s="5" t="s">
        <v>1815</v>
      </c>
      <c r="Z66" s="5" t="s">
        <v>522</v>
      </c>
      <c r="AA66" s="2" t="s">
        <v>522</v>
      </c>
      <c r="AB66" s="2" t="s">
        <v>205</v>
      </c>
      <c r="AC66" s="2" t="s">
        <v>522</v>
      </c>
      <c r="AD66" s="2" t="s">
        <v>1822</v>
      </c>
      <c r="AE66" s="2" t="s">
        <v>1822</v>
      </c>
    </row>
    <row r="67" spans="1:31" ht="81" customHeight="1">
      <c r="A67" s="5" t="s">
        <v>1915</v>
      </c>
      <c r="B67" s="5" t="s">
        <v>1866</v>
      </c>
      <c r="C67" s="5" t="s">
        <v>238</v>
      </c>
      <c r="D67" s="5" t="s">
        <v>1867</v>
      </c>
      <c r="E67" s="5" t="s">
        <v>424</v>
      </c>
      <c r="F67" s="5" t="s">
        <v>199</v>
      </c>
      <c r="G67" s="5" t="s">
        <v>1916</v>
      </c>
      <c r="H67" s="5" t="s">
        <v>48</v>
      </c>
      <c r="I67" s="5" t="s">
        <v>1917</v>
      </c>
      <c r="J67" s="5" t="s">
        <v>1918</v>
      </c>
      <c r="K67" s="5" t="s">
        <v>1919</v>
      </c>
      <c r="L67" s="5" t="s">
        <v>1920</v>
      </c>
      <c r="M67" s="5" t="s">
        <v>1921</v>
      </c>
      <c r="N67" s="5" t="s">
        <v>1922</v>
      </c>
      <c r="O67" s="5" t="s">
        <v>1923</v>
      </c>
      <c r="P67" s="5" t="s">
        <v>205</v>
      </c>
      <c r="Q67" s="5" t="s">
        <v>1924</v>
      </c>
      <c r="R67" s="5" t="s">
        <v>1925</v>
      </c>
      <c r="S67" s="5" t="s">
        <v>207</v>
      </c>
      <c r="T67" s="5" t="s">
        <v>44</v>
      </c>
      <c r="U67" s="5" t="s">
        <v>2042</v>
      </c>
      <c r="V67" s="34">
        <v>46215</v>
      </c>
      <c r="W67" s="5" t="s">
        <v>1926</v>
      </c>
      <c r="X67" s="5" t="s">
        <v>1927</v>
      </c>
      <c r="Y67" s="5" t="s">
        <v>44</v>
      </c>
      <c r="Z67" s="5" t="s">
        <v>522</v>
      </c>
      <c r="AA67" s="2" t="s">
        <v>522</v>
      </c>
      <c r="AB67" s="2" t="s">
        <v>205</v>
      </c>
      <c r="AC67" s="2" t="s">
        <v>1928</v>
      </c>
      <c r="AD67" s="2" t="s">
        <v>1929</v>
      </c>
      <c r="AE67" s="2" t="s">
        <v>1791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66" priority="1">
      <formula>N5="Sí"</formula>
    </cfRule>
    <cfRule type="expression" dxfId="65" priority="2">
      <formula>N5="Parcial"</formula>
    </cfRule>
    <cfRule type="expression" dxfId="64" priority="3">
      <formula>N5="No"</formula>
    </cfRule>
  </conditionalFormatting>
  <conditionalFormatting sqref="T5:T67">
    <cfRule type="expression" dxfId="63" priority="6">
      <formula>T5="Sí"</formula>
    </cfRule>
  </conditionalFormatting>
  <conditionalFormatting sqref="U5:U67">
    <cfRule type="expression" dxfId="62" priority="4">
      <formula>U5="Completado"</formula>
    </cfRule>
    <cfRule type="expression" dxfId="61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#REF!</xm:f>
          </x14:formula1>
          <xm:sqref>N5:N67</xm:sqref>
        </x14:dataValidation>
        <x14:dataValidation type="list" xr:uid="{00000000-0002-0000-0400-000001000000}">
          <x14:formula1>
            <xm:f>#REF!</xm:f>
          </x14:formula1>
          <xm:sqref>U5:U67</xm:sqref>
        </x14:dataValidation>
        <x14:dataValidation type="list" xr:uid="{00000000-0002-0000-0400-000002000000}">
          <x14:formula1>
            <xm:f>#REF!</xm:f>
          </x14:formula1>
          <xm:sqref>C5:C67</xm:sqref>
        </x14:dataValidation>
        <x14:dataValidation type="list" xr:uid="{00000000-0002-0000-0400-000003000000}">
          <x14:formula1>
            <xm:f>#REF!</xm:f>
          </x14:formula1>
          <xm:sqref>D5:D67</xm:sqref>
        </x14:dataValidation>
        <x14:dataValidation type="list" xr:uid="{00000000-0002-0000-0400-000004000000}">
          <x14:formula1>
            <xm:f>#REF!</xm:f>
          </x14:formula1>
          <xm:sqref>F5:F67</xm:sqref>
        </x14:dataValidation>
        <x14:dataValidation type="list" xr:uid="{00000000-0002-0000-0400-000005000000}">
          <x14:formula1>
            <xm:f>#REF!</xm:f>
          </x14:formula1>
          <xm:sqref>P5:P67</xm:sqref>
        </x14:dataValidation>
        <x14:dataValidation type="list" xr:uid="{00000000-0002-0000-0400-000006000000}">
          <x14:formula1>
            <xm:f>#REF!</xm:f>
          </x14:formula1>
          <xm:sqref>S5:S67</xm:sqref>
        </x14:dataValidation>
        <x14:dataValidation type="list" xr:uid="{00000000-0002-0000-0400-000007000000}">
          <x14:formula1>
            <xm:f>#REF!</xm:f>
          </x14:formula1>
          <xm:sqref>T5:T67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activeCell="A2" sqref="A2:O2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84" t="s">
        <v>337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1" t="s">
        <v>338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52</v>
      </c>
      <c r="B4" s="4" t="s">
        <v>132</v>
      </c>
      <c r="C4" s="4" t="s">
        <v>339</v>
      </c>
      <c r="D4" s="4" t="s">
        <v>340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43</v>
      </c>
      <c r="N4" s="4" t="s">
        <v>349</v>
      </c>
      <c r="O4" s="4" t="s">
        <v>350</v>
      </c>
      <c r="P4" s="9" t="s">
        <v>351</v>
      </c>
      <c r="Q4" s="9" t="s">
        <v>352</v>
      </c>
      <c r="R4" s="9" t="s">
        <v>353</v>
      </c>
      <c r="S4" s="9" t="s">
        <v>354</v>
      </c>
      <c r="T4" s="9" t="s">
        <v>355</v>
      </c>
      <c r="U4" s="5" t="s">
        <v>2423</v>
      </c>
      <c r="V4" s="5" t="s">
        <v>2409</v>
      </c>
      <c r="W4" s="5" t="s">
        <v>1379</v>
      </c>
      <c r="X4" s="5" t="s">
        <v>2519</v>
      </c>
      <c r="Y4" s="5" t="s">
        <v>1384</v>
      </c>
      <c r="Z4" s="5" t="s">
        <v>2520</v>
      </c>
    </row>
    <row r="5" spans="1:26" ht="62.1" customHeight="1">
      <c r="A5" s="5" t="s">
        <v>62</v>
      </c>
      <c r="B5" s="5" t="s">
        <v>63</v>
      </c>
      <c r="C5" s="5" t="s">
        <v>64</v>
      </c>
      <c r="D5" s="5" t="s">
        <v>1930</v>
      </c>
      <c r="E5" s="5" t="s">
        <v>205</v>
      </c>
      <c r="F5" s="5" t="s">
        <v>1931</v>
      </c>
      <c r="G5" s="5" t="s">
        <v>2426</v>
      </c>
      <c r="H5" s="5" t="s">
        <v>2427</v>
      </c>
      <c r="I5" s="5" t="s">
        <v>1932</v>
      </c>
      <c r="J5" s="5" t="s">
        <v>2427</v>
      </c>
      <c r="K5" s="5" t="s">
        <v>205</v>
      </c>
      <c r="L5" s="5" t="s">
        <v>1933</v>
      </c>
      <c r="M5" s="5" t="s">
        <v>69</v>
      </c>
      <c r="N5" s="5" t="s">
        <v>1934</v>
      </c>
      <c r="O5" s="5" t="s">
        <v>1935</v>
      </c>
      <c r="P5" s="5" t="s">
        <v>44</v>
      </c>
      <c r="Q5" s="5" t="s">
        <v>1854</v>
      </c>
      <c r="R5" s="5" t="s">
        <v>1854</v>
      </c>
      <c r="S5" s="5" t="s">
        <v>290</v>
      </c>
      <c r="T5" s="5" t="s">
        <v>1936</v>
      </c>
      <c r="U5" s="5" t="s">
        <v>2521</v>
      </c>
      <c r="V5" s="5" t="s">
        <v>2521</v>
      </c>
      <c r="W5" s="5" t="s">
        <v>2522</v>
      </c>
      <c r="X5" s="5" t="s">
        <v>2523</v>
      </c>
      <c r="Y5" s="5" t="s">
        <v>2521</v>
      </c>
      <c r="Z5" s="5" t="s">
        <v>2524</v>
      </c>
    </row>
    <row r="6" spans="1:26" ht="62.1" customHeight="1">
      <c r="A6" s="5" t="s">
        <v>71</v>
      </c>
      <c r="B6" s="5" t="s">
        <v>72</v>
      </c>
      <c r="C6" s="5" t="s">
        <v>73</v>
      </c>
      <c r="D6" s="5" t="s">
        <v>1930</v>
      </c>
      <c r="E6" s="5" t="s">
        <v>205</v>
      </c>
      <c r="F6" s="5" t="s">
        <v>1931</v>
      </c>
      <c r="G6" s="5" t="s">
        <v>2426</v>
      </c>
      <c r="H6" s="5" t="s">
        <v>2427</v>
      </c>
      <c r="I6" s="5" t="s">
        <v>1937</v>
      </c>
      <c r="J6" s="5" t="s">
        <v>2427</v>
      </c>
      <c r="K6" s="5" t="s">
        <v>205</v>
      </c>
      <c r="L6" s="5" t="s">
        <v>1938</v>
      </c>
      <c r="M6" s="5" t="s">
        <v>69</v>
      </c>
      <c r="N6" s="5" t="s">
        <v>1939</v>
      </c>
      <c r="O6" s="5" t="s">
        <v>1935</v>
      </c>
      <c r="P6" s="5" t="s">
        <v>44</v>
      </c>
      <c r="Q6" s="5" t="s">
        <v>1858</v>
      </c>
      <c r="R6" s="5" t="s">
        <v>1858</v>
      </c>
      <c r="S6" s="5" t="s">
        <v>205</v>
      </c>
      <c r="T6" s="5" t="s">
        <v>1936</v>
      </c>
      <c r="U6" s="5" t="s">
        <v>2521</v>
      </c>
      <c r="V6" s="5" t="s">
        <v>2522</v>
      </c>
      <c r="W6" s="5" t="s">
        <v>2521</v>
      </c>
      <c r="X6" s="5" t="s">
        <v>2525</v>
      </c>
      <c r="Y6" s="5" t="s">
        <v>2522</v>
      </c>
      <c r="Z6" s="5" t="s">
        <v>2526</v>
      </c>
    </row>
    <row r="7" spans="1:26" ht="62.1" customHeight="1">
      <c r="A7" s="5" t="s">
        <v>78</v>
      </c>
      <c r="B7" s="5" t="s">
        <v>79</v>
      </c>
      <c r="C7" s="5" t="s">
        <v>80</v>
      </c>
      <c r="D7" s="5" t="s">
        <v>1930</v>
      </c>
      <c r="E7" s="5" t="s">
        <v>205</v>
      </c>
      <c r="F7" s="5" t="s">
        <v>1931</v>
      </c>
      <c r="G7" s="5" t="s">
        <v>2426</v>
      </c>
      <c r="H7" s="5" t="s">
        <v>2427</v>
      </c>
      <c r="I7" s="5" t="s">
        <v>1940</v>
      </c>
      <c r="J7" s="5" t="s">
        <v>2427</v>
      </c>
      <c r="K7" s="5" t="s">
        <v>2428</v>
      </c>
      <c r="L7" s="5" t="s">
        <v>1933</v>
      </c>
      <c r="M7" s="5" t="s">
        <v>69</v>
      </c>
      <c r="N7" s="5" t="s">
        <v>80</v>
      </c>
      <c r="O7" s="5" t="s">
        <v>1935</v>
      </c>
      <c r="P7" s="5" t="s">
        <v>44</v>
      </c>
      <c r="Q7" s="5" t="s">
        <v>1854</v>
      </c>
      <c r="R7" s="5" t="s">
        <v>1854</v>
      </c>
      <c r="S7" s="5" t="s">
        <v>290</v>
      </c>
      <c r="T7" s="5" t="s">
        <v>1936</v>
      </c>
      <c r="U7" s="5" t="s">
        <v>2521</v>
      </c>
      <c r="V7" s="5" t="s">
        <v>2521</v>
      </c>
      <c r="W7" s="5" t="s">
        <v>2522</v>
      </c>
      <c r="X7" s="5" t="s">
        <v>2527</v>
      </c>
      <c r="Y7" s="5" t="s">
        <v>2522</v>
      </c>
      <c r="Z7" s="5" t="s">
        <v>2528</v>
      </c>
    </row>
    <row r="8" spans="1:26" ht="62.1" customHeight="1">
      <c r="A8" s="5" t="s">
        <v>86</v>
      </c>
      <c r="B8" s="5" t="s">
        <v>87</v>
      </c>
      <c r="C8" s="5" t="s">
        <v>88</v>
      </c>
      <c r="D8" s="5" t="s">
        <v>1930</v>
      </c>
      <c r="E8" s="5" t="s">
        <v>205</v>
      </c>
      <c r="F8" s="5" t="s">
        <v>1941</v>
      </c>
      <c r="G8" s="5" t="s">
        <v>2426</v>
      </c>
      <c r="H8" s="5" t="s">
        <v>2427</v>
      </c>
      <c r="I8" s="5" t="s">
        <v>1937</v>
      </c>
      <c r="J8" s="5" t="s">
        <v>2427</v>
      </c>
      <c r="K8" s="5" t="s">
        <v>2428</v>
      </c>
      <c r="L8" s="5" t="s">
        <v>1938</v>
      </c>
      <c r="M8" s="5" t="s">
        <v>44</v>
      </c>
      <c r="N8" s="5" t="s">
        <v>1942</v>
      </c>
      <c r="O8" s="5" t="s">
        <v>1935</v>
      </c>
      <c r="P8" s="5" t="s">
        <v>44</v>
      </c>
      <c r="Q8" s="5" t="s">
        <v>1858</v>
      </c>
      <c r="R8" s="5" t="s">
        <v>1858</v>
      </c>
      <c r="S8" s="5" t="s">
        <v>205</v>
      </c>
      <c r="T8" s="5" t="s">
        <v>1936</v>
      </c>
      <c r="U8" s="5" t="s">
        <v>2521</v>
      </c>
      <c r="V8" s="5" t="s">
        <v>2522</v>
      </c>
      <c r="W8" s="5" t="s">
        <v>2521</v>
      </c>
      <c r="X8" s="5" t="s">
        <v>2529</v>
      </c>
      <c r="Y8" s="5" t="s">
        <v>2522</v>
      </c>
      <c r="Z8" s="5" t="s">
        <v>2530</v>
      </c>
    </row>
    <row r="9" spans="1:26" ht="62.1" customHeight="1">
      <c r="A9" s="5" t="s">
        <v>95</v>
      </c>
      <c r="B9" s="5" t="s">
        <v>96</v>
      </c>
      <c r="C9" s="5" t="s">
        <v>97</v>
      </c>
      <c r="D9" s="5" t="s">
        <v>1930</v>
      </c>
      <c r="E9" s="5" t="s">
        <v>1793</v>
      </c>
      <c r="F9" s="5" t="s">
        <v>1943</v>
      </c>
      <c r="G9" s="5" t="s">
        <v>2426</v>
      </c>
      <c r="H9" s="5" t="s">
        <v>2427</v>
      </c>
      <c r="I9" s="5" t="s">
        <v>1944</v>
      </c>
      <c r="J9" s="5" t="s">
        <v>2427</v>
      </c>
      <c r="K9" s="5" t="s">
        <v>2428</v>
      </c>
      <c r="L9" s="5" t="s">
        <v>1933</v>
      </c>
      <c r="M9" s="5" t="s">
        <v>69</v>
      </c>
      <c r="N9" s="5" t="s">
        <v>1945</v>
      </c>
      <c r="O9" s="5" t="s">
        <v>1935</v>
      </c>
      <c r="P9" s="5" t="s">
        <v>44</v>
      </c>
      <c r="Q9" s="5" t="s">
        <v>1854</v>
      </c>
      <c r="R9" s="5" t="s">
        <v>1854</v>
      </c>
      <c r="S9" s="5" t="s">
        <v>290</v>
      </c>
      <c r="T9" s="5" t="s">
        <v>1936</v>
      </c>
      <c r="U9" s="5" t="s">
        <v>2521</v>
      </c>
      <c r="V9" s="5" t="s">
        <v>2521</v>
      </c>
      <c r="W9" s="5" t="s">
        <v>2522</v>
      </c>
      <c r="X9" s="5" t="s">
        <v>2531</v>
      </c>
      <c r="Y9" s="5" t="s">
        <v>2521</v>
      </c>
      <c r="Z9" s="5" t="s">
        <v>2532</v>
      </c>
    </row>
    <row r="10" spans="1:26" ht="62.1" customHeight="1">
      <c r="A10" s="5" t="s">
        <v>102</v>
      </c>
      <c r="B10" s="5" t="s">
        <v>103</v>
      </c>
      <c r="C10" s="5" t="s">
        <v>104</v>
      </c>
      <c r="D10" s="5" t="s">
        <v>1930</v>
      </c>
      <c r="E10" s="5" t="s">
        <v>205</v>
      </c>
      <c r="F10" s="5" t="s">
        <v>1931</v>
      </c>
      <c r="G10" s="5" t="s">
        <v>2426</v>
      </c>
      <c r="H10" s="5" t="s">
        <v>2427</v>
      </c>
      <c r="I10" s="5" t="s">
        <v>1937</v>
      </c>
      <c r="J10" s="5" t="s">
        <v>2427</v>
      </c>
      <c r="K10" s="5" t="s">
        <v>205</v>
      </c>
      <c r="L10" s="5" t="s">
        <v>1938</v>
      </c>
      <c r="M10" s="5" t="s">
        <v>44</v>
      </c>
      <c r="N10" s="5" t="s">
        <v>1946</v>
      </c>
      <c r="O10" s="5" t="s">
        <v>1935</v>
      </c>
      <c r="P10" s="5" t="s">
        <v>44</v>
      </c>
      <c r="Q10" s="5" t="s">
        <v>1858</v>
      </c>
      <c r="R10" s="5" t="s">
        <v>1858</v>
      </c>
      <c r="S10" s="5" t="s">
        <v>205</v>
      </c>
      <c r="T10" s="5" t="s">
        <v>1936</v>
      </c>
      <c r="U10" s="5" t="s">
        <v>2521</v>
      </c>
      <c r="V10" s="5" t="s">
        <v>2522</v>
      </c>
      <c r="W10" s="5" t="s">
        <v>2521</v>
      </c>
      <c r="X10" s="5" t="s">
        <v>2533</v>
      </c>
      <c r="Y10" s="5" t="s">
        <v>2522</v>
      </c>
      <c r="Z10" s="5" t="s">
        <v>2534</v>
      </c>
    </row>
    <row r="11" spans="1:26" ht="62.1" customHeight="1">
      <c r="A11" s="5" t="s">
        <v>108</v>
      </c>
      <c r="B11" s="5" t="s">
        <v>109</v>
      </c>
      <c r="C11" s="5" t="s">
        <v>110</v>
      </c>
      <c r="D11" s="5" t="s">
        <v>1930</v>
      </c>
      <c r="E11" s="5" t="s">
        <v>205</v>
      </c>
      <c r="F11" s="5" t="s">
        <v>1947</v>
      </c>
      <c r="G11" s="5" t="s">
        <v>2426</v>
      </c>
      <c r="H11" s="5" t="s">
        <v>2427</v>
      </c>
      <c r="I11" s="5" t="s">
        <v>1937</v>
      </c>
      <c r="J11" s="5" t="s">
        <v>2427</v>
      </c>
      <c r="K11" s="5" t="s">
        <v>205</v>
      </c>
      <c r="L11" s="5" t="s">
        <v>1948</v>
      </c>
      <c r="M11" s="5" t="s">
        <v>44</v>
      </c>
      <c r="N11" s="5" t="s">
        <v>1949</v>
      </c>
      <c r="O11" s="5" t="s">
        <v>1935</v>
      </c>
      <c r="P11" s="5" t="s">
        <v>44</v>
      </c>
      <c r="Q11" s="5" t="s">
        <v>1858</v>
      </c>
      <c r="R11" s="5" t="s">
        <v>1858</v>
      </c>
      <c r="S11" s="5" t="s">
        <v>205</v>
      </c>
      <c r="T11" s="5" t="s">
        <v>1936</v>
      </c>
      <c r="U11" s="5" t="s">
        <v>2521</v>
      </c>
      <c r="V11" s="5" t="s">
        <v>2522</v>
      </c>
      <c r="W11" s="5" t="s">
        <v>2522</v>
      </c>
      <c r="X11" s="5" t="s">
        <v>2535</v>
      </c>
      <c r="Y11" s="5" t="s">
        <v>2521</v>
      </c>
      <c r="Z11" s="5" t="s">
        <v>2536</v>
      </c>
    </row>
    <row r="12" spans="1:26" ht="62.1" customHeight="1">
      <c r="A12" s="5" t="s">
        <v>115</v>
      </c>
      <c r="B12" s="5" t="s">
        <v>116</v>
      </c>
      <c r="C12" s="5" t="s">
        <v>117</v>
      </c>
      <c r="D12" s="5" t="s">
        <v>1930</v>
      </c>
      <c r="E12" s="5" t="s">
        <v>205</v>
      </c>
      <c r="F12" s="5" t="s">
        <v>1950</v>
      </c>
      <c r="G12" s="5" t="s">
        <v>2426</v>
      </c>
      <c r="H12" s="5" t="s">
        <v>2427</v>
      </c>
      <c r="I12" s="5" t="s">
        <v>1937</v>
      </c>
      <c r="J12" s="5" t="s">
        <v>2427</v>
      </c>
      <c r="K12" s="5" t="s">
        <v>205</v>
      </c>
      <c r="L12" s="5" t="s">
        <v>1948</v>
      </c>
      <c r="M12" s="5" t="s">
        <v>44</v>
      </c>
      <c r="N12" s="5" t="s">
        <v>1951</v>
      </c>
      <c r="O12" s="5" t="s">
        <v>1935</v>
      </c>
      <c r="P12" s="5" t="s">
        <v>44</v>
      </c>
      <c r="Q12" s="5" t="s">
        <v>1858</v>
      </c>
      <c r="R12" s="5" t="s">
        <v>1858</v>
      </c>
      <c r="S12" s="5" t="s">
        <v>205</v>
      </c>
      <c r="T12" s="5" t="s">
        <v>1936</v>
      </c>
      <c r="U12" s="5" t="s">
        <v>2521</v>
      </c>
      <c r="V12" s="5" t="s">
        <v>2522</v>
      </c>
      <c r="W12" s="5" t="s">
        <v>2522</v>
      </c>
      <c r="X12" s="5" t="s">
        <v>2537</v>
      </c>
      <c r="Y12" s="5" t="s">
        <v>2521</v>
      </c>
      <c r="Z12" s="5" t="s">
        <v>2538</v>
      </c>
    </row>
    <row r="13" spans="1:26" ht="62.1" customHeight="1">
      <c r="A13" s="5" t="s">
        <v>48</v>
      </c>
      <c r="B13" s="5" t="s">
        <v>121</v>
      </c>
      <c r="C13" s="5" t="s">
        <v>360</v>
      </c>
      <c r="D13" s="5" t="s">
        <v>1930</v>
      </c>
      <c r="E13" s="5" t="s">
        <v>205</v>
      </c>
      <c r="F13" s="5" t="s">
        <v>1952</v>
      </c>
      <c r="G13" s="5" t="s">
        <v>2426</v>
      </c>
      <c r="H13" s="5" t="s">
        <v>2427</v>
      </c>
      <c r="I13" s="5" t="s">
        <v>1937</v>
      </c>
      <c r="J13" s="5" t="s">
        <v>2427</v>
      </c>
      <c r="K13" s="5" t="s">
        <v>1953</v>
      </c>
      <c r="L13" s="5" t="s">
        <v>1954</v>
      </c>
      <c r="M13" s="5" t="s">
        <v>44</v>
      </c>
      <c r="N13" s="5" t="s">
        <v>1955</v>
      </c>
      <c r="O13" s="5" t="s">
        <v>1935</v>
      </c>
      <c r="P13" s="5" t="s">
        <v>44</v>
      </c>
      <c r="Q13" s="5" t="s">
        <v>1858</v>
      </c>
      <c r="R13" s="5" t="s">
        <v>1858</v>
      </c>
      <c r="S13" s="5" t="s">
        <v>205</v>
      </c>
      <c r="T13" s="5" t="s">
        <v>1936</v>
      </c>
      <c r="U13" s="5" t="s">
        <v>2521</v>
      </c>
      <c r="V13" s="5" t="s">
        <v>2522</v>
      </c>
      <c r="W13" s="5" t="s">
        <v>2522</v>
      </c>
      <c r="X13" s="5" t="s">
        <v>2539</v>
      </c>
      <c r="Y13" s="5" t="s">
        <v>2522</v>
      </c>
      <c r="Z13" s="5" t="s">
        <v>2540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60" priority="1">
      <formula>D5="Sí"</formula>
    </cfRule>
    <cfRule type="expression" dxfId="59" priority="2">
      <formula>D5="Parcial"</formula>
    </cfRule>
    <cfRule type="expression" dxfId="58" priority="3">
      <formula>D5="No"</formula>
    </cfRule>
  </conditionalFormatting>
  <conditionalFormatting sqref="E5:E13">
    <cfRule type="expression" dxfId="57" priority="4">
      <formula>E5="Sí"</formula>
    </cfRule>
    <cfRule type="expression" dxfId="56" priority="5">
      <formula>E5="Parcial"</formula>
    </cfRule>
    <cfRule type="expression" dxfId="55" priority="6">
      <formula>E5="No"</formula>
    </cfRule>
  </conditionalFormatting>
  <conditionalFormatting sqref="F5:F13">
    <cfRule type="expression" dxfId="54" priority="7">
      <formula>F5="Sí"</formula>
    </cfRule>
    <cfRule type="expression" dxfId="53" priority="8">
      <formula>F5="Parcial"</formula>
    </cfRule>
    <cfRule type="expression" dxfId="52" priority="9">
      <formula>F5="No"</formula>
    </cfRule>
  </conditionalFormatting>
  <conditionalFormatting sqref="G5:G13">
    <cfRule type="expression" dxfId="51" priority="10">
      <formula>G5="Sí"</formula>
    </cfRule>
    <cfRule type="expression" dxfId="50" priority="11">
      <formula>G5="Parcial"</formula>
    </cfRule>
    <cfRule type="expression" dxfId="49" priority="12">
      <formula>G5="No"</formula>
    </cfRule>
  </conditionalFormatting>
  <conditionalFormatting sqref="H5:H13">
    <cfRule type="expression" dxfId="48" priority="13">
      <formula>H5="Sí"</formula>
    </cfRule>
    <cfRule type="expression" dxfId="47" priority="14">
      <formula>H5="Parcial"</formula>
    </cfRule>
    <cfRule type="expression" dxfId="46" priority="15">
      <formula>H5="No"</formula>
    </cfRule>
  </conditionalFormatting>
  <conditionalFormatting sqref="I5:I13">
    <cfRule type="expression" dxfId="45" priority="16">
      <formula>I5="Sí"</formula>
    </cfRule>
    <cfRule type="expression" dxfId="44" priority="17">
      <formula>I5="Parcial"</formula>
    </cfRule>
    <cfRule type="expression" dxfId="43" priority="18">
      <formula>I5="No"</formula>
    </cfRule>
  </conditionalFormatting>
  <conditionalFormatting sqref="J5:J13">
    <cfRule type="expression" dxfId="42" priority="19">
      <formula>J5="Sí"</formula>
    </cfRule>
    <cfRule type="expression" dxfId="41" priority="20">
      <formula>J5="Parcial"</formula>
    </cfRule>
    <cfRule type="expression" dxfId="40" priority="21">
      <formula>J5="No"</formula>
    </cfRule>
  </conditionalFormatting>
  <conditionalFormatting sqref="K5:K13">
    <cfRule type="expression" dxfId="39" priority="22">
      <formula>K5="Sí"</formula>
    </cfRule>
    <cfRule type="expression" dxfId="38" priority="23">
      <formula>K5="Parcial"</formula>
    </cfRule>
    <cfRule type="expression" dxfId="37" priority="24">
      <formula>K5="No"</formula>
    </cfRule>
  </conditionalFormatting>
  <conditionalFormatting sqref="L5:L13">
    <cfRule type="expression" dxfId="36" priority="25">
      <formula>L5="Sí"</formula>
    </cfRule>
    <cfRule type="expression" dxfId="35" priority="26">
      <formula>L5="Parcial"</formula>
    </cfRule>
    <cfRule type="expression" dxfId="34" priority="27">
      <formula>L5="No"</formula>
    </cfRule>
  </conditionalFormatting>
  <conditionalFormatting sqref="M5:M13">
    <cfRule type="expression" dxfId="33" priority="28">
      <formula>M5="Sí"</formula>
    </cfRule>
    <cfRule type="expression" dxfId="32" priority="29">
      <formula>M5="Parcial"</formula>
    </cfRule>
    <cfRule type="expression" dxfId="31" priority="30">
      <formula>M5="No"</formula>
    </cfRule>
  </conditionalFormatting>
  <pageMargins left="0.7" right="0.7" top="0.75" bottom="0.75" header="0.3" footer="0.3"/>
  <pageSetup paperSize="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#REF!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activeCell="A2" sqref="A2:L2"/>
    </sheetView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87" t="s">
        <v>361</v>
      </c>
      <c r="B1" s="88"/>
      <c r="C1" s="88"/>
      <c r="D1" s="85"/>
      <c r="E1" s="85"/>
      <c r="F1" s="85"/>
      <c r="G1" s="85"/>
      <c r="H1" s="85"/>
      <c r="I1" s="85"/>
      <c r="J1" s="85"/>
      <c r="K1" s="85"/>
      <c r="L1" s="8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72" t="s">
        <v>2658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0" t="s">
        <v>362</v>
      </c>
      <c r="B4" s="10" t="s">
        <v>32</v>
      </c>
      <c r="C4" s="10" t="s">
        <v>363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35</v>
      </c>
      <c r="B5" s="5">
        <v>6</v>
      </c>
      <c r="C5" s="5" t="s">
        <v>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38</v>
      </c>
      <c r="B6" s="5">
        <v>1</v>
      </c>
      <c r="C6" s="5" t="s">
        <v>364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365</v>
      </c>
      <c r="B7" s="5">
        <v>2</v>
      </c>
      <c r="C7" s="5" t="s">
        <v>366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40</v>
      </c>
      <c r="B8" s="5">
        <v>1</v>
      </c>
      <c r="C8" s="5" t="s">
        <v>1965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367</v>
      </c>
      <c r="B9" s="5">
        <v>3</v>
      </c>
      <c r="C9" s="5" t="s">
        <v>1966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368</v>
      </c>
      <c r="B10" s="5" t="s">
        <v>1822</v>
      </c>
      <c r="C10" s="5" t="s">
        <v>1967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43</v>
      </c>
      <c r="B11" s="5" t="s">
        <v>44</v>
      </c>
      <c r="C11" s="5" t="s">
        <v>369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370</v>
      </c>
      <c r="B12" s="6" t="s">
        <v>49</v>
      </c>
      <c r="C12" s="5" t="s">
        <v>371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372</v>
      </c>
      <c r="B13" s="6">
        <v>9</v>
      </c>
      <c r="C13" s="5" t="s">
        <v>373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1" t="s">
        <v>45</v>
      </c>
      <c r="B14" s="12">
        <f>5/14</f>
        <v>0.35714285714285715</v>
      </c>
      <c r="C14" s="11" t="s">
        <v>374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1" t="s">
        <v>46</v>
      </c>
      <c r="B15" s="12">
        <f>6/14</f>
        <v>0.42857142857142855</v>
      </c>
      <c r="C15" s="11" t="s">
        <v>375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1" t="s">
        <v>47</v>
      </c>
      <c r="B16" s="12">
        <f>7/14</f>
        <v>0.5</v>
      </c>
      <c r="C16" s="11" t="s">
        <v>376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>
      <c r="A17" s="13" t="s">
        <v>48</v>
      </c>
      <c r="B17" s="14" t="s">
        <v>1968</v>
      </c>
      <c r="C17" s="13" t="s">
        <v>1969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377</v>
      </c>
      <c r="B18" s="6" t="s">
        <v>378</v>
      </c>
      <c r="C18" s="5" t="s">
        <v>379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9" t="s">
        <v>380</v>
      </c>
      <c r="B20" s="9" t="s">
        <v>1970</v>
      </c>
      <c r="C20" s="9" t="s">
        <v>1971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381</v>
      </c>
      <c r="B21" s="5" t="s">
        <v>382</v>
      </c>
      <c r="C21" s="5" t="s">
        <v>383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384</v>
      </c>
      <c r="B22" s="5" t="s">
        <v>385</v>
      </c>
      <c r="C22" s="5" t="s">
        <v>386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tabSelected="1" workbookViewId="0">
      <selection activeCell="A2" sqref="A2:K2"/>
    </sheetView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87" t="s">
        <v>387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100" t="s">
        <v>2659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0" t="s">
        <v>388</v>
      </c>
      <c r="B4" s="10" t="s">
        <v>389</v>
      </c>
      <c r="C4" s="10" t="s">
        <v>390</v>
      </c>
      <c r="D4" s="10" t="s">
        <v>172</v>
      </c>
      <c r="E4" s="10" t="s">
        <v>391</v>
      </c>
      <c r="F4" s="10" t="s">
        <v>173</v>
      </c>
      <c r="G4" s="10" t="s">
        <v>392</v>
      </c>
      <c r="H4" s="10" t="s">
        <v>393</v>
      </c>
      <c r="I4" s="10" t="s">
        <v>394</v>
      </c>
      <c r="J4" s="10" t="s">
        <v>350</v>
      </c>
      <c r="K4" s="10" t="s">
        <v>61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198</v>
      </c>
      <c r="B5" s="5" t="s">
        <v>395</v>
      </c>
      <c r="C5" s="5" t="s">
        <v>396</v>
      </c>
      <c r="D5" s="5" t="s">
        <v>196</v>
      </c>
      <c r="E5" s="5" t="s">
        <v>207</v>
      </c>
      <c r="F5" s="5" t="s">
        <v>197</v>
      </c>
      <c r="G5" s="5" t="s">
        <v>397</v>
      </c>
      <c r="H5" s="5" t="s">
        <v>398</v>
      </c>
      <c r="I5" s="5" t="s">
        <v>399</v>
      </c>
      <c r="J5" s="5" t="s">
        <v>400</v>
      </c>
      <c r="K5" s="5" t="s">
        <v>401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233</v>
      </c>
      <c r="B6" s="5" t="s">
        <v>395</v>
      </c>
      <c r="C6" s="5" t="s">
        <v>396</v>
      </c>
      <c r="D6" s="5" t="s">
        <v>196</v>
      </c>
      <c r="E6" s="5" t="s">
        <v>207</v>
      </c>
      <c r="F6" s="5" t="s">
        <v>197</v>
      </c>
      <c r="G6" s="5" t="s">
        <v>95</v>
      </c>
      <c r="H6" s="5" t="s">
        <v>402</v>
      </c>
      <c r="I6" s="5" t="s">
        <v>399</v>
      </c>
      <c r="J6" s="5" t="s">
        <v>400</v>
      </c>
      <c r="K6" s="5" t="s">
        <v>403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239</v>
      </c>
      <c r="B7" s="5" t="s">
        <v>395</v>
      </c>
      <c r="C7" s="5" t="s">
        <v>396</v>
      </c>
      <c r="D7" s="5" t="s">
        <v>404</v>
      </c>
      <c r="E7" s="5" t="s">
        <v>405</v>
      </c>
      <c r="F7" s="5" t="s">
        <v>197</v>
      </c>
      <c r="G7" s="5" t="s">
        <v>406</v>
      </c>
      <c r="H7" s="5" t="s">
        <v>407</v>
      </c>
      <c r="I7" s="5" t="s">
        <v>399</v>
      </c>
      <c r="J7" s="5" t="s">
        <v>400</v>
      </c>
      <c r="K7" s="5" t="s">
        <v>408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290</v>
      </c>
      <c r="B8" s="5" t="s">
        <v>409</v>
      </c>
      <c r="C8" s="5" t="s">
        <v>396</v>
      </c>
      <c r="D8" s="5" t="s">
        <v>254</v>
      </c>
      <c r="E8" s="5" t="s">
        <v>410</v>
      </c>
      <c r="F8" s="5" t="s">
        <v>197</v>
      </c>
      <c r="G8" s="5" t="s">
        <v>411</v>
      </c>
      <c r="H8" s="5" t="s">
        <v>412</v>
      </c>
      <c r="I8" s="5" t="s">
        <v>413</v>
      </c>
      <c r="J8" s="5" t="s">
        <v>400</v>
      </c>
      <c r="K8" s="5" t="s">
        <v>414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415</v>
      </c>
      <c r="B9" s="5" t="s">
        <v>416</v>
      </c>
      <c r="C9" s="5" t="s">
        <v>396</v>
      </c>
      <c r="D9" s="5" t="s">
        <v>417</v>
      </c>
      <c r="E9" s="5" t="s">
        <v>418</v>
      </c>
      <c r="F9" s="5" t="s">
        <v>419</v>
      </c>
      <c r="G9" s="5" t="s">
        <v>420</v>
      </c>
      <c r="H9" s="5" t="s">
        <v>421</v>
      </c>
      <c r="I9" s="5" t="s">
        <v>413</v>
      </c>
      <c r="J9" s="5" t="s">
        <v>422</v>
      </c>
      <c r="K9" s="5" t="s">
        <v>423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424</v>
      </c>
      <c r="B10" s="5" t="s">
        <v>425</v>
      </c>
      <c r="C10" s="5" t="s">
        <v>396</v>
      </c>
      <c r="D10" s="5" t="s">
        <v>426</v>
      </c>
      <c r="E10" s="5" t="s">
        <v>410</v>
      </c>
      <c r="F10" s="5" t="s">
        <v>427</v>
      </c>
      <c r="G10" s="5" t="s">
        <v>428</v>
      </c>
      <c r="H10" s="5" t="s">
        <v>429</v>
      </c>
      <c r="I10" s="5" t="s">
        <v>430</v>
      </c>
      <c r="J10" s="5" t="s">
        <v>431</v>
      </c>
      <c r="K10" s="5" t="s">
        <v>432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255</v>
      </c>
      <c r="B11" s="5" t="s">
        <v>409</v>
      </c>
      <c r="C11" s="5" t="s">
        <v>256</v>
      </c>
      <c r="D11" s="5" t="s">
        <v>254</v>
      </c>
      <c r="E11" s="5" t="s">
        <v>410</v>
      </c>
      <c r="F11" s="5" t="s">
        <v>433</v>
      </c>
      <c r="G11" s="5" t="s">
        <v>434</v>
      </c>
      <c r="H11" s="5" t="s">
        <v>435</v>
      </c>
      <c r="I11" s="5" t="s">
        <v>413</v>
      </c>
      <c r="J11" s="5" t="s">
        <v>436</v>
      </c>
      <c r="K11" s="5" t="s">
        <v>437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438</v>
      </c>
      <c r="B12" s="5" t="s">
        <v>439</v>
      </c>
      <c r="C12" s="5" t="s">
        <v>440</v>
      </c>
      <c r="D12" s="5" t="s">
        <v>441</v>
      </c>
      <c r="E12" s="5" t="s">
        <v>207</v>
      </c>
      <c r="F12" s="5" t="s">
        <v>433</v>
      </c>
      <c r="G12" s="5" t="s">
        <v>428</v>
      </c>
      <c r="H12" s="5" t="s">
        <v>442</v>
      </c>
      <c r="I12" s="5" t="s">
        <v>443</v>
      </c>
      <c r="J12" s="5" t="s">
        <v>444</v>
      </c>
      <c r="K12" s="5" t="s">
        <v>445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446</v>
      </c>
      <c r="B13" s="5" t="s">
        <v>447</v>
      </c>
      <c r="C13" s="5" t="s">
        <v>440</v>
      </c>
      <c r="D13" s="5" t="s">
        <v>448</v>
      </c>
      <c r="E13" s="5" t="s">
        <v>405</v>
      </c>
      <c r="F13" s="5" t="s">
        <v>449</v>
      </c>
      <c r="G13" s="5" t="s">
        <v>450</v>
      </c>
      <c r="H13" s="5" t="s">
        <v>451</v>
      </c>
      <c r="I13" s="5" t="s">
        <v>452</v>
      </c>
      <c r="J13" s="5" t="s">
        <v>400</v>
      </c>
      <c r="K13" s="5" t="s">
        <v>453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2" sqref="A2:J2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84" t="s">
        <v>454</v>
      </c>
      <c r="B1" s="85"/>
      <c r="C1" s="85"/>
      <c r="D1" s="85"/>
      <c r="E1" s="85"/>
      <c r="F1" s="85"/>
      <c r="G1" s="85"/>
      <c r="H1" s="85"/>
      <c r="I1" s="85"/>
      <c r="J1" s="8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1" t="s">
        <v>455</v>
      </c>
      <c r="B2" s="102"/>
      <c r="C2" s="102"/>
      <c r="D2" s="102"/>
      <c r="E2" s="102"/>
      <c r="F2" s="102"/>
      <c r="G2" s="102"/>
      <c r="H2" s="102"/>
      <c r="I2" s="102"/>
      <c r="J2" s="10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456</v>
      </c>
      <c r="B4" s="4" t="s">
        <v>457</v>
      </c>
      <c r="C4" s="4" t="s">
        <v>458</v>
      </c>
      <c r="D4" s="4" t="s">
        <v>459</v>
      </c>
      <c r="E4" s="4" t="s">
        <v>460</v>
      </c>
      <c r="F4" s="4" t="s">
        <v>461</v>
      </c>
      <c r="G4" s="4" t="s">
        <v>462</v>
      </c>
      <c r="H4" s="4" t="s">
        <v>463</v>
      </c>
      <c r="I4" s="4" t="s">
        <v>143</v>
      </c>
      <c r="J4" s="4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464</v>
      </c>
      <c r="B5" s="5" t="s">
        <v>465</v>
      </c>
      <c r="C5" s="5" t="s">
        <v>466</v>
      </c>
      <c r="D5" s="5" t="s">
        <v>62</v>
      </c>
      <c r="E5" s="5" t="s">
        <v>467</v>
      </c>
      <c r="F5" s="5" t="s">
        <v>468</v>
      </c>
      <c r="G5" s="5" t="s">
        <v>2429</v>
      </c>
      <c r="H5" s="5" t="s">
        <v>2430</v>
      </c>
      <c r="I5" s="5" t="s">
        <v>207</v>
      </c>
      <c r="J5" s="5" t="s">
        <v>469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470</v>
      </c>
      <c r="B6" s="5" t="s">
        <v>471</v>
      </c>
      <c r="C6" s="5" t="s">
        <v>472</v>
      </c>
      <c r="D6" s="5" t="s">
        <v>71</v>
      </c>
      <c r="E6" s="5" t="s">
        <v>473</v>
      </c>
      <c r="F6" s="5" t="s">
        <v>468</v>
      </c>
      <c r="G6" s="5" t="s">
        <v>2429</v>
      </c>
      <c r="H6" s="5" t="s">
        <v>2430</v>
      </c>
      <c r="I6" s="5" t="s">
        <v>207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474</v>
      </c>
      <c r="B7" s="5" t="s">
        <v>475</v>
      </c>
      <c r="C7" s="5" t="s">
        <v>476</v>
      </c>
      <c r="D7" s="5" t="s">
        <v>477</v>
      </c>
      <c r="E7" s="5" t="s">
        <v>478</v>
      </c>
      <c r="F7" s="5" t="s">
        <v>479</v>
      </c>
      <c r="G7" s="5" t="s">
        <v>2429</v>
      </c>
      <c r="H7" s="5" t="s">
        <v>2430</v>
      </c>
      <c r="I7" s="5" t="s">
        <v>410</v>
      </c>
      <c r="J7" s="5" t="s">
        <v>480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481</v>
      </c>
      <c r="B8" s="5" t="s">
        <v>482</v>
      </c>
      <c r="C8" s="5" t="s">
        <v>483</v>
      </c>
      <c r="D8" s="5" t="s">
        <v>48</v>
      </c>
      <c r="E8" s="5" t="s">
        <v>484</v>
      </c>
      <c r="F8" s="5" t="s">
        <v>479</v>
      </c>
      <c r="G8" s="5" t="s">
        <v>2429</v>
      </c>
      <c r="H8" s="5" t="s">
        <v>2430</v>
      </c>
      <c r="I8" s="5" t="s">
        <v>410</v>
      </c>
      <c r="J8" s="5" t="s">
        <v>485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486</v>
      </c>
      <c r="B9" s="5" t="s">
        <v>487</v>
      </c>
      <c r="C9" s="5" t="s">
        <v>488</v>
      </c>
      <c r="D9" s="5" t="s">
        <v>115</v>
      </c>
      <c r="E9" s="5" t="s">
        <v>489</v>
      </c>
      <c r="F9" s="5" t="s">
        <v>490</v>
      </c>
      <c r="G9" s="5" t="s">
        <v>2429</v>
      </c>
      <c r="H9" s="5" t="s">
        <v>2430</v>
      </c>
      <c r="I9" s="5" t="s">
        <v>207</v>
      </c>
      <c r="J9" s="5" t="s">
        <v>491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492</v>
      </c>
      <c r="B10" s="5" t="s">
        <v>493</v>
      </c>
      <c r="C10" s="5" t="s">
        <v>494</v>
      </c>
      <c r="D10" s="5" t="s">
        <v>78</v>
      </c>
      <c r="E10" s="5" t="s">
        <v>495</v>
      </c>
      <c r="F10" s="5" t="s">
        <v>496</v>
      </c>
      <c r="G10" s="5" t="s">
        <v>2429</v>
      </c>
      <c r="H10" s="5" t="s">
        <v>2430</v>
      </c>
      <c r="I10" s="5" t="s">
        <v>497</v>
      </c>
      <c r="J10" s="5" t="s">
        <v>498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499</v>
      </c>
      <c r="B11" s="5" t="s">
        <v>500</v>
      </c>
      <c r="C11" s="5" t="s">
        <v>501</v>
      </c>
      <c r="D11" s="5" t="s">
        <v>95</v>
      </c>
      <c r="E11" s="5" t="s">
        <v>502</v>
      </c>
      <c r="F11" s="5" t="s">
        <v>503</v>
      </c>
      <c r="G11" s="5" t="s">
        <v>2429</v>
      </c>
      <c r="H11" s="5" t="s">
        <v>2430</v>
      </c>
      <c r="I11" s="5" t="s">
        <v>410</v>
      </c>
      <c r="J11" s="5" t="s">
        <v>469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504</v>
      </c>
      <c r="B12" s="5" t="s">
        <v>505</v>
      </c>
      <c r="C12" s="5" t="s">
        <v>506</v>
      </c>
      <c r="D12" s="5" t="s">
        <v>102</v>
      </c>
      <c r="E12" s="5" t="s">
        <v>507</v>
      </c>
      <c r="F12" s="5" t="s">
        <v>508</v>
      </c>
      <c r="G12" s="5" t="s">
        <v>2429</v>
      </c>
      <c r="H12" s="5" t="s">
        <v>2430</v>
      </c>
      <c r="I12" s="5" t="s">
        <v>410</v>
      </c>
      <c r="J12" s="5" t="s">
        <v>509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1985</v>
      </c>
      <c r="B13" s="5" t="s">
        <v>340</v>
      </c>
      <c r="C13" s="5" t="s">
        <v>1986</v>
      </c>
      <c r="D13" s="5" t="s">
        <v>1876</v>
      </c>
      <c r="E13" s="5" t="s">
        <v>1987</v>
      </c>
      <c r="F13" s="5" t="s">
        <v>198</v>
      </c>
      <c r="G13" s="5" t="s">
        <v>1988</v>
      </c>
      <c r="H13" s="5" t="s">
        <v>1989</v>
      </c>
      <c r="I13" s="5" t="s">
        <v>207</v>
      </c>
      <c r="J13" s="5" t="s">
        <v>1990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1991</v>
      </c>
      <c r="B14" s="5" t="s">
        <v>341</v>
      </c>
      <c r="C14" s="5" t="s">
        <v>1986</v>
      </c>
      <c r="D14" s="5" t="s">
        <v>95</v>
      </c>
      <c r="E14" s="5">
        <v>0</v>
      </c>
      <c r="F14" s="5" t="s">
        <v>233</v>
      </c>
      <c r="G14" s="5" t="s">
        <v>1992</v>
      </c>
      <c r="H14" s="5" t="s">
        <v>1989</v>
      </c>
      <c r="I14" s="5" t="s">
        <v>207</v>
      </c>
      <c r="J14" s="5" t="s">
        <v>1993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1994</v>
      </c>
      <c r="B15" s="5" t="s">
        <v>342</v>
      </c>
      <c r="C15" s="5" t="s">
        <v>1986</v>
      </c>
      <c r="D15" s="5" t="s">
        <v>1889</v>
      </c>
      <c r="E15" s="5" t="s">
        <v>1987</v>
      </c>
      <c r="F15" s="5" t="s">
        <v>342</v>
      </c>
      <c r="G15" s="5" t="s">
        <v>1995</v>
      </c>
      <c r="H15" s="5" t="s">
        <v>1989</v>
      </c>
      <c r="I15" s="5" t="s">
        <v>207</v>
      </c>
      <c r="J15" s="5" t="s">
        <v>1996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1997</v>
      </c>
      <c r="B16" s="5" t="s">
        <v>1998</v>
      </c>
      <c r="C16" s="5" t="s">
        <v>1999</v>
      </c>
      <c r="D16" s="5" t="s">
        <v>80</v>
      </c>
      <c r="E16" s="5" t="s">
        <v>2000</v>
      </c>
      <c r="F16" s="5" t="s">
        <v>688</v>
      </c>
      <c r="G16" s="5" t="s">
        <v>2001</v>
      </c>
      <c r="H16" s="5" t="s">
        <v>2002</v>
      </c>
      <c r="I16" s="5" t="s">
        <v>497</v>
      </c>
      <c r="J16" s="5" t="s">
        <v>2003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2004</v>
      </c>
      <c r="B17" s="5" t="s">
        <v>2005</v>
      </c>
      <c r="C17" s="5" t="s">
        <v>1986</v>
      </c>
      <c r="D17" s="5" t="s">
        <v>1814</v>
      </c>
      <c r="E17" s="5" t="s">
        <v>2006</v>
      </c>
      <c r="F17" s="5" t="s">
        <v>368</v>
      </c>
      <c r="G17" s="5" t="s">
        <v>1992</v>
      </c>
      <c r="H17" s="5" t="s">
        <v>1822</v>
      </c>
      <c r="I17" s="5" t="s">
        <v>1912</v>
      </c>
      <c r="J17" s="5" t="s">
        <v>2007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2008</v>
      </c>
      <c r="B18" s="5" t="s">
        <v>2009</v>
      </c>
      <c r="C18" s="5" t="s">
        <v>1986</v>
      </c>
      <c r="D18" s="5" t="s">
        <v>2010</v>
      </c>
      <c r="E18" s="5" t="s">
        <v>1987</v>
      </c>
      <c r="F18" s="5" t="s">
        <v>2011</v>
      </c>
      <c r="G18" s="5" t="s">
        <v>2012</v>
      </c>
      <c r="H18" s="5" t="s">
        <v>1989</v>
      </c>
      <c r="I18" s="5" t="s">
        <v>207</v>
      </c>
      <c r="J18" s="5" t="s">
        <v>2013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>
      <selection sqref="A1:J1"/>
    </sheetView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87" t="s">
        <v>510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89" t="s">
        <v>511</v>
      </c>
      <c r="B2" s="89"/>
      <c r="C2" s="89"/>
      <c r="D2" s="89"/>
      <c r="E2" s="89"/>
      <c r="F2" s="89"/>
      <c r="G2" s="89"/>
      <c r="H2" s="89"/>
      <c r="I2" s="89"/>
      <c r="J2" s="8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0" t="s">
        <v>512</v>
      </c>
      <c r="B4" s="10" t="s">
        <v>513</v>
      </c>
      <c r="C4" s="10" t="s">
        <v>514</v>
      </c>
      <c r="D4" s="10" t="s">
        <v>515</v>
      </c>
      <c r="E4" s="10" t="s">
        <v>516</v>
      </c>
      <c r="F4" s="10" t="s">
        <v>517</v>
      </c>
      <c r="G4" s="10" t="s">
        <v>518</v>
      </c>
      <c r="H4" s="10" t="s">
        <v>519</v>
      </c>
      <c r="I4" s="10" t="s">
        <v>184</v>
      </c>
      <c r="J4" s="10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520</v>
      </c>
      <c r="B5" s="5" t="s">
        <v>521</v>
      </c>
      <c r="C5" s="5" t="s">
        <v>522</v>
      </c>
      <c r="D5" s="5" t="s">
        <v>205</v>
      </c>
      <c r="E5" s="5" t="s">
        <v>523</v>
      </c>
      <c r="F5" s="5" t="s">
        <v>524</v>
      </c>
      <c r="G5" s="5" t="s">
        <v>525</v>
      </c>
      <c r="H5" s="5" t="s">
        <v>41</v>
      </c>
      <c r="I5" s="5" t="s">
        <v>2428</v>
      </c>
      <c r="J5" s="5" t="s">
        <v>526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527</v>
      </c>
      <c r="B6" s="5" t="s">
        <v>528</v>
      </c>
      <c r="C6" s="5" t="s">
        <v>44</v>
      </c>
      <c r="D6" s="5" t="s">
        <v>529</v>
      </c>
      <c r="E6" s="5" t="s">
        <v>530</v>
      </c>
      <c r="F6" s="5" t="s">
        <v>531</v>
      </c>
      <c r="G6" s="5" t="s">
        <v>525</v>
      </c>
      <c r="H6" s="5" t="s">
        <v>41</v>
      </c>
      <c r="I6" s="5" t="s">
        <v>2428</v>
      </c>
      <c r="J6" s="5" t="s">
        <v>532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533</v>
      </c>
      <c r="B7" s="5" t="s">
        <v>534</v>
      </c>
      <c r="C7" s="5" t="s">
        <v>44</v>
      </c>
      <c r="D7" s="5" t="s">
        <v>535</v>
      </c>
      <c r="E7" s="5" t="s">
        <v>530</v>
      </c>
      <c r="F7" s="5" t="s">
        <v>536</v>
      </c>
      <c r="G7" s="5" t="s">
        <v>525</v>
      </c>
      <c r="H7" s="5" t="s">
        <v>41</v>
      </c>
      <c r="I7" s="5" t="s">
        <v>2428</v>
      </c>
      <c r="J7" s="5" t="s">
        <v>537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538</v>
      </c>
      <c r="B8" s="5" t="s">
        <v>539</v>
      </c>
      <c r="C8" s="5" t="s">
        <v>44</v>
      </c>
      <c r="D8" s="5" t="s">
        <v>540</v>
      </c>
      <c r="E8" s="5" t="s">
        <v>530</v>
      </c>
      <c r="F8" s="5" t="s">
        <v>536</v>
      </c>
      <c r="G8" s="5" t="s">
        <v>525</v>
      </c>
      <c r="H8" s="5" t="s">
        <v>41</v>
      </c>
      <c r="I8" s="5" t="s">
        <v>2428</v>
      </c>
      <c r="J8" s="5" t="s">
        <v>541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542</v>
      </c>
      <c r="B9" s="5" t="s">
        <v>543</v>
      </c>
      <c r="C9" s="5" t="s">
        <v>44</v>
      </c>
      <c r="D9" s="5" t="s">
        <v>544</v>
      </c>
      <c r="E9" s="5" t="s">
        <v>545</v>
      </c>
      <c r="F9" s="5" t="s">
        <v>546</v>
      </c>
      <c r="G9" s="5" t="s">
        <v>525</v>
      </c>
      <c r="H9" s="5" t="s">
        <v>41</v>
      </c>
      <c r="I9" s="5" t="s">
        <v>2428</v>
      </c>
      <c r="J9" s="5" t="s">
        <v>428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547</v>
      </c>
      <c r="B10" s="5" t="s">
        <v>548</v>
      </c>
      <c r="C10" s="5" t="s">
        <v>44</v>
      </c>
      <c r="D10" s="5" t="s">
        <v>549</v>
      </c>
      <c r="E10" s="5" t="s">
        <v>530</v>
      </c>
      <c r="F10" s="5" t="s">
        <v>536</v>
      </c>
      <c r="G10" s="5" t="s">
        <v>525</v>
      </c>
      <c r="H10" s="5" t="s">
        <v>41</v>
      </c>
      <c r="I10" s="5" t="s">
        <v>2428</v>
      </c>
      <c r="J10" s="5" t="s">
        <v>550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551</v>
      </c>
      <c r="B11" s="5" t="s">
        <v>552</v>
      </c>
      <c r="C11" s="5" t="s">
        <v>44</v>
      </c>
      <c r="D11" s="5" t="s">
        <v>553</v>
      </c>
      <c r="E11" s="5" t="s">
        <v>545</v>
      </c>
      <c r="F11" s="5" t="s">
        <v>554</v>
      </c>
      <c r="G11" s="5" t="s">
        <v>525</v>
      </c>
      <c r="H11" s="5" t="s">
        <v>41</v>
      </c>
      <c r="I11" s="5" t="s">
        <v>2428</v>
      </c>
      <c r="J11" s="5" t="s">
        <v>555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556</v>
      </c>
      <c r="B12" s="5" t="s">
        <v>557</v>
      </c>
      <c r="C12" s="5" t="s">
        <v>44</v>
      </c>
      <c r="D12" s="5" t="s">
        <v>558</v>
      </c>
      <c r="E12" s="5" t="s">
        <v>545</v>
      </c>
      <c r="F12" s="5" t="s">
        <v>559</v>
      </c>
      <c r="G12" s="5" t="s">
        <v>525</v>
      </c>
      <c r="H12" s="5" t="s">
        <v>41</v>
      </c>
      <c r="I12" s="5" t="s">
        <v>2428</v>
      </c>
      <c r="J12" s="5" t="s">
        <v>560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561</v>
      </c>
      <c r="B13" s="5" t="s">
        <v>562</v>
      </c>
      <c r="C13" s="5" t="s">
        <v>44</v>
      </c>
      <c r="D13" s="5" t="s">
        <v>563</v>
      </c>
      <c r="E13" s="5" t="s">
        <v>564</v>
      </c>
      <c r="F13" s="5" t="s">
        <v>565</v>
      </c>
      <c r="G13" s="5" t="s">
        <v>525</v>
      </c>
      <c r="H13" s="5" t="s">
        <v>41</v>
      </c>
      <c r="I13" s="5" t="s">
        <v>2428</v>
      </c>
      <c r="J13" s="5" t="s">
        <v>566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activeCell="C8" sqref="C8"/>
    </sheetView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87" t="s">
        <v>567</v>
      </c>
      <c r="B1" s="88"/>
      <c r="C1" s="88"/>
      <c r="D1" s="88"/>
      <c r="E1" s="88"/>
      <c r="F1" s="88"/>
      <c r="G1" s="88"/>
      <c r="H1" s="88"/>
      <c r="I1" s="8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72" t="s">
        <v>568</v>
      </c>
      <c r="B2" s="72"/>
      <c r="C2" s="72"/>
      <c r="D2" s="72"/>
      <c r="E2" s="72"/>
      <c r="F2" s="72"/>
      <c r="G2" s="72"/>
      <c r="H2" s="72"/>
      <c r="I2" s="7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0" t="s">
        <v>569</v>
      </c>
      <c r="B4" s="10" t="s">
        <v>570</v>
      </c>
      <c r="C4" s="10" t="s">
        <v>571</v>
      </c>
      <c r="D4" s="10" t="s">
        <v>572</v>
      </c>
      <c r="E4" s="10" t="s">
        <v>573</v>
      </c>
      <c r="F4" s="10" t="s">
        <v>574</v>
      </c>
      <c r="G4" s="10" t="s">
        <v>142</v>
      </c>
      <c r="H4" s="10" t="s">
        <v>575</v>
      </c>
      <c r="I4" s="10" t="s">
        <v>173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576</v>
      </c>
      <c r="B5" s="5" t="s">
        <v>577</v>
      </c>
      <c r="C5" s="5" t="s">
        <v>578</v>
      </c>
      <c r="D5" s="5" t="s">
        <v>497</v>
      </c>
      <c r="E5" s="5" t="s">
        <v>579</v>
      </c>
      <c r="F5" s="5" t="s">
        <v>580</v>
      </c>
      <c r="G5" s="5" t="s">
        <v>581</v>
      </c>
      <c r="H5" s="5" t="s">
        <v>582</v>
      </c>
      <c r="I5" s="5" t="s">
        <v>583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584</v>
      </c>
      <c r="B6" s="5" t="s">
        <v>585</v>
      </c>
      <c r="C6" s="5" t="s">
        <v>586</v>
      </c>
      <c r="D6" s="5" t="s">
        <v>497</v>
      </c>
      <c r="E6" s="5" t="s">
        <v>579</v>
      </c>
      <c r="F6" s="5" t="s">
        <v>587</v>
      </c>
      <c r="G6" s="5" t="s">
        <v>588</v>
      </c>
      <c r="H6" s="5" t="s">
        <v>589</v>
      </c>
      <c r="I6" s="5" t="s">
        <v>583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590</v>
      </c>
      <c r="B7" s="5" t="s">
        <v>591</v>
      </c>
      <c r="C7" s="5" t="s">
        <v>592</v>
      </c>
      <c r="D7" s="5" t="s">
        <v>418</v>
      </c>
      <c r="E7" s="5" t="s">
        <v>579</v>
      </c>
      <c r="F7" s="5" t="s">
        <v>593</v>
      </c>
      <c r="G7" s="5" t="s">
        <v>594</v>
      </c>
      <c r="H7" s="5" t="s">
        <v>595</v>
      </c>
      <c r="I7" s="5" t="s">
        <v>583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596</v>
      </c>
      <c r="B8" s="5" t="s">
        <v>597</v>
      </c>
      <c r="C8" s="5" t="s">
        <v>598</v>
      </c>
      <c r="D8" s="5" t="s">
        <v>410</v>
      </c>
      <c r="E8" s="5" t="s">
        <v>599</v>
      </c>
      <c r="F8" s="5" t="s">
        <v>600</v>
      </c>
      <c r="G8" s="5" t="s">
        <v>44</v>
      </c>
      <c r="H8" s="5" t="s">
        <v>601</v>
      </c>
      <c r="I8" s="5" t="s">
        <v>602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603</v>
      </c>
      <c r="B9" s="5" t="s">
        <v>604</v>
      </c>
      <c r="C9" s="107" t="s">
        <v>2660</v>
      </c>
      <c r="D9" s="5" t="s">
        <v>410</v>
      </c>
      <c r="E9" s="5" t="s">
        <v>605</v>
      </c>
      <c r="F9" s="5" t="s">
        <v>606</v>
      </c>
      <c r="G9" s="5" t="s">
        <v>205</v>
      </c>
      <c r="H9" s="5" t="s">
        <v>607</v>
      </c>
      <c r="I9" s="5" t="s">
        <v>583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608</v>
      </c>
      <c r="B10" s="5" t="s">
        <v>609</v>
      </c>
      <c r="C10" s="5" t="s">
        <v>610</v>
      </c>
      <c r="D10" s="5" t="s">
        <v>410</v>
      </c>
      <c r="E10" s="5" t="s">
        <v>611</v>
      </c>
      <c r="F10" s="5" t="s">
        <v>612</v>
      </c>
      <c r="G10" s="5" t="s">
        <v>44</v>
      </c>
      <c r="H10" s="5" t="s">
        <v>613</v>
      </c>
      <c r="I10" s="5" t="s">
        <v>583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7" t="s">
        <v>617</v>
      </c>
      <c r="B1" s="7"/>
      <c r="C1" s="7"/>
      <c r="D1" s="7"/>
      <c r="E1" s="7"/>
      <c r="F1" s="7"/>
      <c r="G1" s="7"/>
    </row>
    <row r="2" spans="1:7">
      <c r="A2" t="s">
        <v>2456</v>
      </c>
    </row>
    <row r="4" spans="1:7" ht="15">
      <c r="A4" s="8" t="s">
        <v>618</v>
      </c>
      <c r="B4" s="8" t="s">
        <v>619</v>
      </c>
      <c r="C4" s="8" t="s">
        <v>620</v>
      </c>
      <c r="D4" s="8" t="s">
        <v>621</v>
      </c>
      <c r="E4" s="8" t="s">
        <v>622</v>
      </c>
      <c r="F4" s="8"/>
      <c r="G4" s="8"/>
    </row>
    <row r="5" spans="1:7" ht="28.5">
      <c r="A5" s="1" t="s">
        <v>188</v>
      </c>
      <c r="B5" s="1" t="s">
        <v>623</v>
      </c>
      <c r="C5" s="1" t="s">
        <v>624</v>
      </c>
      <c r="D5" s="1" t="s">
        <v>522</v>
      </c>
      <c r="E5" s="1" t="s">
        <v>625</v>
      </c>
      <c r="F5" s="1"/>
      <c r="G5" s="1"/>
    </row>
    <row r="6" spans="1:7">
      <c r="A6" s="1" t="s">
        <v>626</v>
      </c>
      <c r="B6" s="1" t="s">
        <v>627</v>
      </c>
      <c r="C6" s="1" t="s">
        <v>628</v>
      </c>
      <c r="D6" s="1" t="s">
        <v>69</v>
      </c>
      <c r="E6" s="1" t="s">
        <v>629</v>
      </c>
      <c r="F6" s="1"/>
      <c r="G6" s="1"/>
    </row>
    <row r="7" spans="1:7" ht="28.5">
      <c r="A7" s="1" t="s">
        <v>630</v>
      </c>
      <c r="B7" s="1" t="s">
        <v>631</v>
      </c>
      <c r="C7" s="1" t="s">
        <v>632</v>
      </c>
      <c r="D7" s="1" t="s">
        <v>44</v>
      </c>
      <c r="E7" s="1" t="s">
        <v>633</v>
      </c>
      <c r="F7" s="1"/>
      <c r="G7" s="1"/>
    </row>
    <row r="8" spans="1:7" ht="28.5">
      <c r="A8" s="1" t="s">
        <v>2457</v>
      </c>
      <c r="B8" s="1" t="s">
        <v>2458</v>
      </c>
      <c r="C8" s="1" t="s">
        <v>2459</v>
      </c>
      <c r="D8" s="1" t="s">
        <v>2460</v>
      </c>
      <c r="E8" s="1" t="s">
        <v>2461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388</v>
      </c>
      <c r="B10" s="1" t="s">
        <v>389</v>
      </c>
      <c r="C10" s="1" t="s">
        <v>634</v>
      </c>
      <c r="D10" s="1" t="s">
        <v>635</v>
      </c>
      <c r="E10" s="1" t="s">
        <v>636</v>
      </c>
      <c r="F10" s="1" t="s">
        <v>637</v>
      </c>
      <c r="G10" s="1" t="s">
        <v>638</v>
      </c>
    </row>
    <row r="11" spans="1:7" ht="28.5">
      <c r="A11" s="1" t="s">
        <v>290</v>
      </c>
      <c r="B11" s="1" t="s">
        <v>199</v>
      </c>
      <c r="C11" s="1" t="s">
        <v>639</v>
      </c>
      <c r="D11" s="1" t="s">
        <v>640</v>
      </c>
      <c r="E11" s="1" t="s">
        <v>641</v>
      </c>
      <c r="F11" s="1" t="s">
        <v>642</v>
      </c>
      <c r="G11" s="1" t="s">
        <v>643</v>
      </c>
    </row>
    <row r="12" spans="1:7" ht="28.5">
      <c r="A12" s="1" t="s">
        <v>255</v>
      </c>
      <c r="B12" s="1" t="s">
        <v>614</v>
      </c>
      <c r="C12" s="1" t="s">
        <v>644</v>
      </c>
      <c r="D12" s="1" t="s">
        <v>640</v>
      </c>
      <c r="E12" s="1" t="s">
        <v>522</v>
      </c>
      <c r="F12" s="1" t="s">
        <v>645</v>
      </c>
      <c r="G12" s="1" t="s">
        <v>646</v>
      </c>
    </row>
    <row r="13" spans="1:7" ht="28.5">
      <c r="A13" s="1" t="s">
        <v>198</v>
      </c>
      <c r="B13" s="1" t="s">
        <v>199</v>
      </c>
      <c r="C13" s="1" t="s">
        <v>647</v>
      </c>
      <c r="D13" s="1" t="s">
        <v>522</v>
      </c>
      <c r="E13" s="1" t="s">
        <v>648</v>
      </c>
      <c r="F13" s="1" t="s">
        <v>649</v>
      </c>
      <c r="G13" s="1" t="s">
        <v>650</v>
      </c>
    </row>
    <row r="14" spans="1:7" ht="28.5">
      <c r="A14" s="1" t="s">
        <v>233</v>
      </c>
      <c r="B14" s="1" t="s">
        <v>199</v>
      </c>
      <c r="C14" s="1" t="s">
        <v>651</v>
      </c>
      <c r="D14" s="1" t="s">
        <v>652</v>
      </c>
      <c r="E14" s="1" t="s">
        <v>69</v>
      </c>
      <c r="F14" s="1" t="s">
        <v>653</v>
      </c>
      <c r="G14" s="1" t="s">
        <v>654</v>
      </c>
    </row>
    <row r="15" spans="1:7" ht="28.5">
      <c r="A15" s="1" t="s">
        <v>239</v>
      </c>
      <c r="B15" s="1" t="s">
        <v>199</v>
      </c>
      <c r="C15" s="1" t="s">
        <v>655</v>
      </c>
      <c r="D15" s="1" t="s">
        <v>522</v>
      </c>
      <c r="E15" s="1" t="s">
        <v>648</v>
      </c>
      <c r="F15" s="1" t="s">
        <v>656</v>
      </c>
      <c r="G15" s="1" t="s">
        <v>657</v>
      </c>
    </row>
    <row r="16" spans="1:7" ht="28.5">
      <c r="A16" s="1" t="s">
        <v>658</v>
      </c>
      <c r="B16" s="1" t="s">
        <v>614</v>
      </c>
      <c r="C16" s="1" t="s">
        <v>659</v>
      </c>
      <c r="D16" s="1" t="s">
        <v>522</v>
      </c>
      <c r="E16" s="1" t="s">
        <v>522</v>
      </c>
      <c r="F16" s="1" t="s">
        <v>660</v>
      </c>
      <c r="G16" s="1" t="s">
        <v>661</v>
      </c>
    </row>
    <row r="17" spans="1:7" ht="28.5">
      <c r="A17" s="1" t="s">
        <v>662</v>
      </c>
      <c r="B17" s="1" t="s">
        <v>615</v>
      </c>
      <c r="C17" s="1" t="s">
        <v>663</v>
      </c>
      <c r="D17" s="1" t="s">
        <v>205</v>
      </c>
      <c r="E17" s="1" t="s">
        <v>664</v>
      </c>
      <c r="F17" s="1" t="s">
        <v>665</v>
      </c>
      <c r="G17" s="1" t="s">
        <v>2462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666</v>
      </c>
      <c r="B19" s="1" t="s">
        <v>667</v>
      </c>
      <c r="C19" s="1"/>
      <c r="D19" s="1"/>
      <c r="E19" s="1"/>
      <c r="F19" s="1"/>
      <c r="G19" s="1"/>
    </row>
    <row r="20" spans="1:7" ht="42.75">
      <c r="A20" s="1" t="s">
        <v>668</v>
      </c>
      <c r="B20" s="1" t="s">
        <v>669</v>
      </c>
      <c r="C20" s="1"/>
      <c r="D20" s="1"/>
      <c r="E20" s="1"/>
      <c r="F20" s="1"/>
      <c r="G20" s="1"/>
    </row>
    <row r="21" spans="1:7" ht="57">
      <c r="A21" s="1" t="s">
        <v>670</v>
      </c>
      <c r="B21" s="1" t="s">
        <v>2463</v>
      </c>
      <c r="C21" s="1"/>
      <c r="D21" s="1"/>
      <c r="E21" s="1"/>
      <c r="F21" s="1"/>
      <c r="G21" s="1"/>
    </row>
    <row r="22" spans="1:7" ht="57">
      <c r="A22" s="1" t="s">
        <v>671</v>
      </c>
      <c r="B22" s="1" t="s">
        <v>2464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7" t="s">
        <v>672</v>
      </c>
      <c r="B1" s="7"/>
      <c r="C1" s="7"/>
      <c r="D1" s="7"/>
      <c r="E1" s="7"/>
      <c r="F1" s="7"/>
      <c r="G1" s="7"/>
      <c r="H1" s="7"/>
    </row>
    <row r="2" spans="1:8">
      <c r="A2" t="s">
        <v>673</v>
      </c>
    </row>
    <row r="4" spans="1:8" ht="15">
      <c r="A4" s="8" t="s">
        <v>674</v>
      </c>
      <c r="B4" s="8" t="s">
        <v>675</v>
      </c>
      <c r="C4" s="8" t="s">
        <v>33</v>
      </c>
      <c r="D4" s="8" t="s">
        <v>339</v>
      </c>
      <c r="E4" s="8" t="s">
        <v>676</v>
      </c>
      <c r="F4" s="8" t="s">
        <v>677</v>
      </c>
      <c r="G4" s="8" t="s">
        <v>460</v>
      </c>
      <c r="H4" s="8" t="s">
        <v>678</v>
      </c>
    </row>
    <row r="5" spans="1:8">
      <c r="A5" s="1">
        <v>1</v>
      </c>
      <c r="B5" s="1" t="s">
        <v>679</v>
      </c>
      <c r="C5" s="1" t="s">
        <v>680</v>
      </c>
      <c r="D5" s="1" t="s">
        <v>62</v>
      </c>
      <c r="E5" s="1" t="s">
        <v>681</v>
      </c>
      <c r="F5" s="1" t="s">
        <v>682</v>
      </c>
      <c r="G5" s="1" t="s">
        <v>683</v>
      </c>
      <c r="H5" s="1" t="s">
        <v>190</v>
      </c>
    </row>
    <row r="6" spans="1:8">
      <c r="A6" s="1">
        <v>2</v>
      </c>
      <c r="B6" s="1" t="s">
        <v>679</v>
      </c>
      <c r="C6" s="1" t="s">
        <v>684</v>
      </c>
      <c r="D6" s="1" t="s">
        <v>95</v>
      </c>
      <c r="E6" s="1" t="s">
        <v>685</v>
      </c>
      <c r="F6" s="1" t="s">
        <v>686</v>
      </c>
      <c r="G6" s="1" t="s">
        <v>69</v>
      </c>
      <c r="H6" s="1" t="s">
        <v>190</v>
      </c>
    </row>
    <row r="7" spans="1:8">
      <c r="A7" s="1">
        <v>3</v>
      </c>
      <c r="B7" s="1" t="s">
        <v>679</v>
      </c>
      <c r="C7" s="1" t="s">
        <v>687</v>
      </c>
      <c r="D7" s="1" t="s">
        <v>115</v>
      </c>
      <c r="E7" s="1" t="s">
        <v>688</v>
      </c>
      <c r="F7" s="1" t="s">
        <v>689</v>
      </c>
      <c r="G7" s="1" t="s">
        <v>690</v>
      </c>
      <c r="H7" s="1" t="s">
        <v>190</v>
      </c>
    </row>
    <row r="8" spans="1:8" ht="28.5">
      <c r="A8" s="1">
        <v>4</v>
      </c>
      <c r="B8" s="1" t="s">
        <v>691</v>
      </c>
      <c r="C8" s="1" t="s">
        <v>692</v>
      </c>
      <c r="D8" s="1" t="s">
        <v>95</v>
      </c>
      <c r="E8" s="1" t="s">
        <v>341</v>
      </c>
      <c r="F8" s="1" t="s">
        <v>693</v>
      </c>
      <c r="G8" s="1" t="s">
        <v>694</v>
      </c>
      <c r="H8" s="1" t="s">
        <v>626</v>
      </c>
    </row>
    <row r="9" spans="1:8">
      <c r="A9" s="1">
        <v>5</v>
      </c>
      <c r="B9" s="1" t="s">
        <v>695</v>
      </c>
      <c r="C9" s="1" t="s">
        <v>696</v>
      </c>
      <c r="D9" s="1" t="s">
        <v>697</v>
      </c>
      <c r="E9" s="1" t="s">
        <v>698</v>
      </c>
      <c r="F9" s="1" t="s">
        <v>699</v>
      </c>
      <c r="G9" s="1" t="s">
        <v>69</v>
      </c>
      <c r="H9" s="1" t="s">
        <v>700</v>
      </c>
    </row>
    <row r="10" spans="1:8">
      <c r="A10" s="1">
        <v>6</v>
      </c>
      <c r="B10" s="1" t="s">
        <v>342</v>
      </c>
      <c r="C10" s="1" t="s">
        <v>701</v>
      </c>
      <c r="D10" s="1" t="s">
        <v>702</v>
      </c>
      <c r="E10" s="1" t="s">
        <v>703</v>
      </c>
      <c r="F10" s="1" t="s">
        <v>704</v>
      </c>
      <c r="G10" s="1" t="s">
        <v>705</v>
      </c>
      <c r="H10" s="1" t="s">
        <v>188</v>
      </c>
    </row>
    <row r="11" spans="1:8" ht="57">
      <c r="A11" s="1">
        <v>7</v>
      </c>
      <c r="B11" s="1" t="s">
        <v>706</v>
      </c>
      <c r="C11" s="1" t="s">
        <v>707</v>
      </c>
      <c r="D11" s="1" t="s">
        <v>708</v>
      </c>
      <c r="E11" s="1" t="s">
        <v>709</v>
      </c>
      <c r="F11" s="1" t="s">
        <v>710</v>
      </c>
      <c r="G11" s="1" t="s">
        <v>2431</v>
      </c>
      <c r="H11" s="1" t="s">
        <v>192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52</v>
      </c>
      <c r="B13" s="1" t="s">
        <v>711</v>
      </c>
      <c r="C13" s="1" t="s">
        <v>712</v>
      </c>
      <c r="D13" s="1" t="s">
        <v>713</v>
      </c>
      <c r="E13" s="1" t="s">
        <v>714</v>
      </c>
      <c r="F13" s="1"/>
      <c r="G13" s="1"/>
      <c r="H13" s="1"/>
    </row>
    <row r="14" spans="1:8" ht="28.5">
      <c r="A14" s="1" t="s">
        <v>62</v>
      </c>
      <c r="B14" s="1" t="s">
        <v>715</v>
      </c>
      <c r="C14" s="1" t="s">
        <v>716</v>
      </c>
      <c r="D14" s="1" t="s">
        <v>717</v>
      </c>
      <c r="E14" s="1" t="s">
        <v>718</v>
      </c>
      <c r="F14" s="1"/>
      <c r="G14" s="1"/>
      <c r="H14" s="1"/>
    </row>
    <row r="15" spans="1:8">
      <c r="A15" s="1" t="s">
        <v>71</v>
      </c>
      <c r="B15" s="1" t="s">
        <v>640</v>
      </c>
      <c r="C15" s="1" t="s">
        <v>716</v>
      </c>
      <c r="D15" s="1" t="s">
        <v>69</v>
      </c>
      <c r="E15" s="1" t="s">
        <v>44</v>
      </c>
      <c r="F15" s="1"/>
      <c r="G15" s="1"/>
      <c r="H15" s="1"/>
    </row>
    <row r="16" spans="1:8" ht="28.5">
      <c r="A16" s="1" t="s">
        <v>78</v>
      </c>
      <c r="B16" s="1" t="s">
        <v>719</v>
      </c>
      <c r="C16" s="1" t="s">
        <v>720</v>
      </c>
      <c r="D16" s="1" t="s">
        <v>69</v>
      </c>
      <c r="E16" s="1" t="s">
        <v>356</v>
      </c>
      <c r="F16" s="1"/>
      <c r="G16" s="1"/>
      <c r="H16" s="1"/>
    </row>
    <row r="17" spans="1:8" ht="28.5">
      <c r="A17" s="1" t="s">
        <v>86</v>
      </c>
      <c r="B17" s="1" t="s">
        <v>721</v>
      </c>
      <c r="C17" s="1" t="s">
        <v>722</v>
      </c>
      <c r="D17" s="1" t="s">
        <v>69</v>
      </c>
      <c r="E17" s="1" t="s">
        <v>44</v>
      </c>
      <c r="F17" s="1"/>
      <c r="G17" s="1"/>
      <c r="H17" s="1"/>
    </row>
    <row r="18" spans="1:8" ht="28.5">
      <c r="A18" s="1" t="s">
        <v>95</v>
      </c>
      <c r="B18" s="1" t="s">
        <v>723</v>
      </c>
      <c r="C18" s="1" t="s">
        <v>724</v>
      </c>
      <c r="D18" s="1" t="s">
        <v>356</v>
      </c>
      <c r="E18" s="1" t="s">
        <v>725</v>
      </c>
      <c r="F18" s="1"/>
      <c r="G18" s="1"/>
      <c r="H18" s="1"/>
    </row>
    <row r="19" spans="1:8">
      <c r="A19" s="1" t="s">
        <v>102</v>
      </c>
      <c r="B19" s="1" t="s">
        <v>640</v>
      </c>
      <c r="C19" s="1" t="s">
        <v>726</v>
      </c>
      <c r="D19" s="1" t="s">
        <v>69</v>
      </c>
      <c r="E19" s="1" t="s">
        <v>44</v>
      </c>
      <c r="F19" s="1"/>
      <c r="G19" s="1"/>
      <c r="H19" s="1"/>
    </row>
    <row r="20" spans="1:8">
      <c r="A20" s="1" t="s">
        <v>108</v>
      </c>
      <c r="B20" s="1" t="s">
        <v>357</v>
      </c>
      <c r="C20" s="1" t="s">
        <v>727</v>
      </c>
      <c r="D20" s="1" t="s">
        <v>69</v>
      </c>
      <c r="E20" s="1" t="s">
        <v>358</v>
      </c>
      <c r="F20" s="1"/>
      <c r="G20" s="1"/>
      <c r="H20" s="1"/>
    </row>
    <row r="21" spans="1:8">
      <c r="A21" s="1" t="s">
        <v>115</v>
      </c>
      <c r="B21" s="1" t="s">
        <v>728</v>
      </c>
      <c r="C21" s="1" t="s">
        <v>729</v>
      </c>
      <c r="D21" s="1" t="s">
        <v>359</v>
      </c>
      <c r="E21" s="1" t="s">
        <v>358</v>
      </c>
      <c r="F21" s="1"/>
      <c r="G21" s="1"/>
      <c r="H21" s="1"/>
    </row>
    <row r="22" spans="1:8">
      <c r="A22" s="1" t="s">
        <v>48</v>
      </c>
      <c r="B22" s="1" t="s">
        <v>730</v>
      </c>
      <c r="C22" s="1" t="s">
        <v>731</v>
      </c>
      <c r="D22" s="1" t="s">
        <v>69</v>
      </c>
      <c r="E22" s="1" t="s">
        <v>358</v>
      </c>
      <c r="F22" s="1"/>
      <c r="G22" s="1"/>
      <c r="H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7" t="s">
        <v>732</v>
      </c>
      <c r="B1" s="7"/>
      <c r="C1" s="7"/>
      <c r="D1" s="7"/>
    </row>
    <row r="2" spans="1:4">
      <c r="A2" t="s">
        <v>733</v>
      </c>
    </row>
    <row r="4" spans="1:4" ht="15">
      <c r="A4" s="8" t="s">
        <v>734</v>
      </c>
      <c r="B4" s="8" t="s">
        <v>32</v>
      </c>
      <c r="C4" s="8"/>
      <c r="D4" s="8"/>
    </row>
    <row r="5" spans="1:4">
      <c r="A5" s="1" t="s">
        <v>735</v>
      </c>
      <c r="B5" s="1">
        <v>3157</v>
      </c>
      <c r="C5" s="1"/>
      <c r="D5" s="1"/>
    </row>
    <row r="6" spans="1:4">
      <c r="A6" s="1" t="s">
        <v>736</v>
      </c>
      <c r="B6" s="1">
        <v>2</v>
      </c>
      <c r="C6" s="1"/>
      <c r="D6" s="1"/>
    </row>
    <row r="7" spans="1:4">
      <c r="A7" s="1" t="s">
        <v>737</v>
      </c>
      <c r="B7" s="1" t="s">
        <v>738</v>
      </c>
      <c r="C7" s="1"/>
      <c r="D7" s="1"/>
    </row>
    <row r="8" spans="1:4">
      <c r="A8" s="1" t="s">
        <v>739</v>
      </c>
      <c r="B8" s="1" t="s">
        <v>740</v>
      </c>
      <c r="C8" s="1"/>
      <c r="D8" s="1"/>
    </row>
    <row r="9" spans="1:4" ht="28.5">
      <c r="A9" s="1" t="s">
        <v>741</v>
      </c>
      <c r="B9" s="1" t="s">
        <v>742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743</v>
      </c>
      <c r="B11" s="1" t="s">
        <v>744</v>
      </c>
      <c r="C11" s="1" t="s">
        <v>745</v>
      </c>
      <c r="D11" s="1" t="s">
        <v>741</v>
      </c>
    </row>
    <row r="12" spans="1:4">
      <c r="A12" s="1" t="s">
        <v>740</v>
      </c>
      <c r="B12" s="1">
        <v>3000</v>
      </c>
      <c r="C12" s="1" t="s">
        <v>746</v>
      </c>
      <c r="D12" s="1" t="s">
        <v>747</v>
      </c>
    </row>
    <row r="13" spans="1:4">
      <c r="A13" s="1" t="s">
        <v>748</v>
      </c>
      <c r="B13" s="1">
        <v>157</v>
      </c>
      <c r="C13" s="1" t="s">
        <v>749</v>
      </c>
      <c r="D13" s="1" t="s">
        <v>750</v>
      </c>
    </row>
    <row r="14" spans="1:4">
      <c r="A14" s="1"/>
      <c r="B14" s="1"/>
      <c r="C14" s="1"/>
      <c r="D14" s="1"/>
    </row>
    <row r="15" spans="1:4">
      <c r="A15" s="1" t="s">
        <v>751</v>
      </c>
      <c r="B15" s="1" t="s">
        <v>752</v>
      </c>
      <c r="C15" s="1"/>
      <c r="D15" s="1"/>
    </row>
    <row r="16" spans="1:4" ht="28.5">
      <c r="A16" s="1" t="s">
        <v>753</v>
      </c>
      <c r="B16" s="1" t="s">
        <v>754</v>
      </c>
      <c r="C16" s="1"/>
      <c r="D16" s="1"/>
    </row>
    <row r="17" spans="1:4" ht="28.5">
      <c r="A17" s="1" t="s">
        <v>755</v>
      </c>
      <c r="B17" s="1" t="s">
        <v>2465</v>
      </c>
      <c r="C17" s="1"/>
      <c r="D17" s="1"/>
    </row>
    <row r="18" spans="1:4" ht="28.5">
      <c r="A18" s="1" t="s">
        <v>756</v>
      </c>
      <c r="B18" s="1" t="s">
        <v>757</v>
      </c>
      <c r="C18" s="1"/>
      <c r="D18" s="1"/>
    </row>
    <row r="19" spans="1:4" ht="28.5">
      <c r="A19" s="1" t="s">
        <v>758</v>
      </c>
      <c r="B19" s="1" t="s">
        <v>759</v>
      </c>
      <c r="C19" s="1"/>
      <c r="D19" s="1"/>
    </row>
    <row r="21" spans="1:4" ht="15">
      <c r="A21" s="90" t="s">
        <v>2014</v>
      </c>
      <c r="B21" s="91"/>
      <c r="C21" s="91"/>
      <c r="D21" s="91"/>
    </row>
    <row r="22" spans="1:4">
      <c r="A22" s="1" t="s">
        <v>1774</v>
      </c>
      <c r="B22" s="1" t="s">
        <v>2015</v>
      </c>
      <c r="C22" s="1"/>
      <c r="D22" s="1"/>
    </row>
    <row r="23" spans="1:4">
      <c r="A23" s="1" t="s">
        <v>2016</v>
      </c>
      <c r="B23" s="1">
        <v>185</v>
      </c>
      <c r="C23" s="1" t="s">
        <v>2017</v>
      </c>
      <c r="D23" s="1" t="s">
        <v>2018</v>
      </c>
    </row>
    <row r="24" spans="1:4" ht="28.5">
      <c r="A24" s="1" t="s">
        <v>2019</v>
      </c>
      <c r="B24" s="1" t="s">
        <v>2020</v>
      </c>
      <c r="C24" s="1"/>
      <c r="D24" s="1" t="s">
        <v>2021</v>
      </c>
    </row>
    <row r="25" spans="1:4">
      <c r="A25" s="1" t="s">
        <v>2022</v>
      </c>
      <c r="B25" s="38" t="s">
        <v>1762</v>
      </c>
      <c r="C25" s="1" t="s">
        <v>2023</v>
      </c>
      <c r="D25" s="1" t="s">
        <v>2024</v>
      </c>
    </row>
    <row r="26" spans="1:4">
      <c r="A26" s="1" t="s">
        <v>1775</v>
      </c>
      <c r="B26" s="1" t="s">
        <v>2025</v>
      </c>
      <c r="C26" s="1"/>
      <c r="D26" s="1"/>
    </row>
    <row r="27" spans="1:4">
      <c r="A27" s="1" t="s">
        <v>2026</v>
      </c>
      <c r="B27" s="1">
        <v>73</v>
      </c>
      <c r="C27" s="1"/>
      <c r="D27" s="1" t="s">
        <v>2027</v>
      </c>
    </row>
    <row r="28" spans="1:4">
      <c r="A28" s="1" t="s">
        <v>2028</v>
      </c>
      <c r="B28" s="1" t="s">
        <v>2029</v>
      </c>
      <c r="C28" s="1" t="s">
        <v>2030</v>
      </c>
      <c r="D28" s="1" t="s">
        <v>2031</v>
      </c>
    </row>
    <row r="29" spans="1:4" ht="28.5">
      <c r="A29" s="1" t="s">
        <v>2032</v>
      </c>
      <c r="B29" s="1" t="s">
        <v>1848</v>
      </c>
      <c r="C29" s="1"/>
      <c r="D29" s="1" t="s">
        <v>2466</v>
      </c>
    </row>
    <row r="30" spans="1:4" ht="28.5">
      <c r="A30" s="1" t="s">
        <v>2033</v>
      </c>
      <c r="B30" s="1" t="s">
        <v>2034</v>
      </c>
      <c r="C30" s="1"/>
      <c r="D30" s="1"/>
    </row>
    <row r="31" spans="1:4" ht="28.5">
      <c r="A31" s="1" t="s">
        <v>2035</v>
      </c>
      <c r="B31" s="1" t="s">
        <v>2036</v>
      </c>
      <c r="C31" s="1"/>
      <c r="D31" s="1"/>
    </row>
    <row r="32" spans="1:4" ht="28.5">
      <c r="A32" s="1" t="s">
        <v>463</v>
      </c>
      <c r="B32" s="1" t="s">
        <v>2037</v>
      </c>
      <c r="C32" s="1"/>
      <c r="D32" s="1" t="s">
        <v>2467</v>
      </c>
    </row>
    <row r="33" spans="1:4" ht="28.5">
      <c r="A33" s="1" t="s">
        <v>2038</v>
      </c>
      <c r="B33" s="1" t="s">
        <v>2039</v>
      </c>
      <c r="C33" s="1"/>
      <c r="D33" s="1" t="s">
        <v>2468</v>
      </c>
    </row>
    <row r="34" spans="1:4" ht="28.5">
      <c r="A34" s="1" t="s">
        <v>637</v>
      </c>
      <c r="B34" s="1" t="s">
        <v>2040</v>
      </c>
      <c r="C34" s="1"/>
      <c r="D34" s="1" t="s">
        <v>2041</v>
      </c>
    </row>
    <row r="35" spans="1:4">
      <c r="A35" s="1" t="s">
        <v>184</v>
      </c>
      <c r="B35" s="1" t="s">
        <v>2042</v>
      </c>
      <c r="C35" s="1"/>
      <c r="D35" s="1" t="s">
        <v>2043</v>
      </c>
    </row>
  </sheetData>
  <mergeCells count="1">
    <mergeCell ref="A21:D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5" t="s">
        <v>760</v>
      </c>
      <c r="B1" s="15"/>
      <c r="C1" s="15"/>
      <c r="D1" s="15"/>
      <c r="E1" s="15"/>
      <c r="F1" s="15"/>
      <c r="G1" s="15"/>
    </row>
    <row r="2" spans="1:7" ht="79.150000000000006" customHeight="1">
      <c r="A2" s="16" t="s">
        <v>761</v>
      </c>
      <c r="B2" s="16"/>
      <c r="C2" s="16"/>
      <c r="D2" s="16"/>
      <c r="E2" s="16"/>
      <c r="F2" s="16"/>
      <c r="G2" s="16"/>
    </row>
    <row r="3" spans="1:7" ht="15" customHeight="1"/>
    <row r="4" spans="1:7" ht="15" customHeight="1">
      <c r="A4" s="17" t="s">
        <v>172</v>
      </c>
      <c r="B4" s="17" t="s">
        <v>762</v>
      </c>
      <c r="C4" s="17" t="s">
        <v>763</v>
      </c>
      <c r="D4" s="17" t="s">
        <v>764</v>
      </c>
      <c r="E4" s="17" t="s">
        <v>765</v>
      </c>
      <c r="F4" s="17" t="s">
        <v>142</v>
      </c>
      <c r="G4" s="17" t="s">
        <v>575</v>
      </c>
    </row>
    <row r="5" spans="1:7" ht="15" customHeight="1">
      <c r="A5" s="2" t="s">
        <v>196</v>
      </c>
      <c r="B5" s="2" t="s">
        <v>549</v>
      </c>
      <c r="C5" s="2" t="s">
        <v>766</v>
      </c>
      <c r="D5" s="2" t="s">
        <v>767</v>
      </c>
      <c r="E5" s="2" t="s">
        <v>207</v>
      </c>
      <c r="F5" s="2" t="s">
        <v>768</v>
      </c>
      <c r="G5" s="2" t="s">
        <v>769</v>
      </c>
    </row>
    <row r="6" spans="1:7" ht="15" customHeight="1">
      <c r="A6" s="2" t="s">
        <v>254</v>
      </c>
      <c r="B6" s="2" t="s">
        <v>553</v>
      </c>
      <c r="C6" s="2" t="s">
        <v>770</v>
      </c>
      <c r="D6" s="2" t="s">
        <v>771</v>
      </c>
      <c r="E6" s="2" t="s">
        <v>410</v>
      </c>
      <c r="F6" s="2" t="s">
        <v>772</v>
      </c>
      <c r="G6" s="2" t="s">
        <v>773</v>
      </c>
    </row>
    <row r="7" spans="1:7" ht="15" customHeight="1">
      <c r="A7" s="2" t="s">
        <v>311</v>
      </c>
      <c r="B7" s="2" t="s">
        <v>558</v>
      </c>
      <c r="C7" s="2" t="s">
        <v>774</v>
      </c>
      <c r="D7" s="2" t="s">
        <v>775</v>
      </c>
      <c r="E7" s="2" t="s">
        <v>418</v>
      </c>
      <c r="F7" s="2" t="s">
        <v>776</v>
      </c>
      <c r="G7" s="2" t="s">
        <v>777</v>
      </c>
    </row>
    <row r="8" spans="1:7" ht="15" customHeight="1">
      <c r="A8" s="2" t="s">
        <v>616</v>
      </c>
      <c r="B8" s="2" t="s">
        <v>563</v>
      </c>
      <c r="C8" s="2" t="s">
        <v>778</v>
      </c>
      <c r="D8" s="2" t="s">
        <v>779</v>
      </c>
      <c r="E8" s="2" t="s">
        <v>497</v>
      </c>
      <c r="F8" s="2" t="s">
        <v>780</v>
      </c>
      <c r="G8" s="2" t="s">
        <v>781</v>
      </c>
    </row>
    <row r="9" spans="1:7" ht="15" customHeight="1">
      <c r="A9" s="2" t="s">
        <v>782</v>
      </c>
      <c r="B9" s="2" t="s">
        <v>783</v>
      </c>
      <c r="C9" s="2" t="s">
        <v>784</v>
      </c>
      <c r="D9" s="2" t="s">
        <v>785</v>
      </c>
      <c r="E9" s="2" t="s">
        <v>786</v>
      </c>
      <c r="F9" s="2" t="s">
        <v>522</v>
      </c>
      <c r="G9" s="2" t="s">
        <v>787</v>
      </c>
    </row>
    <row r="10" spans="1:7" ht="15" customHeight="1"/>
    <row r="11" spans="1:7" ht="15" customHeight="1">
      <c r="A11" s="17" t="s">
        <v>788</v>
      </c>
      <c r="B11" s="17" t="s">
        <v>789</v>
      </c>
      <c r="C11" s="17" t="s">
        <v>790</v>
      </c>
      <c r="D11" s="17" t="s">
        <v>791</v>
      </c>
      <c r="E11" s="17" t="s">
        <v>792</v>
      </c>
    </row>
    <row r="12" spans="1:7" ht="26.45" customHeight="1">
      <c r="A12" s="2" t="s">
        <v>793</v>
      </c>
      <c r="B12" s="2" t="s">
        <v>62</v>
      </c>
      <c r="C12" s="2" t="s">
        <v>794</v>
      </c>
      <c r="D12" s="2" t="s">
        <v>795</v>
      </c>
      <c r="E12" s="2" t="s">
        <v>796</v>
      </c>
    </row>
    <row r="13" spans="1:7" ht="15" customHeight="1">
      <c r="A13" s="2" t="s">
        <v>797</v>
      </c>
      <c r="B13" s="2" t="s">
        <v>71</v>
      </c>
      <c r="C13" s="2" t="s">
        <v>794</v>
      </c>
      <c r="D13" s="2" t="s">
        <v>798</v>
      </c>
      <c r="E13" s="2" t="s">
        <v>796</v>
      </c>
    </row>
    <row r="14" spans="1:7" ht="26.45" customHeight="1">
      <c r="A14" s="2" t="s">
        <v>799</v>
      </c>
      <c r="B14" s="2" t="s">
        <v>78</v>
      </c>
      <c r="C14" s="2" t="s">
        <v>800</v>
      </c>
      <c r="D14" s="2" t="s">
        <v>801</v>
      </c>
      <c r="E14" s="2" t="s">
        <v>212</v>
      </c>
    </row>
    <row r="15" spans="1:7" ht="26.45" customHeight="1">
      <c r="A15" s="2" t="s">
        <v>802</v>
      </c>
      <c r="B15" s="2" t="s">
        <v>86</v>
      </c>
      <c r="C15" s="2" t="s">
        <v>238</v>
      </c>
      <c r="D15" s="2" t="s">
        <v>803</v>
      </c>
      <c r="E15" s="2" t="s">
        <v>89</v>
      </c>
    </row>
    <row r="16" spans="1:7" ht="26.45" customHeight="1">
      <c r="A16" s="2" t="s">
        <v>804</v>
      </c>
      <c r="B16" s="2" t="s">
        <v>95</v>
      </c>
      <c r="C16" s="2" t="s">
        <v>794</v>
      </c>
      <c r="D16" s="2" t="s">
        <v>805</v>
      </c>
      <c r="E16" s="2" t="s">
        <v>806</v>
      </c>
    </row>
    <row r="17" spans="1:5" ht="26.45" customHeight="1">
      <c r="A17" s="2" t="s">
        <v>807</v>
      </c>
      <c r="B17" s="2" t="s">
        <v>102</v>
      </c>
      <c r="C17" s="2" t="s">
        <v>599</v>
      </c>
      <c r="D17" s="2" t="s">
        <v>808</v>
      </c>
      <c r="E17" s="2" t="s">
        <v>809</v>
      </c>
    </row>
    <row r="18" spans="1:5" ht="26.45" customHeight="1">
      <c r="A18" s="2" t="s">
        <v>810</v>
      </c>
      <c r="B18" s="2" t="s">
        <v>108</v>
      </c>
      <c r="C18" s="2" t="s">
        <v>579</v>
      </c>
      <c r="D18" s="2" t="s">
        <v>811</v>
      </c>
      <c r="E18" s="2" t="s">
        <v>812</v>
      </c>
    </row>
    <row r="19" spans="1:5" ht="26.45" customHeight="1">
      <c r="A19" s="2" t="s">
        <v>813</v>
      </c>
      <c r="B19" s="2" t="s">
        <v>115</v>
      </c>
      <c r="C19" s="2" t="s">
        <v>579</v>
      </c>
      <c r="D19" s="2" t="s">
        <v>814</v>
      </c>
      <c r="E19" s="2" t="s">
        <v>815</v>
      </c>
    </row>
    <row r="20" spans="1:5" ht="26.45" customHeight="1">
      <c r="A20" s="2" t="s">
        <v>816</v>
      </c>
      <c r="B20" s="2" t="s">
        <v>48</v>
      </c>
      <c r="C20" s="2" t="s">
        <v>579</v>
      </c>
      <c r="D20" s="2" t="s">
        <v>817</v>
      </c>
      <c r="E20" s="2" t="s">
        <v>818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92" t="s">
        <v>2432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1:20" ht="39.6" customHeight="1">
      <c r="A2" s="93" t="s">
        <v>2433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</row>
    <row r="3" spans="1:20" ht="15" customHeight="1"/>
    <row r="4" spans="1:20" ht="15" customHeight="1">
      <c r="A4" s="31" t="s">
        <v>388</v>
      </c>
      <c r="B4" s="31" t="s">
        <v>389</v>
      </c>
      <c r="C4" s="31" t="s">
        <v>819</v>
      </c>
      <c r="D4" s="31" t="s">
        <v>188</v>
      </c>
      <c r="E4" s="31" t="s">
        <v>626</v>
      </c>
      <c r="F4" s="31" t="s">
        <v>820</v>
      </c>
      <c r="G4" s="31" t="s">
        <v>142</v>
      </c>
      <c r="H4" s="31" t="s">
        <v>2434</v>
      </c>
      <c r="I4" s="31" t="s">
        <v>821</v>
      </c>
      <c r="J4" s="31" t="s">
        <v>463</v>
      </c>
      <c r="K4" s="2" t="s">
        <v>1773</v>
      </c>
      <c r="L4" s="2" t="s">
        <v>1774</v>
      </c>
      <c r="M4" s="2" t="s">
        <v>1775</v>
      </c>
      <c r="N4" s="2" t="s">
        <v>1776</v>
      </c>
      <c r="O4" s="2" t="s">
        <v>1777</v>
      </c>
      <c r="P4" s="2" t="s">
        <v>1778</v>
      </c>
      <c r="Q4" s="2" t="s">
        <v>1779</v>
      </c>
      <c r="R4" s="2" t="s">
        <v>1780</v>
      </c>
      <c r="S4" s="2" t="s">
        <v>1781</v>
      </c>
      <c r="T4" s="2" t="s">
        <v>1782</v>
      </c>
    </row>
    <row r="5" spans="1:20" ht="78" customHeight="1">
      <c r="A5" s="2" t="s">
        <v>290</v>
      </c>
      <c r="B5" s="2" t="s">
        <v>199</v>
      </c>
      <c r="C5" s="2" t="s">
        <v>44</v>
      </c>
      <c r="D5" s="2" t="s">
        <v>44</v>
      </c>
      <c r="E5" s="2" t="s">
        <v>1783</v>
      </c>
      <c r="F5" s="2" t="s">
        <v>44</v>
      </c>
      <c r="G5" s="2" t="s">
        <v>522</v>
      </c>
      <c r="H5" s="2" t="s">
        <v>522</v>
      </c>
      <c r="I5" s="2" t="s">
        <v>1785</v>
      </c>
      <c r="J5" s="2" t="s">
        <v>1786</v>
      </c>
      <c r="K5" s="2" t="s">
        <v>1787</v>
      </c>
      <c r="L5" s="2" t="s">
        <v>1788</v>
      </c>
      <c r="M5" s="2" t="s">
        <v>1789</v>
      </c>
      <c r="N5" s="33">
        <v>185</v>
      </c>
      <c r="O5" s="33">
        <v>73</v>
      </c>
      <c r="P5" s="33">
        <v>4</v>
      </c>
      <c r="Q5" s="33">
        <v>1</v>
      </c>
      <c r="R5" s="2" t="s">
        <v>1790</v>
      </c>
      <c r="S5" s="2" t="s">
        <v>1791</v>
      </c>
      <c r="T5" s="2" t="s">
        <v>1792</v>
      </c>
    </row>
    <row r="6" spans="1:20" ht="78" customHeight="1">
      <c r="A6" s="2" t="s">
        <v>233</v>
      </c>
      <c r="B6" s="2" t="s">
        <v>199</v>
      </c>
      <c r="C6" s="2" t="s">
        <v>44</v>
      </c>
      <c r="D6" s="2" t="s">
        <v>1793</v>
      </c>
      <c r="E6" s="2" t="s">
        <v>1794</v>
      </c>
      <c r="F6" s="2" t="s">
        <v>522</v>
      </c>
      <c r="G6" s="2" t="s">
        <v>522</v>
      </c>
      <c r="H6" s="2" t="s">
        <v>522</v>
      </c>
      <c r="I6" s="2" t="s">
        <v>95</v>
      </c>
      <c r="J6" s="2" t="s">
        <v>1795</v>
      </c>
      <c r="K6" s="2" t="s">
        <v>1796</v>
      </c>
      <c r="L6" s="2" t="s">
        <v>1797</v>
      </c>
      <c r="M6" s="2" t="s">
        <v>1798</v>
      </c>
      <c r="N6" s="33">
        <v>1</v>
      </c>
      <c r="O6" s="33">
        <v>0</v>
      </c>
      <c r="P6" s="33">
        <v>0</v>
      </c>
      <c r="Q6" s="33">
        <v>0</v>
      </c>
      <c r="R6" s="2" t="s">
        <v>1799</v>
      </c>
      <c r="S6" s="2" t="s">
        <v>1791</v>
      </c>
      <c r="T6" s="2" t="s">
        <v>1800</v>
      </c>
    </row>
    <row r="7" spans="1:20" ht="78" customHeight="1">
      <c r="A7" s="2" t="s">
        <v>198</v>
      </c>
      <c r="B7" s="2" t="s">
        <v>199</v>
      </c>
      <c r="C7" s="2" t="s">
        <v>44</v>
      </c>
      <c r="D7" s="2" t="s">
        <v>44</v>
      </c>
      <c r="E7" s="2" t="s">
        <v>648</v>
      </c>
      <c r="F7" s="2" t="s">
        <v>648</v>
      </c>
      <c r="G7" s="2" t="s">
        <v>522</v>
      </c>
      <c r="H7" s="2" t="s">
        <v>522</v>
      </c>
      <c r="I7" s="2" t="s">
        <v>373</v>
      </c>
      <c r="J7" s="2" t="s">
        <v>1801</v>
      </c>
      <c r="K7" s="2" t="s">
        <v>1802</v>
      </c>
      <c r="L7" s="2" t="s">
        <v>1803</v>
      </c>
      <c r="M7" s="2" t="s">
        <v>1804</v>
      </c>
      <c r="N7" s="33">
        <v>89</v>
      </c>
      <c r="O7" s="33">
        <v>18</v>
      </c>
      <c r="P7" s="33">
        <v>0</v>
      </c>
      <c r="Q7" s="33">
        <v>0</v>
      </c>
      <c r="R7" s="2" t="s">
        <v>1805</v>
      </c>
      <c r="S7" s="2" t="s">
        <v>1791</v>
      </c>
      <c r="T7" s="2" t="s">
        <v>1806</v>
      </c>
    </row>
    <row r="8" spans="1:20" ht="78" customHeight="1">
      <c r="A8" s="2" t="s">
        <v>239</v>
      </c>
      <c r="B8" s="2" t="s">
        <v>199</v>
      </c>
      <c r="C8" s="2" t="s">
        <v>44</v>
      </c>
      <c r="D8" s="2" t="s">
        <v>44</v>
      </c>
      <c r="E8" s="2" t="s">
        <v>648</v>
      </c>
      <c r="F8" s="2" t="s">
        <v>648</v>
      </c>
      <c r="G8" s="2" t="s">
        <v>522</v>
      </c>
      <c r="H8" s="2" t="s">
        <v>522</v>
      </c>
      <c r="I8" s="2" t="s">
        <v>1807</v>
      </c>
      <c r="J8" s="2" t="s">
        <v>1808</v>
      </c>
      <c r="K8" s="2" t="s">
        <v>1809</v>
      </c>
      <c r="L8" s="2" t="s">
        <v>1810</v>
      </c>
      <c r="M8" s="2" t="s">
        <v>1811</v>
      </c>
      <c r="N8" s="33">
        <v>113</v>
      </c>
      <c r="O8" s="33">
        <v>24</v>
      </c>
      <c r="P8" s="33">
        <v>0</v>
      </c>
      <c r="Q8" s="33">
        <v>0</v>
      </c>
      <c r="R8" s="2" t="s">
        <v>1812</v>
      </c>
      <c r="S8" s="2" t="s">
        <v>1791</v>
      </c>
      <c r="T8" s="2" t="s">
        <v>1813</v>
      </c>
    </row>
    <row r="9" spans="1:20" ht="78" customHeight="1">
      <c r="A9" s="2" t="s">
        <v>415</v>
      </c>
      <c r="B9" s="2" t="s">
        <v>199</v>
      </c>
      <c r="C9" s="2" t="s">
        <v>44</v>
      </c>
      <c r="D9" s="2" t="s">
        <v>1814</v>
      </c>
      <c r="E9" s="2" t="s">
        <v>1815</v>
      </c>
      <c r="F9" s="2" t="s">
        <v>522</v>
      </c>
      <c r="G9" s="2" t="s">
        <v>522</v>
      </c>
      <c r="H9" s="2" t="s">
        <v>522</v>
      </c>
      <c r="I9" s="2" t="s">
        <v>1816</v>
      </c>
      <c r="J9" s="2" t="s">
        <v>1817</v>
      </c>
      <c r="K9" s="2" t="s">
        <v>1818</v>
      </c>
      <c r="L9" s="2" t="s">
        <v>1819</v>
      </c>
      <c r="M9" s="2" t="s">
        <v>1820</v>
      </c>
      <c r="N9" s="33">
        <v>0</v>
      </c>
      <c r="O9" s="33">
        <v>0</v>
      </c>
      <c r="P9" s="33">
        <v>0</v>
      </c>
      <c r="Q9" s="33">
        <v>0</v>
      </c>
      <c r="R9" s="2" t="s">
        <v>1821</v>
      </c>
      <c r="S9" s="2" t="s">
        <v>1822</v>
      </c>
      <c r="T9" s="2" t="s">
        <v>1823</v>
      </c>
    </row>
    <row r="10" spans="1:20" ht="78" customHeight="1">
      <c r="A10" s="2" t="s">
        <v>424</v>
      </c>
      <c r="B10" s="2" t="s">
        <v>199</v>
      </c>
      <c r="C10" s="2" t="s">
        <v>44</v>
      </c>
      <c r="D10" s="2" t="s">
        <v>1824</v>
      </c>
      <c r="E10" s="2" t="s">
        <v>648</v>
      </c>
      <c r="F10" s="2" t="s">
        <v>648</v>
      </c>
      <c r="G10" s="2" t="s">
        <v>522</v>
      </c>
      <c r="H10" s="2" t="s">
        <v>2435</v>
      </c>
      <c r="I10" s="2" t="s">
        <v>428</v>
      </c>
      <c r="J10" s="2" t="s">
        <v>2436</v>
      </c>
      <c r="K10" s="2" t="s">
        <v>1825</v>
      </c>
      <c r="L10" s="2" t="s">
        <v>1826</v>
      </c>
      <c r="M10" s="2" t="s">
        <v>1827</v>
      </c>
      <c r="N10" s="33">
        <v>128</v>
      </c>
      <c r="O10" s="33">
        <v>12</v>
      </c>
      <c r="P10" s="33">
        <v>0</v>
      </c>
      <c r="Q10" s="33">
        <v>0</v>
      </c>
      <c r="R10" s="2" t="s">
        <v>1828</v>
      </c>
      <c r="S10" s="2" t="s">
        <v>1791</v>
      </c>
      <c r="T10" s="2" t="s">
        <v>2437</v>
      </c>
    </row>
    <row r="11" spans="1:20" ht="42" customHeight="1">
      <c r="A11" s="2" t="s">
        <v>1829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3">
        <f>SUM(N5:N10)</f>
        <v>516</v>
      </c>
      <c r="O11" s="33">
        <f>SUM(O5:O10)</f>
        <v>127</v>
      </c>
      <c r="P11" s="33">
        <f>SUM(P5:P10)</f>
        <v>4</v>
      </c>
      <c r="Q11" s="33">
        <f>SUM(Q5:Q10)</f>
        <v>1</v>
      </c>
      <c r="R11" s="2" t="s">
        <v>1830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2438</v>
      </c>
    </row>
    <row r="12" spans="1:20" ht="33.950000000000003" customHeight="1">
      <c r="A12" s="94" t="s">
        <v>2439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</row>
    <row r="13" spans="1:20" ht="62.1" customHeight="1">
      <c r="A13" s="2" t="s">
        <v>255</v>
      </c>
      <c r="B13" s="2" t="s">
        <v>2440</v>
      </c>
      <c r="C13" s="2" t="s">
        <v>522</v>
      </c>
      <c r="D13" s="2" t="s">
        <v>2441</v>
      </c>
      <c r="E13" s="2" t="s">
        <v>2442</v>
      </c>
      <c r="F13" s="2" t="s">
        <v>522</v>
      </c>
      <c r="G13" s="2" t="s">
        <v>522</v>
      </c>
      <c r="H13" s="2" t="s">
        <v>522</v>
      </c>
      <c r="I13" s="2" t="s">
        <v>2443</v>
      </c>
      <c r="J13" s="2" t="s">
        <v>2444</v>
      </c>
      <c r="K13" s="2" t="s">
        <v>2445</v>
      </c>
      <c r="L13" s="2"/>
      <c r="M13" s="2"/>
      <c r="N13" s="33"/>
      <c r="O13" s="33"/>
      <c r="P13" s="33"/>
      <c r="Q13" s="33"/>
      <c r="R13" s="2"/>
      <c r="S13" s="2" t="s">
        <v>1864</v>
      </c>
      <c r="T13" s="2" t="s">
        <v>2446</v>
      </c>
    </row>
    <row r="14" spans="1:20" ht="62.1" customHeight="1">
      <c r="A14" s="2" t="s">
        <v>438</v>
      </c>
      <c r="B14" s="2" t="s">
        <v>615</v>
      </c>
      <c r="C14" s="2" t="s">
        <v>823</v>
      </c>
      <c r="D14" s="2" t="s">
        <v>2447</v>
      </c>
      <c r="E14" s="2" t="s">
        <v>2447</v>
      </c>
      <c r="F14" s="2" t="s">
        <v>441</v>
      </c>
      <c r="G14" s="2" t="s">
        <v>522</v>
      </c>
      <c r="H14" s="2" t="s">
        <v>522</v>
      </c>
      <c r="I14" s="2" t="s">
        <v>823</v>
      </c>
      <c r="J14" s="2" t="s">
        <v>2448</v>
      </c>
      <c r="K14" s="2" t="s">
        <v>2449</v>
      </c>
      <c r="L14" s="2"/>
      <c r="M14" s="2"/>
      <c r="N14" s="33"/>
      <c r="O14" s="33"/>
      <c r="P14" s="33"/>
      <c r="Q14" s="33"/>
      <c r="R14" s="2"/>
      <c r="S14" s="2" t="s">
        <v>1863</v>
      </c>
      <c r="T14" s="2" t="s">
        <v>2450</v>
      </c>
    </row>
    <row r="15" spans="1:20" ht="62.1" customHeight="1">
      <c r="A15" s="2" t="s">
        <v>824</v>
      </c>
      <c r="B15" s="2" t="s">
        <v>615</v>
      </c>
      <c r="C15" s="2" t="s">
        <v>823</v>
      </c>
      <c r="D15" s="2" t="s">
        <v>2447</v>
      </c>
      <c r="E15" s="2" t="s">
        <v>2447</v>
      </c>
      <c r="F15" s="2" t="s">
        <v>2451</v>
      </c>
      <c r="G15" s="2" t="s">
        <v>44</v>
      </c>
      <c r="H15" s="2" t="s">
        <v>522</v>
      </c>
      <c r="I15" s="2" t="s">
        <v>823</v>
      </c>
      <c r="J15" s="2" t="s">
        <v>2452</v>
      </c>
      <c r="K15" s="2" t="s">
        <v>2449</v>
      </c>
      <c r="L15" s="2"/>
      <c r="M15" s="2"/>
      <c r="N15" s="33"/>
      <c r="O15" s="33"/>
      <c r="P15" s="33"/>
      <c r="Q15" s="33"/>
      <c r="R15" s="2"/>
      <c r="S15" s="2" t="s">
        <v>1863</v>
      </c>
      <c r="T15" s="2" t="s">
        <v>2453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5" t="s">
        <v>825</v>
      </c>
      <c r="B1" s="15"/>
      <c r="C1" s="15"/>
      <c r="D1" s="15"/>
      <c r="E1" s="15"/>
    </row>
    <row r="2" spans="1:5" ht="52.7" customHeight="1">
      <c r="A2" s="16" t="s">
        <v>826</v>
      </c>
      <c r="B2" s="16"/>
      <c r="C2" s="16"/>
      <c r="D2" s="16"/>
      <c r="E2" s="16"/>
    </row>
    <row r="3" spans="1:5" ht="15" customHeight="1"/>
    <row r="4" spans="1:5" ht="15" customHeight="1">
      <c r="A4" s="17" t="s">
        <v>827</v>
      </c>
      <c r="B4" s="17" t="s">
        <v>828</v>
      </c>
      <c r="C4" s="17" t="s">
        <v>829</v>
      </c>
      <c r="D4" s="17" t="s">
        <v>58</v>
      </c>
      <c r="E4" s="17" t="s">
        <v>830</v>
      </c>
    </row>
    <row r="5" spans="1:5" ht="26.45" customHeight="1">
      <c r="A5" s="2" t="s">
        <v>831</v>
      </c>
      <c r="B5" s="2" t="s">
        <v>832</v>
      </c>
      <c r="C5" s="2" t="s">
        <v>833</v>
      </c>
      <c r="D5" s="2" t="s">
        <v>834</v>
      </c>
      <c r="E5" s="2" t="s">
        <v>835</v>
      </c>
    </row>
    <row r="6" spans="1:5" ht="15" customHeight="1">
      <c r="A6" s="2" t="s">
        <v>836</v>
      </c>
      <c r="B6" s="2" t="s">
        <v>837</v>
      </c>
      <c r="C6" s="2" t="s">
        <v>838</v>
      </c>
      <c r="D6" s="2" t="s">
        <v>839</v>
      </c>
      <c r="E6" s="2" t="s">
        <v>840</v>
      </c>
    </row>
    <row r="7" spans="1:5" ht="26.45" customHeight="1">
      <c r="A7" s="2" t="s">
        <v>841</v>
      </c>
      <c r="B7" s="2" t="s">
        <v>842</v>
      </c>
      <c r="C7" s="2" t="s">
        <v>843</v>
      </c>
      <c r="D7" s="2" t="s">
        <v>844</v>
      </c>
      <c r="E7" s="2" t="s">
        <v>845</v>
      </c>
    </row>
    <row r="8" spans="1:5" ht="15" customHeight="1">
      <c r="A8" s="2" t="s">
        <v>846</v>
      </c>
      <c r="B8" s="2" t="s">
        <v>847</v>
      </c>
      <c r="C8" s="2" t="s">
        <v>848</v>
      </c>
      <c r="D8" s="2" t="s">
        <v>849</v>
      </c>
      <c r="E8" s="2" t="s">
        <v>850</v>
      </c>
    </row>
    <row r="9" spans="1:5" ht="26.45" customHeight="1">
      <c r="A9" s="2" t="s">
        <v>851</v>
      </c>
      <c r="B9" s="2" t="s">
        <v>852</v>
      </c>
      <c r="C9" s="2" t="s">
        <v>853</v>
      </c>
      <c r="D9" s="2" t="s">
        <v>854</v>
      </c>
      <c r="E9" s="2" t="s">
        <v>855</v>
      </c>
    </row>
    <row r="10" spans="1:5" ht="26.45" customHeight="1">
      <c r="A10" s="2" t="s">
        <v>856</v>
      </c>
      <c r="B10" s="2" t="s">
        <v>857</v>
      </c>
      <c r="C10" s="2" t="s">
        <v>858</v>
      </c>
      <c r="D10" s="2" t="s">
        <v>859</v>
      </c>
      <c r="E10" s="2" t="s">
        <v>860</v>
      </c>
    </row>
    <row r="11" spans="1:5" ht="26.45" customHeight="1">
      <c r="A11" s="2" t="s">
        <v>861</v>
      </c>
      <c r="B11" s="2" t="s">
        <v>862</v>
      </c>
      <c r="C11" s="2" t="s">
        <v>863</v>
      </c>
      <c r="D11" s="2" t="s">
        <v>864</v>
      </c>
      <c r="E11" s="2" t="s">
        <v>865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5" t="s">
        <v>866</v>
      </c>
      <c r="B1" s="15"/>
      <c r="C1" s="15"/>
      <c r="D1" s="15"/>
    </row>
    <row r="2" spans="1:4" ht="66" customHeight="1">
      <c r="A2" s="16" t="s">
        <v>867</v>
      </c>
      <c r="B2" s="16"/>
      <c r="C2" s="16"/>
      <c r="D2" s="16"/>
    </row>
    <row r="3" spans="1:4" ht="15" customHeight="1"/>
    <row r="4" spans="1:4" ht="15" customHeight="1">
      <c r="A4" s="17" t="s">
        <v>868</v>
      </c>
      <c r="B4" s="17" t="s">
        <v>869</v>
      </c>
      <c r="C4" s="17" t="s">
        <v>870</v>
      </c>
      <c r="D4" s="17" t="s">
        <v>33</v>
      </c>
    </row>
    <row r="5" spans="1:4" ht="26.45" customHeight="1">
      <c r="A5" s="2" t="s">
        <v>871</v>
      </c>
      <c r="B5" s="2" t="s">
        <v>872</v>
      </c>
      <c r="C5" s="2" t="s">
        <v>873</v>
      </c>
      <c r="D5" s="2" t="s">
        <v>874</v>
      </c>
    </row>
    <row r="6" spans="1:4" ht="26.45" customHeight="1">
      <c r="A6" s="2" t="s">
        <v>875</v>
      </c>
      <c r="B6" s="2" t="s">
        <v>876</v>
      </c>
      <c r="C6" s="2" t="s">
        <v>2044</v>
      </c>
      <c r="D6" s="2" t="s">
        <v>2045</v>
      </c>
    </row>
    <row r="7" spans="1:4" ht="26.45" customHeight="1">
      <c r="A7" s="2" t="s">
        <v>877</v>
      </c>
      <c r="B7" s="2" t="s">
        <v>878</v>
      </c>
      <c r="C7" s="2" t="s">
        <v>879</v>
      </c>
      <c r="D7" s="2" t="s">
        <v>880</v>
      </c>
    </row>
    <row r="8" spans="1:4" ht="15" customHeight="1">
      <c r="A8" s="2" t="s">
        <v>881</v>
      </c>
      <c r="B8" s="2" t="s">
        <v>605</v>
      </c>
      <c r="C8" s="2" t="s">
        <v>882</v>
      </c>
      <c r="D8" s="2" t="s">
        <v>883</v>
      </c>
    </row>
    <row r="9" spans="1:4" ht="26.45" customHeight="1">
      <c r="A9" s="2" t="s">
        <v>884</v>
      </c>
      <c r="B9" s="2" t="s">
        <v>885</v>
      </c>
      <c r="C9" s="2" t="s">
        <v>886</v>
      </c>
      <c r="D9" s="2" t="s">
        <v>887</v>
      </c>
    </row>
    <row r="10" spans="1:4" ht="15" customHeight="1">
      <c r="A10" s="2" t="s">
        <v>888</v>
      </c>
      <c r="B10" s="2" t="s">
        <v>889</v>
      </c>
      <c r="C10" s="2" t="s">
        <v>890</v>
      </c>
      <c r="D10" s="2" t="s">
        <v>891</v>
      </c>
    </row>
    <row r="11" spans="1:4" ht="15" customHeight="1">
      <c r="A11" s="2" t="s">
        <v>892</v>
      </c>
      <c r="B11" s="2" t="s">
        <v>893</v>
      </c>
      <c r="C11" s="2" t="s">
        <v>894</v>
      </c>
      <c r="D11" s="2" t="s">
        <v>895</v>
      </c>
    </row>
    <row r="12" spans="1:4" ht="15" customHeight="1">
      <c r="A12" s="2" t="s">
        <v>896</v>
      </c>
      <c r="B12" s="2" t="s">
        <v>897</v>
      </c>
      <c r="C12" s="2" t="s">
        <v>898</v>
      </c>
      <c r="D12" s="2" t="s">
        <v>899</v>
      </c>
    </row>
    <row r="13" spans="1:4" ht="15" customHeight="1">
      <c r="A13" s="2" t="s">
        <v>900</v>
      </c>
      <c r="B13" s="2" t="s">
        <v>695</v>
      </c>
      <c r="C13" s="2" t="s">
        <v>901</v>
      </c>
      <c r="D13" s="2" t="s">
        <v>902</v>
      </c>
    </row>
    <row r="14" spans="1:4" ht="15" customHeight="1">
      <c r="A14" s="2" t="s">
        <v>903</v>
      </c>
      <c r="B14" s="2" t="s">
        <v>904</v>
      </c>
      <c r="C14" s="2" t="s">
        <v>905</v>
      </c>
      <c r="D14" s="2" t="s">
        <v>906</v>
      </c>
    </row>
    <row r="15" spans="1:4" ht="15" customHeight="1">
      <c r="A15" s="2" t="s">
        <v>2046</v>
      </c>
      <c r="B15" s="2" t="s">
        <v>1998</v>
      </c>
      <c r="C15" s="2" t="s">
        <v>2047</v>
      </c>
      <c r="D15" s="2" t="s">
        <v>2048</v>
      </c>
    </row>
    <row r="16" spans="1:4" ht="15" customHeight="1">
      <c r="A16" s="2" t="s">
        <v>2049</v>
      </c>
      <c r="B16" s="2" t="s">
        <v>2050</v>
      </c>
      <c r="C16" s="2" t="s">
        <v>2051</v>
      </c>
      <c r="D16" s="2" t="s">
        <v>2052</v>
      </c>
    </row>
    <row r="17" spans="1:4" ht="15" customHeight="1">
      <c r="A17" s="2" t="s">
        <v>2053</v>
      </c>
      <c r="B17" s="2" t="s">
        <v>1982</v>
      </c>
      <c r="C17" s="2" t="s">
        <v>2054</v>
      </c>
      <c r="D17" s="2" t="s">
        <v>2055</v>
      </c>
    </row>
    <row r="18" spans="1:4" ht="15" customHeight="1">
      <c r="A18" s="2" t="s">
        <v>2056</v>
      </c>
      <c r="B18" s="2" t="s">
        <v>2057</v>
      </c>
      <c r="C18" s="2" t="s">
        <v>2058</v>
      </c>
      <c r="D18" s="2" t="s">
        <v>2059</v>
      </c>
    </row>
    <row r="19" spans="1:4" ht="15" customHeight="1">
      <c r="A19" s="2" t="s">
        <v>2060</v>
      </c>
      <c r="B19" s="2" t="s">
        <v>2061</v>
      </c>
      <c r="C19" s="2" t="s">
        <v>2469</v>
      </c>
      <c r="D19" s="2" t="s">
        <v>2470</v>
      </c>
    </row>
    <row r="20" spans="1:4" ht="45.95" customHeight="1">
      <c r="A20" s="2" t="s">
        <v>2645</v>
      </c>
      <c r="B20" s="2" t="s">
        <v>2646</v>
      </c>
      <c r="C20" s="2" t="s">
        <v>2647</v>
      </c>
      <c r="D20" s="2" t="s">
        <v>2654</v>
      </c>
    </row>
    <row r="21" spans="1:4" ht="45.95" customHeight="1">
      <c r="A21" s="2" t="s">
        <v>2648</v>
      </c>
      <c r="B21" s="2" t="s">
        <v>2649</v>
      </c>
      <c r="C21" s="2" t="s">
        <v>2650</v>
      </c>
      <c r="D21" s="2" t="s">
        <v>2651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6"/>
  <sheetViews>
    <sheetView showGridLines="0" workbookViewId="0">
      <pane ySplit="4" topLeftCell="A5" activePane="bottomLeft" state="frozenSplit"/>
      <selection pane="bottomLeft" activeCell="A16" sqref="A16:B16"/>
    </sheetView>
  </sheetViews>
  <sheetFormatPr baseColWidth="10" defaultRowHeight="12.75"/>
  <cols>
    <col min="1" max="1" width="18.625" style="18" customWidth="1"/>
    <col min="2" max="2" width="12.625" style="18" customWidth="1"/>
    <col min="3" max="16384" width="11" style="18"/>
  </cols>
  <sheetData>
    <row r="1" spans="1:2" ht="27.95" customHeight="1">
      <c r="A1" s="20" t="s">
        <v>907</v>
      </c>
    </row>
    <row r="2" spans="1:2" ht="36" customHeight="1">
      <c r="A2" s="21" t="s">
        <v>2586</v>
      </c>
    </row>
    <row r="4" spans="1:2">
      <c r="A4" s="22" t="s">
        <v>908</v>
      </c>
      <c r="B4" s="22" t="s">
        <v>909</v>
      </c>
    </row>
    <row r="5" spans="1:2">
      <c r="A5" s="23" t="s">
        <v>513</v>
      </c>
      <c r="B5" s="23" t="s">
        <v>910</v>
      </c>
    </row>
    <row r="6" spans="1:2">
      <c r="A6" s="23" t="s">
        <v>1770</v>
      </c>
      <c r="B6" s="23" t="s">
        <v>2587</v>
      </c>
    </row>
    <row r="7" spans="1:2">
      <c r="A7" s="23" t="s">
        <v>911</v>
      </c>
      <c r="B7" s="23" t="s">
        <v>912</v>
      </c>
    </row>
    <row r="8" spans="1:2">
      <c r="A8" s="23" t="s">
        <v>913</v>
      </c>
      <c r="B8" s="23" t="s">
        <v>914</v>
      </c>
    </row>
    <row r="9" spans="1:2">
      <c r="A9" s="23" t="s">
        <v>915</v>
      </c>
      <c r="B9" s="23" t="s">
        <v>2588</v>
      </c>
    </row>
    <row r="10" spans="1:2">
      <c r="A10" s="23" t="s">
        <v>916</v>
      </c>
      <c r="B10" s="23" t="s">
        <v>917</v>
      </c>
    </row>
    <row r="11" spans="1:2">
      <c r="A11" s="23" t="s">
        <v>918</v>
      </c>
      <c r="B11" s="23" t="s">
        <v>919</v>
      </c>
    </row>
    <row r="12" spans="1:2">
      <c r="A12" s="23" t="s">
        <v>920</v>
      </c>
      <c r="B12" s="23" t="s">
        <v>921</v>
      </c>
    </row>
    <row r="13" spans="1:2">
      <c r="A13" s="23" t="s">
        <v>922</v>
      </c>
      <c r="B13" s="23" t="s">
        <v>2474</v>
      </c>
    </row>
    <row r="14" spans="1:2" ht="76.5">
      <c r="A14" s="30" t="s">
        <v>1771</v>
      </c>
      <c r="B14" s="30" t="s">
        <v>1772</v>
      </c>
    </row>
    <row r="15" spans="1:2" ht="44.1" customHeight="1">
      <c r="A15" s="30" t="s">
        <v>2589</v>
      </c>
      <c r="B15" s="30" t="s">
        <v>2590</v>
      </c>
    </row>
    <row r="16" spans="1:2" ht="44.1" customHeight="1">
      <c r="A16" s="30" t="s">
        <v>2591</v>
      </c>
      <c r="B16" s="30" t="s">
        <v>2592</v>
      </c>
    </row>
  </sheetData>
  <autoFilter ref="A4:B15" xr:uid="{0DA0094A-CA41-4AB2-A08D-B553716A0FE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37"/>
  <sheetViews>
    <sheetView showGridLines="0" workbookViewId="0">
      <pane ySplit="4" topLeftCell="A5" activePane="bottomLeft" state="frozenSplit"/>
      <selection pane="bottomLeft" activeCell="A34" sqref="A34:C37"/>
    </sheetView>
  </sheetViews>
  <sheetFormatPr baseColWidth="10" defaultRowHeight="12.75"/>
  <cols>
    <col min="1" max="1" width="37.625" style="18" customWidth="1"/>
    <col min="2" max="2" width="18.625" style="18" customWidth="1"/>
    <col min="3" max="3" width="66.625" style="18" customWidth="1"/>
    <col min="4" max="16384" width="11" style="18"/>
  </cols>
  <sheetData>
    <row r="1" spans="1:3" ht="32.1" customHeight="1">
      <c r="A1" s="20" t="s">
        <v>923</v>
      </c>
    </row>
    <row r="2" spans="1:3" ht="36" customHeight="1">
      <c r="A2" s="21" t="s">
        <v>924</v>
      </c>
    </row>
    <row r="4" spans="1:3">
      <c r="A4" s="22" t="s">
        <v>31</v>
      </c>
      <c r="B4" s="22" t="s">
        <v>909</v>
      </c>
      <c r="C4" s="22" t="s">
        <v>925</v>
      </c>
    </row>
    <row r="5" spans="1:3">
      <c r="A5" s="23" t="s">
        <v>926</v>
      </c>
      <c r="B5" s="23">
        <v>9</v>
      </c>
      <c r="C5" s="23" t="s">
        <v>373</v>
      </c>
    </row>
    <row r="6" spans="1:3">
      <c r="A6" s="23" t="s">
        <v>927</v>
      </c>
      <c r="B6" s="23">
        <v>9</v>
      </c>
      <c r="C6" s="23" t="s">
        <v>928</v>
      </c>
    </row>
    <row r="7" spans="1:3">
      <c r="A7" s="23" t="s">
        <v>929</v>
      </c>
      <c r="B7" s="23">
        <v>9</v>
      </c>
      <c r="C7" s="23"/>
    </row>
    <row r="8" spans="1:3">
      <c r="A8" s="23" t="s">
        <v>930</v>
      </c>
      <c r="B8" s="23">
        <v>0</v>
      </c>
      <c r="C8" s="23"/>
    </row>
    <row r="9" spans="1:3">
      <c r="A9" s="23" t="s">
        <v>931</v>
      </c>
      <c r="B9" s="23">
        <v>0</v>
      </c>
      <c r="C9" s="23"/>
    </row>
    <row r="10" spans="1:3">
      <c r="A10" s="23" t="s">
        <v>932</v>
      </c>
      <c r="B10" s="23">
        <v>10</v>
      </c>
      <c r="C10" s="23" t="s">
        <v>933</v>
      </c>
    </row>
    <row r="11" spans="1:3">
      <c r="A11" s="23" t="s">
        <v>934</v>
      </c>
      <c r="B11" s="23">
        <v>10</v>
      </c>
      <c r="C11" s="23"/>
    </row>
    <row r="12" spans="1:3">
      <c r="A12" s="23" t="s">
        <v>935</v>
      </c>
      <c r="B12" s="23">
        <v>0</v>
      </c>
      <c r="C12" s="23"/>
    </row>
    <row r="13" spans="1:3">
      <c r="A13" s="23" t="s">
        <v>936</v>
      </c>
      <c r="B13" s="23">
        <v>0</v>
      </c>
      <c r="C13" s="23"/>
    </row>
    <row r="14" spans="1:3">
      <c r="A14" s="23" t="s">
        <v>937</v>
      </c>
      <c r="B14" s="23">
        <v>0</v>
      </c>
      <c r="C14" s="23"/>
    </row>
    <row r="15" spans="1:3">
      <c r="A15" s="23" t="s">
        <v>938</v>
      </c>
      <c r="B15" s="23">
        <v>379</v>
      </c>
      <c r="C15" s="23" t="s">
        <v>939</v>
      </c>
    </row>
    <row r="16" spans="1:3">
      <c r="A16" s="23" t="s">
        <v>940</v>
      </c>
      <c r="B16" s="23">
        <v>19</v>
      </c>
      <c r="C16" s="23"/>
    </row>
    <row r="17" spans="1:3">
      <c r="A17" s="23" t="s">
        <v>941</v>
      </c>
      <c r="B17" s="23">
        <v>118</v>
      </c>
      <c r="C17" s="23"/>
    </row>
    <row r="18" spans="1:3">
      <c r="A18" s="23" t="s">
        <v>942</v>
      </c>
      <c r="B18" s="23">
        <v>109</v>
      </c>
      <c r="C18" s="23"/>
    </row>
    <row r="19" spans="1:3">
      <c r="A19" s="23" t="s">
        <v>943</v>
      </c>
      <c r="B19" s="23">
        <v>133</v>
      </c>
      <c r="C19" s="23"/>
    </row>
    <row r="20" spans="1:3">
      <c r="A20" s="23" t="s">
        <v>944</v>
      </c>
      <c r="B20" s="23">
        <v>0</v>
      </c>
      <c r="C20" s="23" t="s">
        <v>945</v>
      </c>
    </row>
    <row r="21" spans="1:3">
      <c r="A21" s="36" t="s">
        <v>2570</v>
      </c>
      <c r="B21" s="36">
        <v>58</v>
      </c>
      <c r="C21" s="36" t="s">
        <v>2571</v>
      </c>
    </row>
    <row r="22" spans="1:3">
      <c r="A22" s="36" t="s">
        <v>2572</v>
      </c>
      <c r="B22" s="36">
        <v>110</v>
      </c>
      <c r="C22" s="36" t="s">
        <v>2573</v>
      </c>
    </row>
    <row r="23" spans="1:3">
      <c r="A23" s="36" t="s">
        <v>2574</v>
      </c>
      <c r="B23" s="36">
        <v>56</v>
      </c>
      <c r="C23" s="36" t="s">
        <v>2575</v>
      </c>
    </row>
    <row r="24" spans="1:3">
      <c r="A24" s="36" t="s">
        <v>946</v>
      </c>
      <c r="B24" s="36">
        <v>1</v>
      </c>
      <c r="C24" s="36" t="s">
        <v>947</v>
      </c>
    </row>
    <row r="25" spans="1:3">
      <c r="A25" s="36" t="s">
        <v>1743</v>
      </c>
      <c r="B25" s="36">
        <v>6</v>
      </c>
      <c r="C25" s="36" t="s">
        <v>1972</v>
      </c>
    </row>
    <row r="26" spans="1:3">
      <c r="A26" s="36" t="s">
        <v>1973</v>
      </c>
      <c r="B26" s="36">
        <v>5</v>
      </c>
      <c r="C26" s="36" t="s">
        <v>1974</v>
      </c>
    </row>
    <row r="27" spans="1:3">
      <c r="A27" s="36" t="s">
        <v>1975</v>
      </c>
      <c r="B27" s="36">
        <v>1</v>
      </c>
      <c r="C27" s="36" t="s">
        <v>1976</v>
      </c>
    </row>
    <row r="28" spans="1:3">
      <c r="A28" s="36" t="s">
        <v>1751</v>
      </c>
      <c r="B28" s="36">
        <v>516</v>
      </c>
      <c r="C28" s="36" t="s">
        <v>1977</v>
      </c>
    </row>
    <row r="29" spans="1:3">
      <c r="A29" s="36" t="s">
        <v>1753</v>
      </c>
      <c r="B29" s="36">
        <v>127</v>
      </c>
      <c r="C29" s="36" t="s">
        <v>1978</v>
      </c>
    </row>
    <row r="30" spans="1:3">
      <c r="A30" s="36" t="s">
        <v>1979</v>
      </c>
      <c r="B30" s="36">
        <v>3</v>
      </c>
      <c r="C30" s="36" t="s">
        <v>1980</v>
      </c>
    </row>
    <row r="31" spans="1:3">
      <c r="A31" s="36" t="s">
        <v>1755</v>
      </c>
      <c r="B31" s="36">
        <v>4</v>
      </c>
      <c r="C31" s="36" t="s">
        <v>1981</v>
      </c>
    </row>
    <row r="32" spans="1:3" ht="25.5">
      <c r="A32" s="36" t="s">
        <v>1982</v>
      </c>
      <c r="B32" s="36">
        <v>3</v>
      </c>
      <c r="C32" s="36" t="s">
        <v>2454</v>
      </c>
    </row>
    <row r="33" spans="1:3" ht="25.5">
      <c r="A33" s="36" t="s">
        <v>1983</v>
      </c>
      <c r="B33" s="36" t="s">
        <v>1984</v>
      </c>
      <c r="C33" s="36" t="s">
        <v>2455</v>
      </c>
    </row>
    <row r="34" spans="1:3" ht="42" customHeight="1">
      <c r="A34" s="36" t="s">
        <v>2576</v>
      </c>
      <c r="B34" s="36">
        <f>GRAFICAS!$G$63</f>
        <v>3</v>
      </c>
      <c r="C34" s="36" t="s">
        <v>2577</v>
      </c>
    </row>
    <row r="35" spans="1:3" ht="42" customHeight="1">
      <c r="A35" s="36" t="s">
        <v>2578</v>
      </c>
      <c r="B35" s="36">
        <f>GRAFICAS!$G$64</f>
        <v>4</v>
      </c>
      <c r="C35" s="36" t="s">
        <v>2579</v>
      </c>
    </row>
    <row r="36" spans="1:3" ht="42" customHeight="1">
      <c r="A36" s="36" t="s">
        <v>2580</v>
      </c>
      <c r="B36" s="36" t="s">
        <v>2581</v>
      </c>
      <c r="C36" s="36" t="s">
        <v>2582</v>
      </c>
    </row>
    <row r="37" spans="1:3" ht="42" customHeight="1">
      <c r="A37" s="36" t="s">
        <v>2583</v>
      </c>
      <c r="B37" s="36" t="s">
        <v>2584</v>
      </c>
      <c r="C37" s="36" t="s">
        <v>2585</v>
      </c>
    </row>
  </sheetData>
  <autoFilter ref="A4:C33" xr:uid="{CAFD24E7-58F0-439B-A60E-C703606ADF37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8" customWidth="1"/>
    <col min="6" max="7" width="22.625" style="18" customWidth="1"/>
    <col min="8" max="8" width="12.625" style="18" customWidth="1"/>
    <col min="9" max="9" width="18.625" style="18" customWidth="1"/>
    <col min="10" max="10" width="12.625" style="18" customWidth="1"/>
    <col min="11" max="17" width="18.625" style="18" customWidth="1"/>
    <col min="18" max="20" width="42.625" style="18" customWidth="1"/>
    <col min="21" max="16384" width="11" style="18"/>
  </cols>
  <sheetData>
    <row r="1" spans="1:20" ht="27.95" customHeight="1">
      <c r="A1" s="20" t="s">
        <v>948</v>
      </c>
    </row>
    <row r="2" spans="1:20" ht="36" customHeight="1">
      <c r="A2" s="21" t="s">
        <v>949</v>
      </c>
    </row>
    <row r="4" spans="1:20" ht="25.5">
      <c r="A4" s="22" t="s">
        <v>950</v>
      </c>
      <c r="B4" s="22" t="s">
        <v>132</v>
      </c>
      <c r="C4" s="22" t="s">
        <v>951</v>
      </c>
      <c r="D4" s="22" t="s">
        <v>952</v>
      </c>
      <c r="E4" s="22" t="s">
        <v>953</v>
      </c>
      <c r="F4" s="22" t="s">
        <v>954</v>
      </c>
      <c r="G4" s="22" t="s">
        <v>955</v>
      </c>
      <c r="H4" s="22" t="s">
        <v>956</v>
      </c>
      <c r="I4" s="22" t="s">
        <v>957</v>
      </c>
      <c r="J4" s="22" t="s">
        <v>958</v>
      </c>
      <c r="K4" s="22" t="s">
        <v>959</v>
      </c>
      <c r="L4" s="22" t="s">
        <v>960</v>
      </c>
      <c r="M4" s="22" t="s">
        <v>961</v>
      </c>
      <c r="N4" s="22" t="s">
        <v>962</v>
      </c>
      <c r="O4" s="22" t="s">
        <v>963</v>
      </c>
      <c r="P4" s="22" t="s">
        <v>964</v>
      </c>
      <c r="Q4" s="22" t="s">
        <v>965</v>
      </c>
      <c r="R4" s="22" t="s">
        <v>966</v>
      </c>
      <c r="S4" s="22" t="s">
        <v>967</v>
      </c>
      <c r="T4" s="22" t="s">
        <v>968</v>
      </c>
    </row>
    <row r="5" spans="1:20">
      <c r="A5" s="23" t="s">
        <v>62</v>
      </c>
      <c r="B5" s="23" t="s">
        <v>63</v>
      </c>
      <c r="C5" s="23" t="s">
        <v>64</v>
      </c>
      <c r="D5" s="23" t="s">
        <v>65</v>
      </c>
      <c r="E5" s="23" t="s">
        <v>969</v>
      </c>
      <c r="F5" s="23" t="s">
        <v>970</v>
      </c>
      <c r="G5" s="23" t="s">
        <v>971</v>
      </c>
      <c r="H5" s="23">
        <v>7.13</v>
      </c>
      <c r="I5" s="23" t="s">
        <v>928</v>
      </c>
      <c r="J5" s="23">
        <v>4</v>
      </c>
      <c r="K5" s="23">
        <v>3</v>
      </c>
      <c r="L5" s="23">
        <v>0</v>
      </c>
      <c r="M5" s="23" t="s">
        <v>972</v>
      </c>
      <c r="N5" s="23" t="s">
        <v>972</v>
      </c>
      <c r="O5" s="23" t="s">
        <v>973</v>
      </c>
      <c r="P5" s="23" t="s">
        <v>974</v>
      </c>
      <c r="Q5" s="23" t="s">
        <v>975</v>
      </c>
      <c r="R5" s="23" t="s">
        <v>976</v>
      </c>
      <c r="S5" s="23" t="s">
        <v>977</v>
      </c>
      <c r="T5" s="23"/>
    </row>
    <row r="6" spans="1:20">
      <c r="A6" s="23" t="s">
        <v>71</v>
      </c>
      <c r="B6" s="23" t="s">
        <v>72</v>
      </c>
      <c r="C6" s="23" t="s">
        <v>73</v>
      </c>
      <c r="D6" s="23" t="s">
        <v>65</v>
      </c>
      <c r="E6" s="23" t="s">
        <v>969</v>
      </c>
      <c r="F6" s="23" t="s">
        <v>978</v>
      </c>
      <c r="G6" s="23" t="s">
        <v>979</v>
      </c>
      <c r="H6" s="23">
        <v>2.72</v>
      </c>
      <c r="I6" s="23" t="s">
        <v>928</v>
      </c>
      <c r="J6" s="23">
        <v>4</v>
      </c>
      <c r="K6" s="23">
        <v>1</v>
      </c>
      <c r="L6" s="23">
        <v>0</v>
      </c>
      <c r="M6" s="23" t="s">
        <v>972</v>
      </c>
      <c r="N6" s="23" t="s">
        <v>972</v>
      </c>
      <c r="O6" s="23" t="s">
        <v>973</v>
      </c>
      <c r="P6" s="23" t="s">
        <v>974</v>
      </c>
      <c r="Q6" s="23" t="s">
        <v>975</v>
      </c>
      <c r="R6" s="23" t="s">
        <v>980</v>
      </c>
      <c r="S6" s="23" t="s">
        <v>981</v>
      </c>
      <c r="T6" s="23"/>
    </row>
    <row r="7" spans="1:20">
      <c r="A7" s="23" t="s">
        <v>78</v>
      </c>
      <c r="B7" s="23" t="s">
        <v>79</v>
      </c>
      <c r="C7" s="23" t="s">
        <v>80</v>
      </c>
      <c r="D7" s="23" t="s">
        <v>982</v>
      </c>
      <c r="E7" s="23" t="s">
        <v>969</v>
      </c>
      <c r="F7" s="23" t="s">
        <v>983</v>
      </c>
      <c r="G7" s="23" t="s">
        <v>984</v>
      </c>
      <c r="H7" s="23">
        <v>7.23</v>
      </c>
      <c r="I7" s="23" t="s">
        <v>928</v>
      </c>
      <c r="J7" s="23">
        <v>6</v>
      </c>
      <c r="K7" s="23">
        <v>0</v>
      </c>
      <c r="L7" s="23">
        <v>0</v>
      </c>
      <c r="M7" s="23" t="s">
        <v>972</v>
      </c>
      <c r="N7" s="23" t="s">
        <v>972</v>
      </c>
      <c r="O7" s="23" t="s">
        <v>973</v>
      </c>
      <c r="P7" s="23" t="s">
        <v>974</v>
      </c>
      <c r="Q7" s="23" t="s">
        <v>975</v>
      </c>
      <c r="R7" s="23" t="s">
        <v>985</v>
      </c>
      <c r="S7" s="23" t="s">
        <v>986</v>
      </c>
      <c r="T7" s="23"/>
    </row>
    <row r="8" spans="1:20">
      <c r="A8" s="23" t="s">
        <v>86</v>
      </c>
      <c r="B8" s="23" t="s">
        <v>87</v>
      </c>
      <c r="C8" s="23" t="s">
        <v>987</v>
      </c>
      <c r="D8" s="23" t="s">
        <v>988</v>
      </c>
      <c r="E8" s="23" t="s">
        <v>969</v>
      </c>
      <c r="F8" s="23" t="s">
        <v>989</v>
      </c>
      <c r="G8" s="23" t="s">
        <v>990</v>
      </c>
      <c r="H8" s="23">
        <v>5.0999999999999996</v>
      </c>
      <c r="I8" s="23" t="s">
        <v>928</v>
      </c>
      <c r="J8" s="23">
        <v>5</v>
      </c>
      <c r="K8" s="23">
        <v>0</v>
      </c>
      <c r="L8" s="23">
        <v>0</v>
      </c>
      <c r="M8" s="23" t="s">
        <v>972</v>
      </c>
      <c r="N8" s="23" t="s">
        <v>972</v>
      </c>
      <c r="O8" s="23" t="s">
        <v>973</v>
      </c>
      <c r="P8" s="23" t="s">
        <v>991</v>
      </c>
      <c r="Q8" s="23" t="s">
        <v>975</v>
      </c>
      <c r="R8" s="23" t="s">
        <v>992</v>
      </c>
      <c r="S8" s="23" t="s">
        <v>993</v>
      </c>
      <c r="T8" s="23"/>
    </row>
    <row r="9" spans="1:20">
      <c r="A9" s="23" t="s">
        <v>95</v>
      </c>
      <c r="B9" s="23" t="s">
        <v>96</v>
      </c>
      <c r="C9" s="23" t="s">
        <v>97</v>
      </c>
      <c r="D9" s="23" t="s">
        <v>982</v>
      </c>
      <c r="E9" s="23" t="s">
        <v>969</v>
      </c>
      <c r="F9" s="23" t="s">
        <v>994</v>
      </c>
      <c r="G9" s="23" t="s">
        <v>995</v>
      </c>
      <c r="H9" s="23">
        <v>9.26</v>
      </c>
      <c r="I9" s="23" t="s">
        <v>928</v>
      </c>
      <c r="J9" s="23">
        <v>6</v>
      </c>
      <c r="K9" s="23">
        <v>0</v>
      </c>
      <c r="L9" s="23">
        <v>4</v>
      </c>
      <c r="M9" s="23" t="s">
        <v>972</v>
      </c>
      <c r="N9" s="23" t="s">
        <v>972</v>
      </c>
      <c r="O9" s="23" t="s">
        <v>973</v>
      </c>
      <c r="P9" s="23" t="s">
        <v>991</v>
      </c>
      <c r="Q9" s="23" t="s">
        <v>975</v>
      </c>
      <c r="R9" s="23" t="s">
        <v>996</v>
      </c>
      <c r="S9" s="23" t="s">
        <v>997</v>
      </c>
      <c r="T9" s="23"/>
    </row>
    <row r="10" spans="1:20">
      <c r="A10" s="23" t="s">
        <v>102</v>
      </c>
      <c r="B10" s="23" t="s">
        <v>103</v>
      </c>
      <c r="C10" s="23" t="s">
        <v>104</v>
      </c>
      <c r="D10" s="23" t="s">
        <v>105</v>
      </c>
      <c r="E10" s="23" t="s">
        <v>969</v>
      </c>
      <c r="F10" s="23" t="s">
        <v>998</v>
      </c>
      <c r="G10" s="23" t="s">
        <v>999</v>
      </c>
      <c r="H10" s="23">
        <v>5.51</v>
      </c>
      <c r="I10" s="23" t="s">
        <v>928</v>
      </c>
      <c r="J10" s="23">
        <v>2</v>
      </c>
      <c r="K10" s="23">
        <v>2</v>
      </c>
      <c r="L10" s="23">
        <v>0</v>
      </c>
      <c r="M10" s="23" t="s">
        <v>972</v>
      </c>
      <c r="N10" s="23" t="s">
        <v>972</v>
      </c>
      <c r="O10" s="23" t="s">
        <v>973</v>
      </c>
      <c r="P10" s="23" t="s">
        <v>974</v>
      </c>
      <c r="Q10" s="23" t="s">
        <v>975</v>
      </c>
      <c r="R10" s="23" t="s">
        <v>1000</v>
      </c>
      <c r="S10" s="23" t="s">
        <v>1001</v>
      </c>
      <c r="T10" s="23"/>
    </row>
    <row r="11" spans="1:20">
      <c r="A11" s="23" t="s">
        <v>108</v>
      </c>
      <c r="B11" s="23" t="s">
        <v>109</v>
      </c>
      <c r="C11" s="23" t="s">
        <v>110</v>
      </c>
      <c r="D11" s="23" t="s">
        <v>111</v>
      </c>
      <c r="E11" s="23" t="s">
        <v>969</v>
      </c>
      <c r="F11" s="23" t="s">
        <v>1002</v>
      </c>
      <c r="G11" s="23" t="s">
        <v>1003</v>
      </c>
      <c r="H11" s="23">
        <v>39.17</v>
      </c>
      <c r="I11" s="23" t="s">
        <v>928</v>
      </c>
      <c r="J11" s="23">
        <v>9</v>
      </c>
      <c r="K11" s="23">
        <v>4</v>
      </c>
      <c r="L11" s="23">
        <v>0</v>
      </c>
      <c r="M11" s="23" t="s">
        <v>972</v>
      </c>
      <c r="N11" s="23" t="s">
        <v>972</v>
      </c>
      <c r="O11" s="23" t="s">
        <v>973</v>
      </c>
      <c r="P11" s="23" t="s">
        <v>991</v>
      </c>
      <c r="Q11" s="23" t="s">
        <v>975</v>
      </c>
      <c r="R11" s="23" t="s">
        <v>1004</v>
      </c>
      <c r="S11" s="23" t="s">
        <v>1005</v>
      </c>
      <c r="T11" s="23"/>
    </row>
    <row r="12" spans="1:20">
      <c r="A12" s="23" t="s">
        <v>115</v>
      </c>
      <c r="B12" s="23" t="s">
        <v>116</v>
      </c>
      <c r="C12" s="23" t="s">
        <v>117</v>
      </c>
      <c r="D12" s="23" t="s">
        <v>111</v>
      </c>
      <c r="E12" s="23" t="s">
        <v>969</v>
      </c>
      <c r="F12" s="23" t="s">
        <v>1006</v>
      </c>
      <c r="G12" s="23" t="s">
        <v>1007</v>
      </c>
      <c r="H12" s="23">
        <v>29.32</v>
      </c>
      <c r="I12" s="23" t="s">
        <v>928</v>
      </c>
      <c r="J12" s="23">
        <v>4</v>
      </c>
      <c r="K12" s="23">
        <v>3</v>
      </c>
      <c r="L12" s="23">
        <v>0</v>
      </c>
      <c r="M12" s="23" t="s">
        <v>972</v>
      </c>
      <c r="N12" s="23" t="s">
        <v>972</v>
      </c>
      <c r="O12" s="23" t="s">
        <v>973</v>
      </c>
      <c r="P12" s="23" t="s">
        <v>991</v>
      </c>
      <c r="Q12" s="23" t="s">
        <v>975</v>
      </c>
      <c r="R12" s="23" t="s">
        <v>1008</v>
      </c>
      <c r="S12" s="23" t="s">
        <v>1009</v>
      </c>
      <c r="T12" s="23"/>
    </row>
    <row r="13" spans="1:20">
      <c r="A13" s="23" t="s">
        <v>48</v>
      </c>
      <c r="B13" s="23" t="s">
        <v>1010</v>
      </c>
      <c r="C13" s="23" t="s">
        <v>1011</v>
      </c>
      <c r="D13" s="23" t="s">
        <v>1012</v>
      </c>
      <c r="E13" s="23" t="s">
        <v>969</v>
      </c>
      <c r="F13" s="23" t="s">
        <v>1013</v>
      </c>
      <c r="G13" s="23" t="s">
        <v>1014</v>
      </c>
      <c r="H13" s="23">
        <v>48.14</v>
      </c>
      <c r="I13" s="23" t="s">
        <v>928</v>
      </c>
      <c r="J13" s="23">
        <v>7</v>
      </c>
      <c r="K13" s="23">
        <v>1</v>
      </c>
      <c r="L13" s="23">
        <v>0</v>
      </c>
      <c r="M13" s="23" t="s">
        <v>972</v>
      </c>
      <c r="N13" s="23" t="s">
        <v>972</v>
      </c>
      <c r="O13" s="23" t="s">
        <v>973</v>
      </c>
      <c r="P13" s="23" t="s">
        <v>991</v>
      </c>
      <c r="Q13" s="23" t="s">
        <v>975</v>
      </c>
      <c r="R13" s="23" t="s">
        <v>1015</v>
      </c>
      <c r="S13" s="23" t="s">
        <v>1016</v>
      </c>
      <c r="T13" s="23" t="s">
        <v>1017</v>
      </c>
    </row>
  </sheetData>
  <autoFilter ref="A4:T13" xr:uid="{3CDD4CA7-196B-4F70-8E59-A6FAF778872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8" customWidth="1"/>
    <col min="11" max="11" width="42.625" style="18" customWidth="1"/>
    <col min="12" max="16384" width="11" style="18"/>
  </cols>
  <sheetData>
    <row r="1" spans="1:11" ht="27.95" customHeight="1">
      <c r="A1" s="20" t="s">
        <v>1018</v>
      </c>
    </row>
    <row r="2" spans="1:11" ht="36" customHeight="1">
      <c r="A2" s="21" t="s">
        <v>1019</v>
      </c>
    </row>
    <row r="4" spans="1:11">
      <c r="A4" s="22" t="s">
        <v>1020</v>
      </c>
      <c r="B4" s="22" t="s">
        <v>62</v>
      </c>
      <c r="C4" s="22" t="s">
        <v>71</v>
      </c>
      <c r="D4" s="22" t="s">
        <v>78</v>
      </c>
      <c r="E4" s="22" t="s">
        <v>86</v>
      </c>
      <c r="F4" s="22" t="s">
        <v>95</v>
      </c>
      <c r="G4" s="22" t="s">
        <v>102</v>
      </c>
      <c r="H4" s="22" t="s">
        <v>108</v>
      </c>
      <c r="I4" s="22" t="s">
        <v>115</v>
      </c>
      <c r="J4" s="22" t="s">
        <v>48</v>
      </c>
      <c r="K4" s="22" t="s">
        <v>967</v>
      </c>
    </row>
    <row r="5" spans="1:11">
      <c r="A5" s="23" t="s">
        <v>1021</v>
      </c>
      <c r="B5" s="23">
        <v>38</v>
      </c>
      <c r="C5" s="23">
        <v>214</v>
      </c>
      <c r="D5" s="23">
        <v>30</v>
      </c>
      <c r="E5" s="23">
        <v>32</v>
      </c>
      <c r="F5" s="23">
        <v>10</v>
      </c>
      <c r="G5" s="23">
        <v>14</v>
      </c>
      <c r="H5" s="23">
        <v>0</v>
      </c>
      <c r="I5" s="23">
        <v>2</v>
      </c>
      <c r="J5" s="23">
        <v>6</v>
      </c>
      <c r="K5" s="23"/>
    </row>
    <row r="6" spans="1:11">
      <c r="A6" s="23" t="s">
        <v>1022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8</v>
      </c>
      <c r="K6" s="23"/>
    </row>
    <row r="7" spans="1:11">
      <c r="A7" s="23" t="s">
        <v>1023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/>
    </row>
    <row r="8" spans="1:11">
      <c r="A8" s="23" t="s">
        <v>1024</v>
      </c>
      <c r="B8" s="23">
        <v>0</v>
      </c>
      <c r="C8" s="23">
        <v>0</v>
      </c>
      <c r="D8" s="23">
        <v>0</v>
      </c>
      <c r="E8" s="23">
        <v>5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/>
    </row>
    <row r="9" spans="1:11">
      <c r="A9" s="23" t="s">
        <v>1025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 t="s">
        <v>1026</v>
      </c>
    </row>
    <row r="10" spans="1:11">
      <c r="A10" s="23" t="s">
        <v>1027</v>
      </c>
      <c r="B10" s="23">
        <v>4</v>
      </c>
      <c r="C10" s="23">
        <v>0</v>
      </c>
      <c r="D10" s="23">
        <v>0</v>
      </c>
      <c r="E10" s="23">
        <v>0</v>
      </c>
      <c r="F10" s="23">
        <v>0</v>
      </c>
      <c r="G10" s="23">
        <v>4</v>
      </c>
      <c r="H10" s="23">
        <v>5</v>
      </c>
      <c r="I10" s="23">
        <v>2</v>
      </c>
      <c r="J10" s="23">
        <v>1</v>
      </c>
      <c r="K10" s="23"/>
    </row>
    <row r="11" spans="1:11">
      <c r="A11" s="23" t="s">
        <v>1028</v>
      </c>
      <c r="B11" s="23">
        <v>0</v>
      </c>
      <c r="C11" s="23">
        <v>0</v>
      </c>
      <c r="D11" s="23">
        <v>0</v>
      </c>
      <c r="E11" s="23">
        <v>0</v>
      </c>
      <c r="F11" s="23">
        <v>4</v>
      </c>
      <c r="G11" s="23">
        <v>0</v>
      </c>
      <c r="H11" s="23">
        <v>0</v>
      </c>
      <c r="I11" s="23">
        <v>0</v>
      </c>
      <c r="J11" s="23">
        <v>0</v>
      </c>
      <c r="K11" s="23"/>
    </row>
    <row r="12" spans="1:11">
      <c r="A12" s="23" t="s">
        <v>1029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1</v>
      </c>
      <c r="K12" s="23"/>
    </row>
  </sheetData>
  <autoFilter ref="A4:K12" xr:uid="{5434FFD7-6F8D-468B-8CC6-9388AD2B7033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8" customWidth="1"/>
    <col min="2" max="5" width="18.625" style="18" customWidth="1"/>
    <col min="6" max="6" width="42.625" style="18" customWidth="1"/>
    <col min="7" max="8" width="18.625" style="18" customWidth="1"/>
    <col min="9" max="9" width="42.625" style="18" customWidth="1"/>
    <col min="10" max="15" width="18.625" style="18" customWidth="1"/>
    <col min="16" max="16384" width="11" style="18"/>
  </cols>
  <sheetData>
    <row r="1" spans="1:15" ht="27.95" customHeight="1">
      <c r="A1" s="20" t="s">
        <v>1030</v>
      </c>
    </row>
    <row r="2" spans="1:15" ht="36" customHeight="1">
      <c r="A2" s="21" t="s">
        <v>1031</v>
      </c>
    </row>
    <row r="4" spans="1:15">
      <c r="A4" s="22" t="s">
        <v>1032</v>
      </c>
      <c r="B4" s="22" t="s">
        <v>1033</v>
      </c>
      <c r="C4" s="22" t="s">
        <v>52</v>
      </c>
      <c r="D4" s="22" t="s">
        <v>132</v>
      </c>
      <c r="E4" s="22" t="s">
        <v>1034</v>
      </c>
      <c r="F4" s="22" t="s">
        <v>388</v>
      </c>
      <c r="G4" s="22" t="s">
        <v>1035</v>
      </c>
      <c r="H4" s="22" t="s">
        <v>1036</v>
      </c>
      <c r="I4" s="22" t="s">
        <v>1037</v>
      </c>
      <c r="J4" s="22" t="s">
        <v>1038</v>
      </c>
      <c r="K4" s="22" t="s">
        <v>1039</v>
      </c>
      <c r="L4" s="22" t="s">
        <v>1040</v>
      </c>
      <c r="M4" s="22" t="s">
        <v>1041</v>
      </c>
      <c r="N4" s="22" t="s">
        <v>1042</v>
      </c>
      <c r="O4" s="22" t="s">
        <v>1043</v>
      </c>
    </row>
    <row r="5" spans="1:15">
      <c r="A5" s="23" t="s">
        <v>1044</v>
      </c>
      <c r="B5" s="23" t="s">
        <v>794</v>
      </c>
      <c r="C5" s="23" t="s">
        <v>62</v>
      </c>
      <c r="D5" s="23" t="s">
        <v>63</v>
      </c>
      <c r="E5" s="23" t="s">
        <v>1045</v>
      </c>
      <c r="F5" s="23" t="s">
        <v>1046</v>
      </c>
      <c r="G5" s="23" t="s">
        <v>1047</v>
      </c>
      <c r="H5" s="23" t="s">
        <v>1048</v>
      </c>
      <c r="I5" s="23" t="s">
        <v>1049</v>
      </c>
      <c r="J5" s="23" t="s">
        <v>1050</v>
      </c>
      <c r="K5" s="23" t="s">
        <v>1051</v>
      </c>
      <c r="L5" s="23" t="s">
        <v>1052</v>
      </c>
      <c r="M5" s="23">
        <v>1</v>
      </c>
      <c r="N5" s="23" t="s">
        <v>340</v>
      </c>
      <c r="O5" s="23" t="s">
        <v>1053</v>
      </c>
    </row>
    <row r="6" spans="1:15">
      <c r="A6" s="23" t="s">
        <v>1044</v>
      </c>
      <c r="B6" s="23" t="s">
        <v>794</v>
      </c>
      <c r="C6" s="23" t="s">
        <v>62</v>
      </c>
      <c r="D6" s="23" t="s">
        <v>63</v>
      </c>
      <c r="E6" s="23" t="s">
        <v>1045</v>
      </c>
      <c r="F6" s="23" t="s">
        <v>1046</v>
      </c>
      <c r="G6" s="23" t="s">
        <v>1047</v>
      </c>
      <c r="H6" s="23" t="s">
        <v>1048</v>
      </c>
      <c r="I6" s="23" t="s">
        <v>1049</v>
      </c>
      <c r="J6" s="23" t="s">
        <v>1050</v>
      </c>
      <c r="K6" s="23" t="s">
        <v>1051</v>
      </c>
      <c r="L6" s="23" t="s">
        <v>1052</v>
      </c>
      <c r="M6" s="23">
        <v>1</v>
      </c>
      <c r="N6" s="23" t="s">
        <v>340</v>
      </c>
      <c r="O6" s="23" t="s">
        <v>1053</v>
      </c>
    </row>
    <row r="7" spans="1:15">
      <c r="A7" s="23" t="s">
        <v>1054</v>
      </c>
      <c r="B7" s="23" t="s">
        <v>794</v>
      </c>
      <c r="C7" s="23" t="s">
        <v>62</v>
      </c>
      <c r="D7" s="23" t="s">
        <v>63</v>
      </c>
      <c r="E7" s="23" t="s">
        <v>1045</v>
      </c>
      <c r="F7" s="23" t="s">
        <v>1046</v>
      </c>
      <c r="G7" s="23" t="s">
        <v>1047</v>
      </c>
      <c r="H7" s="23" t="s">
        <v>1048</v>
      </c>
      <c r="I7" s="23" t="s">
        <v>1055</v>
      </c>
      <c r="J7" s="23" t="s">
        <v>1050</v>
      </c>
      <c r="K7" s="23" t="s">
        <v>1051</v>
      </c>
      <c r="L7" s="23" t="s">
        <v>1052</v>
      </c>
      <c r="M7" s="23">
        <v>1</v>
      </c>
      <c r="N7" s="23" t="s">
        <v>340</v>
      </c>
      <c r="O7" s="23" t="s">
        <v>1053</v>
      </c>
    </row>
    <row r="8" spans="1:15">
      <c r="A8" s="23" t="s">
        <v>1056</v>
      </c>
      <c r="B8" s="23" t="s">
        <v>794</v>
      </c>
      <c r="C8" s="23" t="s">
        <v>62</v>
      </c>
      <c r="D8" s="23" t="s">
        <v>63</v>
      </c>
      <c r="E8" s="23" t="s">
        <v>1045</v>
      </c>
      <c r="F8" s="23" t="s">
        <v>1046</v>
      </c>
      <c r="G8" s="23" t="s">
        <v>1047</v>
      </c>
      <c r="H8" s="23" t="s">
        <v>1048</v>
      </c>
      <c r="I8" s="23" t="s">
        <v>1057</v>
      </c>
      <c r="J8" s="23" t="s">
        <v>1050</v>
      </c>
      <c r="K8" s="23" t="s">
        <v>1051</v>
      </c>
      <c r="L8" s="23" t="s">
        <v>1052</v>
      </c>
      <c r="M8" s="23">
        <v>1</v>
      </c>
      <c r="N8" s="23" t="s">
        <v>340</v>
      </c>
      <c r="O8" s="23" t="s">
        <v>1053</v>
      </c>
    </row>
    <row r="9" spans="1:15">
      <c r="A9" s="23" t="s">
        <v>1054</v>
      </c>
      <c r="B9" s="23" t="s">
        <v>794</v>
      </c>
      <c r="C9" s="23" t="s">
        <v>62</v>
      </c>
      <c r="D9" s="23" t="s">
        <v>63</v>
      </c>
      <c r="E9" s="23" t="s">
        <v>1045</v>
      </c>
      <c r="F9" s="23" t="s">
        <v>1046</v>
      </c>
      <c r="G9" s="23" t="s">
        <v>1047</v>
      </c>
      <c r="H9" s="23" t="s">
        <v>1048</v>
      </c>
      <c r="I9" s="23" t="s">
        <v>1055</v>
      </c>
      <c r="J9" s="23" t="s">
        <v>1050</v>
      </c>
      <c r="K9" s="23" t="s">
        <v>1051</v>
      </c>
      <c r="L9" s="23" t="s">
        <v>1052</v>
      </c>
      <c r="M9" s="23">
        <v>1</v>
      </c>
      <c r="N9" s="23" t="s">
        <v>340</v>
      </c>
      <c r="O9" s="23" t="s">
        <v>1053</v>
      </c>
    </row>
    <row r="10" spans="1:15">
      <c r="A10" s="23" t="s">
        <v>1056</v>
      </c>
      <c r="B10" s="23" t="s">
        <v>794</v>
      </c>
      <c r="C10" s="23" t="s">
        <v>62</v>
      </c>
      <c r="D10" s="23" t="s">
        <v>63</v>
      </c>
      <c r="E10" s="23" t="s">
        <v>1045</v>
      </c>
      <c r="F10" s="23" t="s">
        <v>1046</v>
      </c>
      <c r="G10" s="23" t="s">
        <v>1047</v>
      </c>
      <c r="H10" s="23" t="s">
        <v>1048</v>
      </c>
      <c r="I10" s="23" t="s">
        <v>1057</v>
      </c>
      <c r="J10" s="23" t="s">
        <v>1050</v>
      </c>
      <c r="K10" s="23" t="s">
        <v>1051</v>
      </c>
      <c r="L10" s="23" t="s">
        <v>1052</v>
      </c>
      <c r="M10" s="23">
        <v>1</v>
      </c>
      <c r="N10" s="23" t="s">
        <v>340</v>
      </c>
      <c r="O10" s="23" t="s">
        <v>1053</v>
      </c>
    </row>
    <row r="11" spans="1:15">
      <c r="A11" s="23" t="s">
        <v>1058</v>
      </c>
      <c r="B11" s="23" t="s">
        <v>794</v>
      </c>
      <c r="C11" s="23" t="s">
        <v>62</v>
      </c>
      <c r="D11" s="23" t="s">
        <v>63</v>
      </c>
      <c r="E11" s="23" t="s">
        <v>1045</v>
      </c>
      <c r="F11" s="23" t="s">
        <v>1046</v>
      </c>
      <c r="G11" s="23" t="s">
        <v>1047</v>
      </c>
      <c r="H11" s="23" t="s">
        <v>1048</v>
      </c>
      <c r="I11" s="23" t="s">
        <v>1059</v>
      </c>
      <c r="J11" s="23" t="s">
        <v>1050</v>
      </c>
      <c r="K11" s="23" t="s">
        <v>1051</v>
      </c>
      <c r="L11" s="23" t="s">
        <v>1052</v>
      </c>
      <c r="M11" s="23">
        <v>1</v>
      </c>
      <c r="N11" s="23" t="s">
        <v>340</v>
      </c>
      <c r="O11" s="23" t="s">
        <v>1053</v>
      </c>
    </row>
    <row r="12" spans="1:15">
      <c r="A12" s="23" t="s">
        <v>1060</v>
      </c>
      <c r="B12" s="23" t="s">
        <v>794</v>
      </c>
      <c r="C12" s="23" t="s">
        <v>62</v>
      </c>
      <c r="D12" s="23" t="s">
        <v>63</v>
      </c>
      <c r="E12" s="23" t="s">
        <v>1045</v>
      </c>
      <c r="F12" s="23" t="s">
        <v>1046</v>
      </c>
      <c r="G12" s="23" t="s">
        <v>1047</v>
      </c>
      <c r="H12" s="23" t="s">
        <v>1048</v>
      </c>
      <c r="I12" s="23" t="s">
        <v>1061</v>
      </c>
      <c r="J12" s="23" t="s">
        <v>1050</v>
      </c>
      <c r="K12" s="23" t="s">
        <v>1051</v>
      </c>
      <c r="L12" s="23" t="s">
        <v>1052</v>
      </c>
      <c r="M12" s="23">
        <v>1</v>
      </c>
      <c r="N12" s="23" t="s">
        <v>340</v>
      </c>
      <c r="O12" s="23" t="s">
        <v>1053</v>
      </c>
    </row>
    <row r="13" spans="1:15">
      <c r="A13" s="23" t="s">
        <v>1058</v>
      </c>
      <c r="B13" s="23" t="s">
        <v>794</v>
      </c>
      <c r="C13" s="23" t="s">
        <v>62</v>
      </c>
      <c r="D13" s="23" t="s">
        <v>63</v>
      </c>
      <c r="E13" s="23" t="s">
        <v>1045</v>
      </c>
      <c r="F13" s="23" t="s">
        <v>1046</v>
      </c>
      <c r="G13" s="23" t="s">
        <v>1047</v>
      </c>
      <c r="H13" s="23" t="s">
        <v>1048</v>
      </c>
      <c r="I13" s="23" t="s">
        <v>1059</v>
      </c>
      <c r="J13" s="23" t="s">
        <v>1050</v>
      </c>
      <c r="K13" s="23" t="s">
        <v>1051</v>
      </c>
      <c r="L13" s="23" t="s">
        <v>1052</v>
      </c>
      <c r="M13" s="23">
        <v>1</v>
      </c>
      <c r="N13" s="23" t="s">
        <v>340</v>
      </c>
      <c r="O13" s="23" t="s">
        <v>1053</v>
      </c>
    </row>
    <row r="14" spans="1:15">
      <c r="A14" s="23" t="s">
        <v>1060</v>
      </c>
      <c r="B14" s="23" t="s">
        <v>794</v>
      </c>
      <c r="C14" s="23" t="s">
        <v>62</v>
      </c>
      <c r="D14" s="23" t="s">
        <v>63</v>
      </c>
      <c r="E14" s="23" t="s">
        <v>1045</v>
      </c>
      <c r="F14" s="23" t="s">
        <v>1046</v>
      </c>
      <c r="G14" s="23" t="s">
        <v>1047</v>
      </c>
      <c r="H14" s="23" t="s">
        <v>1048</v>
      </c>
      <c r="I14" s="23" t="s">
        <v>1061</v>
      </c>
      <c r="J14" s="23" t="s">
        <v>1050</v>
      </c>
      <c r="K14" s="23" t="s">
        <v>1051</v>
      </c>
      <c r="L14" s="23" t="s">
        <v>1052</v>
      </c>
      <c r="M14" s="23">
        <v>1</v>
      </c>
      <c r="N14" s="23" t="s">
        <v>340</v>
      </c>
      <c r="O14" s="23" t="s">
        <v>1053</v>
      </c>
    </row>
    <row r="15" spans="1:15">
      <c r="A15" s="23" t="s">
        <v>1062</v>
      </c>
      <c r="B15" s="23" t="s">
        <v>794</v>
      </c>
      <c r="C15" s="23" t="s">
        <v>62</v>
      </c>
      <c r="D15" s="23" t="s">
        <v>63</v>
      </c>
      <c r="E15" s="23" t="s">
        <v>1045</v>
      </c>
      <c r="F15" s="23" t="s">
        <v>1046</v>
      </c>
      <c r="G15" s="23" t="s">
        <v>1047</v>
      </c>
      <c r="H15" s="23" t="s">
        <v>1048</v>
      </c>
      <c r="I15" s="23" t="s">
        <v>1063</v>
      </c>
      <c r="J15" s="23" t="s">
        <v>1050</v>
      </c>
      <c r="K15" s="23" t="s">
        <v>1051</v>
      </c>
      <c r="L15" s="23" t="s">
        <v>1052</v>
      </c>
      <c r="M15" s="23">
        <v>1</v>
      </c>
      <c r="N15" s="23" t="s">
        <v>340</v>
      </c>
      <c r="O15" s="23" t="s">
        <v>1053</v>
      </c>
    </row>
    <row r="16" spans="1:15">
      <c r="A16" s="23" t="s">
        <v>1064</v>
      </c>
      <c r="B16" s="23" t="s">
        <v>794</v>
      </c>
      <c r="C16" s="23" t="s">
        <v>62</v>
      </c>
      <c r="D16" s="23" t="s">
        <v>63</v>
      </c>
      <c r="E16" s="23" t="s">
        <v>1045</v>
      </c>
      <c r="F16" s="23" t="s">
        <v>1046</v>
      </c>
      <c r="G16" s="23" t="s">
        <v>1047</v>
      </c>
      <c r="H16" s="23" t="s">
        <v>1048</v>
      </c>
      <c r="I16" s="23" t="s">
        <v>1049</v>
      </c>
      <c r="J16" s="23" t="s">
        <v>1050</v>
      </c>
      <c r="K16" s="23" t="s">
        <v>1051</v>
      </c>
      <c r="L16" s="23" t="s">
        <v>1052</v>
      </c>
      <c r="M16" s="23">
        <v>1</v>
      </c>
      <c r="N16" s="23" t="s">
        <v>340</v>
      </c>
      <c r="O16" s="23" t="s">
        <v>1053</v>
      </c>
    </row>
    <row r="17" spans="1:15">
      <c r="A17" s="23" t="s">
        <v>1065</v>
      </c>
      <c r="B17" s="23" t="s">
        <v>794</v>
      </c>
      <c r="C17" s="23" t="s">
        <v>62</v>
      </c>
      <c r="D17" s="23" t="s">
        <v>63</v>
      </c>
      <c r="E17" s="23" t="s">
        <v>1045</v>
      </c>
      <c r="F17" s="23" t="s">
        <v>1046</v>
      </c>
      <c r="G17" s="23" t="s">
        <v>1047</v>
      </c>
      <c r="H17" s="23" t="s">
        <v>1048</v>
      </c>
      <c r="I17" s="23" t="s">
        <v>1066</v>
      </c>
      <c r="J17" s="23" t="s">
        <v>1050</v>
      </c>
      <c r="K17" s="23" t="s">
        <v>1051</v>
      </c>
      <c r="L17" s="23" t="s">
        <v>1052</v>
      </c>
      <c r="M17" s="23">
        <v>1</v>
      </c>
      <c r="N17" s="23" t="s">
        <v>340</v>
      </c>
      <c r="O17" s="23" t="s">
        <v>1053</v>
      </c>
    </row>
    <row r="18" spans="1:15">
      <c r="A18" s="23" t="s">
        <v>1067</v>
      </c>
      <c r="B18" s="23" t="s">
        <v>794</v>
      </c>
      <c r="C18" s="23" t="s">
        <v>62</v>
      </c>
      <c r="D18" s="23" t="s">
        <v>63</v>
      </c>
      <c r="E18" s="23" t="s">
        <v>1045</v>
      </c>
      <c r="F18" s="23" t="s">
        <v>1046</v>
      </c>
      <c r="G18" s="23" t="s">
        <v>1047</v>
      </c>
      <c r="H18" s="23" t="s">
        <v>1048</v>
      </c>
      <c r="I18" s="23" t="s">
        <v>1068</v>
      </c>
      <c r="J18" s="23" t="s">
        <v>1050</v>
      </c>
      <c r="K18" s="23" t="s">
        <v>1051</v>
      </c>
      <c r="L18" s="23" t="s">
        <v>1052</v>
      </c>
      <c r="M18" s="23">
        <v>1</v>
      </c>
      <c r="N18" s="23" t="s">
        <v>340</v>
      </c>
      <c r="O18" s="23" t="s">
        <v>1053</v>
      </c>
    </row>
    <row r="19" spans="1:15">
      <c r="A19" s="23" t="s">
        <v>1062</v>
      </c>
      <c r="B19" s="23" t="s">
        <v>794</v>
      </c>
      <c r="C19" s="23" t="s">
        <v>62</v>
      </c>
      <c r="D19" s="23" t="s">
        <v>63</v>
      </c>
      <c r="E19" s="23" t="s">
        <v>1045</v>
      </c>
      <c r="F19" s="23" t="s">
        <v>1046</v>
      </c>
      <c r="G19" s="23" t="s">
        <v>1047</v>
      </c>
      <c r="H19" s="23" t="s">
        <v>1048</v>
      </c>
      <c r="I19" s="23" t="s">
        <v>1063</v>
      </c>
      <c r="J19" s="23" t="s">
        <v>1050</v>
      </c>
      <c r="K19" s="23" t="s">
        <v>1051</v>
      </c>
      <c r="L19" s="23" t="s">
        <v>1052</v>
      </c>
      <c r="M19" s="23">
        <v>1</v>
      </c>
      <c r="N19" s="23" t="s">
        <v>340</v>
      </c>
      <c r="O19" s="23" t="s">
        <v>1053</v>
      </c>
    </row>
    <row r="20" spans="1:15">
      <c r="A20" s="23" t="s">
        <v>1064</v>
      </c>
      <c r="B20" s="23" t="s">
        <v>794</v>
      </c>
      <c r="C20" s="23" t="s">
        <v>62</v>
      </c>
      <c r="D20" s="23" t="s">
        <v>63</v>
      </c>
      <c r="E20" s="23" t="s">
        <v>1045</v>
      </c>
      <c r="F20" s="23" t="s">
        <v>1046</v>
      </c>
      <c r="G20" s="23" t="s">
        <v>1047</v>
      </c>
      <c r="H20" s="23" t="s">
        <v>1048</v>
      </c>
      <c r="I20" s="23" t="s">
        <v>1049</v>
      </c>
      <c r="J20" s="23" t="s">
        <v>1050</v>
      </c>
      <c r="K20" s="23" t="s">
        <v>1051</v>
      </c>
      <c r="L20" s="23" t="s">
        <v>1052</v>
      </c>
      <c r="M20" s="23">
        <v>1</v>
      </c>
      <c r="N20" s="23" t="s">
        <v>340</v>
      </c>
      <c r="O20" s="23" t="s">
        <v>1053</v>
      </c>
    </row>
    <row r="21" spans="1:15">
      <c r="A21" s="23" t="s">
        <v>1065</v>
      </c>
      <c r="B21" s="23" t="s">
        <v>794</v>
      </c>
      <c r="C21" s="23" t="s">
        <v>62</v>
      </c>
      <c r="D21" s="23" t="s">
        <v>63</v>
      </c>
      <c r="E21" s="23" t="s">
        <v>1045</v>
      </c>
      <c r="F21" s="23" t="s">
        <v>1046</v>
      </c>
      <c r="G21" s="23" t="s">
        <v>1047</v>
      </c>
      <c r="H21" s="23" t="s">
        <v>1048</v>
      </c>
      <c r="I21" s="23" t="s">
        <v>1066</v>
      </c>
      <c r="J21" s="23" t="s">
        <v>1050</v>
      </c>
      <c r="K21" s="23" t="s">
        <v>1051</v>
      </c>
      <c r="L21" s="23" t="s">
        <v>1052</v>
      </c>
      <c r="M21" s="23">
        <v>1</v>
      </c>
      <c r="N21" s="23" t="s">
        <v>340</v>
      </c>
      <c r="O21" s="23" t="s">
        <v>1053</v>
      </c>
    </row>
    <row r="22" spans="1:15">
      <c r="A22" s="23" t="s">
        <v>1067</v>
      </c>
      <c r="B22" s="23" t="s">
        <v>794</v>
      </c>
      <c r="C22" s="23" t="s">
        <v>62</v>
      </c>
      <c r="D22" s="23" t="s">
        <v>63</v>
      </c>
      <c r="E22" s="23" t="s">
        <v>1045</v>
      </c>
      <c r="F22" s="23" t="s">
        <v>1046</v>
      </c>
      <c r="G22" s="23" t="s">
        <v>1047</v>
      </c>
      <c r="H22" s="23" t="s">
        <v>1048</v>
      </c>
      <c r="I22" s="23" t="s">
        <v>1068</v>
      </c>
      <c r="J22" s="23" t="s">
        <v>1050</v>
      </c>
      <c r="K22" s="23" t="s">
        <v>1051</v>
      </c>
      <c r="L22" s="23" t="s">
        <v>1052</v>
      </c>
      <c r="M22" s="23">
        <v>1</v>
      </c>
      <c r="N22" s="23" t="s">
        <v>340</v>
      </c>
      <c r="O22" s="23" t="s">
        <v>1053</v>
      </c>
    </row>
    <row r="23" spans="1:15">
      <c r="A23" s="23" t="s">
        <v>1069</v>
      </c>
      <c r="B23" s="23" t="s">
        <v>794</v>
      </c>
      <c r="C23" s="23" t="s">
        <v>62</v>
      </c>
      <c r="D23" s="23" t="s">
        <v>63</v>
      </c>
      <c r="E23" s="23" t="s">
        <v>1045</v>
      </c>
      <c r="F23" s="23" t="s">
        <v>1046</v>
      </c>
      <c r="G23" s="23" t="s">
        <v>1047</v>
      </c>
      <c r="H23" s="23" t="s">
        <v>1048</v>
      </c>
      <c r="I23" s="23" t="s">
        <v>1049</v>
      </c>
      <c r="J23" s="23" t="s">
        <v>1050</v>
      </c>
      <c r="K23" s="23" t="s">
        <v>1051</v>
      </c>
      <c r="L23" s="23" t="s">
        <v>1052</v>
      </c>
      <c r="M23" s="23">
        <v>1</v>
      </c>
      <c r="N23" s="23" t="s">
        <v>340</v>
      </c>
      <c r="O23" s="23" t="s">
        <v>1053</v>
      </c>
    </row>
    <row r="24" spans="1:15">
      <c r="A24" s="23" t="s">
        <v>1070</v>
      </c>
      <c r="B24" s="23" t="s">
        <v>794</v>
      </c>
      <c r="C24" s="23" t="s">
        <v>62</v>
      </c>
      <c r="D24" s="23" t="s">
        <v>63</v>
      </c>
      <c r="E24" s="23" t="s">
        <v>1045</v>
      </c>
      <c r="F24" s="23" t="s">
        <v>1046</v>
      </c>
      <c r="G24" s="23" t="s">
        <v>1047</v>
      </c>
      <c r="H24" s="23" t="s">
        <v>1048</v>
      </c>
      <c r="I24" s="23" t="s">
        <v>1055</v>
      </c>
      <c r="J24" s="23" t="s">
        <v>1050</v>
      </c>
      <c r="K24" s="23" t="s">
        <v>1051</v>
      </c>
      <c r="L24" s="23" t="s">
        <v>1052</v>
      </c>
      <c r="M24" s="23">
        <v>1</v>
      </c>
      <c r="N24" s="23" t="s">
        <v>340</v>
      </c>
      <c r="O24" s="23" t="s">
        <v>1053</v>
      </c>
    </row>
    <row r="25" spans="1:15">
      <c r="A25" s="23" t="s">
        <v>1069</v>
      </c>
      <c r="B25" s="23" t="s">
        <v>794</v>
      </c>
      <c r="C25" s="23" t="s">
        <v>62</v>
      </c>
      <c r="D25" s="23" t="s">
        <v>63</v>
      </c>
      <c r="E25" s="23" t="s">
        <v>1045</v>
      </c>
      <c r="F25" s="23" t="s">
        <v>1046</v>
      </c>
      <c r="G25" s="23" t="s">
        <v>1047</v>
      </c>
      <c r="H25" s="23" t="s">
        <v>1048</v>
      </c>
      <c r="I25" s="23" t="s">
        <v>1049</v>
      </c>
      <c r="J25" s="23" t="s">
        <v>1050</v>
      </c>
      <c r="K25" s="23" t="s">
        <v>1051</v>
      </c>
      <c r="L25" s="23" t="s">
        <v>1052</v>
      </c>
      <c r="M25" s="23">
        <v>1</v>
      </c>
      <c r="N25" s="23" t="s">
        <v>340</v>
      </c>
      <c r="O25" s="23" t="s">
        <v>1053</v>
      </c>
    </row>
    <row r="26" spans="1:15">
      <c r="A26" s="23" t="s">
        <v>1070</v>
      </c>
      <c r="B26" s="23" t="s">
        <v>794</v>
      </c>
      <c r="C26" s="23" t="s">
        <v>62</v>
      </c>
      <c r="D26" s="23" t="s">
        <v>63</v>
      </c>
      <c r="E26" s="23" t="s">
        <v>1045</v>
      </c>
      <c r="F26" s="23" t="s">
        <v>1046</v>
      </c>
      <c r="G26" s="23" t="s">
        <v>1047</v>
      </c>
      <c r="H26" s="23" t="s">
        <v>1048</v>
      </c>
      <c r="I26" s="23" t="s">
        <v>1055</v>
      </c>
      <c r="J26" s="23" t="s">
        <v>1050</v>
      </c>
      <c r="K26" s="23" t="s">
        <v>1051</v>
      </c>
      <c r="L26" s="23" t="s">
        <v>1052</v>
      </c>
      <c r="M26" s="23">
        <v>1</v>
      </c>
      <c r="N26" s="23" t="s">
        <v>340</v>
      </c>
      <c r="O26" s="23" t="s">
        <v>1053</v>
      </c>
    </row>
    <row r="27" spans="1:15">
      <c r="A27" s="23" t="s">
        <v>1071</v>
      </c>
      <c r="B27" s="23" t="s">
        <v>794</v>
      </c>
      <c r="C27" s="23" t="s">
        <v>62</v>
      </c>
      <c r="D27" s="23" t="s">
        <v>63</v>
      </c>
      <c r="E27" s="23" t="s">
        <v>1045</v>
      </c>
      <c r="F27" s="23" t="s">
        <v>1046</v>
      </c>
      <c r="G27" s="23" t="s">
        <v>1047</v>
      </c>
      <c r="H27" s="23" t="s">
        <v>1048</v>
      </c>
      <c r="I27" s="23" t="s">
        <v>1072</v>
      </c>
      <c r="J27" s="23" t="s">
        <v>1050</v>
      </c>
      <c r="K27" s="23" t="s">
        <v>1051</v>
      </c>
      <c r="L27" s="23" t="s">
        <v>1052</v>
      </c>
      <c r="M27" s="23">
        <v>1</v>
      </c>
      <c r="N27" s="23" t="s">
        <v>340</v>
      </c>
      <c r="O27" s="23" t="s">
        <v>1053</v>
      </c>
    </row>
    <row r="28" spans="1:15">
      <c r="A28" s="23" t="s">
        <v>1073</v>
      </c>
      <c r="B28" s="23" t="s">
        <v>794</v>
      </c>
      <c r="C28" s="23" t="s">
        <v>62</v>
      </c>
      <c r="D28" s="23" t="s">
        <v>63</v>
      </c>
      <c r="E28" s="23" t="s">
        <v>1045</v>
      </c>
      <c r="F28" s="23" t="s">
        <v>1046</v>
      </c>
      <c r="G28" s="23" t="s">
        <v>1047</v>
      </c>
      <c r="H28" s="23" t="s">
        <v>1048</v>
      </c>
      <c r="I28" s="23" t="s">
        <v>1055</v>
      </c>
      <c r="J28" s="23" t="s">
        <v>1050</v>
      </c>
      <c r="K28" s="23" t="s">
        <v>1051</v>
      </c>
      <c r="L28" s="23" t="s">
        <v>1052</v>
      </c>
      <c r="M28" s="23">
        <v>1</v>
      </c>
      <c r="N28" s="23" t="s">
        <v>340</v>
      </c>
      <c r="O28" s="23" t="s">
        <v>1053</v>
      </c>
    </row>
    <row r="29" spans="1:15">
      <c r="A29" s="23" t="s">
        <v>1071</v>
      </c>
      <c r="B29" s="23" t="s">
        <v>794</v>
      </c>
      <c r="C29" s="23" t="s">
        <v>62</v>
      </c>
      <c r="D29" s="23" t="s">
        <v>63</v>
      </c>
      <c r="E29" s="23" t="s">
        <v>1045</v>
      </c>
      <c r="F29" s="23" t="s">
        <v>1046</v>
      </c>
      <c r="G29" s="23" t="s">
        <v>1047</v>
      </c>
      <c r="H29" s="23" t="s">
        <v>1048</v>
      </c>
      <c r="I29" s="23" t="s">
        <v>1072</v>
      </c>
      <c r="J29" s="23" t="s">
        <v>1050</v>
      </c>
      <c r="K29" s="23" t="s">
        <v>1051</v>
      </c>
      <c r="L29" s="23" t="s">
        <v>1052</v>
      </c>
      <c r="M29" s="23">
        <v>1</v>
      </c>
      <c r="N29" s="23" t="s">
        <v>340</v>
      </c>
      <c r="O29" s="23" t="s">
        <v>1053</v>
      </c>
    </row>
    <row r="30" spans="1:15">
      <c r="A30" s="23" t="s">
        <v>1073</v>
      </c>
      <c r="B30" s="23" t="s">
        <v>794</v>
      </c>
      <c r="C30" s="23" t="s">
        <v>62</v>
      </c>
      <c r="D30" s="23" t="s">
        <v>63</v>
      </c>
      <c r="E30" s="23" t="s">
        <v>1045</v>
      </c>
      <c r="F30" s="23" t="s">
        <v>1046</v>
      </c>
      <c r="G30" s="23" t="s">
        <v>1047</v>
      </c>
      <c r="H30" s="23" t="s">
        <v>1048</v>
      </c>
      <c r="I30" s="23" t="s">
        <v>1055</v>
      </c>
      <c r="J30" s="23" t="s">
        <v>1050</v>
      </c>
      <c r="K30" s="23" t="s">
        <v>1051</v>
      </c>
      <c r="L30" s="23" t="s">
        <v>1052</v>
      </c>
      <c r="M30" s="23">
        <v>1</v>
      </c>
      <c r="N30" s="23" t="s">
        <v>340</v>
      </c>
      <c r="O30" s="23" t="s">
        <v>1053</v>
      </c>
    </row>
    <row r="31" spans="1:15">
      <c r="A31" s="23" t="s">
        <v>1074</v>
      </c>
      <c r="B31" s="23" t="s">
        <v>794</v>
      </c>
      <c r="C31" s="23" t="s">
        <v>62</v>
      </c>
      <c r="D31" s="23" t="s">
        <v>63</v>
      </c>
      <c r="E31" s="23" t="s">
        <v>1045</v>
      </c>
      <c r="F31" s="23" t="s">
        <v>1046</v>
      </c>
      <c r="G31" s="23" t="s">
        <v>1047</v>
      </c>
      <c r="H31" s="23" t="s">
        <v>1048</v>
      </c>
      <c r="I31" s="23" t="s">
        <v>1057</v>
      </c>
      <c r="J31" s="23" t="s">
        <v>1050</v>
      </c>
      <c r="K31" s="23" t="s">
        <v>1051</v>
      </c>
      <c r="L31" s="23" t="s">
        <v>1052</v>
      </c>
      <c r="M31" s="23">
        <v>1</v>
      </c>
      <c r="N31" s="23" t="s">
        <v>340</v>
      </c>
      <c r="O31" s="23" t="s">
        <v>1053</v>
      </c>
    </row>
    <row r="32" spans="1:15">
      <c r="A32" s="23" t="s">
        <v>1075</v>
      </c>
      <c r="B32" s="23" t="s">
        <v>794</v>
      </c>
      <c r="C32" s="23" t="s">
        <v>62</v>
      </c>
      <c r="D32" s="23" t="s">
        <v>63</v>
      </c>
      <c r="E32" s="23" t="s">
        <v>1045</v>
      </c>
      <c r="F32" s="23" t="s">
        <v>1046</v>
      </c>
      <c r="G32" s="23" t="s">
        <v>1047</v>
      </c>
      <c r="H32" s="23" t="s">
        <v>1048</v>
      </c>
      <c r="I32" s="23" t="s">
        <v>1076</v>
      </c>
      <c r="J32" s="23" t="s">
        <v>1050</v>
      </c>
      <c r="K32" s="23" t="s">
        <v>1051</v>
      </c>
      <c r="L32" s="23" t="s">
        <v>1052</v>
      </c>
      <c r="M32" s="23">
        <v>1</v>
      </c>
      <c r="N32" s="23" t="s">
        <v>340</v>
      </c>
      <c r="O32" s="23" t="s">
        <v>1053</v>
      </c>
    </row>
    <row r="33" spans="1:15">
      <c r="A33" s="23" t="s">
        <v>1074</v>
      </c>
      <c r="B33" s="23" t="s">
        <v>794</v>
      </c>
      <c r="C33" s="23" t="s">
        <v>62</v>
      </c>
      <c r="D33" s="23" t="s">
        <v>63</v>
      </c>
      <c r="E33" s="23" t="s">
        <v>1045</v>
      </c>
      <c r="F33" s="23" t="s">
        <v>1046</v>
      </c>
      <c r="G33" s="23" t="s">
        <v>1047</v>
      </c>
      <c r="H33" s="23" t="s">
        <v>1048</v>
      </c>
      <c r="I33" s="23" t="s">
        <v>1057</v>
      </c>
      <c r="J33" s="23" t="s">
        <v>1050</v>
      </c>
      <c r="K33" s="23" t="s">
        <v>1051</v>
      </c>
      <c r="L33" s="23" t="s">
        <v>1052</v>
      </c>
      <c r="M33" s="23">
        <v>1</v>
      </c>
      <c r="N33" s="23" t="s">
        <v>340</v>
      </c>
      <c r="O33" s="23" t="s">
        <v>1053</v>
      </c>
    </row>
    <row r="34" spans="1:15">
      <c r="A34" s="23" t="s">
        <v>1075</v>
      </c>
      <c r="B34" s="23" t="s">
        <v>794</v>
      </c>
      <c r="C34" s="23" t="s">
        <v>62</v>
      </c>
      <c r="D34" s="23" t="s">
        <v>63</v>
      </c>
      <c r="E34" s="23" t="s">
        <v>1045</v>
      </c>
      <c r="F34" s="23" t="s">
        <v>1046</v>
      </c>
      <c r="G34" s="23" t="s">
        <v>1047</v>
      </c>
      <c r="H34" s="23" t="s">
        <v>1048</v>
      </c>
      <c r="I34" s="23" t="s">
        <v>1076</v>
      </c>
      <c r="J34" s="23" t="s">
        <v>1050</v>
      </c>
      <c r="K34" s="23" t="s">
        <v>1051</v>
      </c>
      <c r="L34" s="23" t="s">
        <v>1052</v>
      </c>
      <c r="M34" s="23">
        <v>1</v>
      </c>
      <c r="N34" s="23" t="s">
        <v>340</v>
      </c>
      <c r="O34" s="23" t="s">
        <v>1053</v>
      </c>
    </row>
    <row r="35" spans="1:15">
      <c r="A35" s="23" t="s">
        <v>1077</v>
      </c>
      <c r="B35" s="23" t="s">
        <v>794</v>
      </c>
      <c r="C35" s="23" t="s">
        <v>62</v>
      </c>
      <c r="D35" s="23" t="s">
        <v>63</v>
      </c>
      <c r="E35" s="23" t="s">
        <v>1045</v>
      </c>
      <c r="F35" s="23" t="s">
        <v>1046</v>
      </c>
      <c r="G35" s="23" t="s">
        <v>1047</v>
      </c>
      <c r="H35" s="23" t="s">
        <v>1048</v>
      </c>
      <c r="I35" s="23" t="s">
        <v>1057</v>
      </c>
      <c r="J35" s="23" t="s">
        <v>1050</v>
      </c>
      <c r="K35" s="23" t="s">
        <v>1051</v>
      </c>
      <c r="L35" s="23" t="s">
        <v>1052</v>
      </c>
      <c r="M35" s="23">
        <v>1</v>
      </c>
      <c r="N35" s="23" t="s">
        <v>340</v>
      </c>
      <c r="O35" s="23" t="s">
        <v>1053</v>
      </c>
    </row>
    <row r="36" spans="1:15">
      <c r="A36" s="23" t="s">
        <v>1077</v>
      </c>
      <c r="B36" s="23" t="s">
        <v>794</v>
      </c>
      <c r="C36" s="23" t="s">
        <v>62</v>
      </c>
      <c r="D36" s="23" t="s">
        <v>63</v>
      </c>
      <c r="E36" s="23" t="s">
        <v>1045</v>
      </c>
      <c r="F36" s="23" t="s">
        <v>1046</v>
      </c>
      <c r="G36" s="23" t="s">
        <v>1047</v>
      </c>
      <c r="H36" s="23" t="s">
        <v>1048</v>
      </c>
      <c r="I36" s="23" t="s">
        <v>1057</v>
      </c>
      <c r="J36" s="23" t="s">
        <v>1050</v>
      </c>
      <c r="K36" s="23" t="s">
        <v>1051</v>
      </c>
      <c r="L36" s="23" t="s">
        <v>1052</v>
      </c>
      <c r="M36" s="23">
        <v>1</v>
      </c>
      <c r="N36" s="23" t="s">
        <v>340</v>
      </c>
      <c r="O36" s="23" t="s">
        <v>1053</v>
      </c>
    </row>
    <row r="37" spans="1:15">
      <c r="A37" s="23" t="s">
        <v>1078</v>
      </c>
      <c r="B37" s="23" t="s">
        <v>794</v>
      </c>
      <c r="C37" s="23" t="s">
        <v>62</v>
      </c>
      <c r="D37" s="23" t="s">
        <v>63</v>
      </c>
      <c r="E37" s="23" t="s">
        <v>1045</v>
      </c>
      <c r="F37" s="23" t="s">
        <v>1046</v>
      </c>
      <c r="G37" s="23" t="s">
        <v>1047</v>
      </c>
      <c r="H37" s="23" t="s">
        <v>1048</v>
      </c>
      <c r="I37" s="23" t="s">
        <v>1049</v>
      </c>
      <c r="J37" s="23" t="s">
        <v>1050</v>
      </c>
      <c r="K37" s="23" t="s">
        <v>1051</v>
      </c>
      <c r="L37" s="23" t="s">
        <v>1052</v>
      </c>
      <c r="M37" s="23">
        <v>1</v>
      </c>
      <c r="N37" s="23" t="s">
        <v>340</v>
      </c>
      <c r="O37" s="23" t="s">
        <v>1053</v>
      </c>
    </row>
    <row r="38" spans="1:15">
      <c r="A38" s="23" t="s">
        <v>1079</v>
      </c>
      <c r="B38" s="23" t="s">
        <v>794</v>
      </c>
      <c r="C38" s="23" t="s">
        <v>62</v>
      </c>
      <c r="D38" s="23" t="s">
        <v>63</v>
      </c>
      <c r="E38" s="23" t="s">
        <v>1045</v>
      </c>
      <c r="F38" s="23" t="s">
        <v>1046</v>
      </c>
      <c r="G38" s="23" t="s">
        <v>1047</v>
      </c>
      <c r="H38" s="23" t="s">
        <v>1048</v>
      </c>
      <c r="I38" s="23" t="s">
        <v>1055</v>
      </c>
      <c r="J38" s="23" t="s">
        <v>1050</v>
      </c>
      <c r="K38" s="23" t="s">
        <v>1051</v>
      </c>
      <c r="L38" s="23" t="s">
        <v>1052</v>
      </c>
      <c r="M38" s="23">
        <v>1</v>
      </c>
      <c r="N38" s="23" t="s">
        <v>340</v>
      </c>
      <c r="O38" s="23" t="s">
        <v>1053</v>
      </c>
    </row>
    <row r="39" spans="1:15">
      <c r="A39" s="23" t="s">
        <v>1078</v>
      </c>
      <c r="B39" s="23" t="s">
        <v>794</v>
      </c>
      <c r="C39" s="23" t="s">
        <v>62</v>
      </c>
      <c r="D39" s="23" t="s">
        <v>63</v>
      </c>
      <c r="E39" s="23" t="s">
        <v>1045</v>
      </c>
      <c r="F39" s="23" t="s">
        <v>1046</v>
      </c>
      <c r="G39" s="23" t="s">
        <v>1047</v>
      </c>
      <c r="H39" s="23" t="s">
        <v>1048</v>
      </c>
      <c r="I39" s="23" t="s">
        <v>1049</v>
      </c>
      <c r="J39" s="23" t="s">
        <v>1050</v>
      </c>
      <c r="K39" s="23" t="s">
        <v>1051</v>
      </c>
      <c r="L39" s="23" t="s">
        <v>1052</v>
      </c>
      <c r="M39" s="23">
        <v>1</v>
      </c>
      <c r="N39" s="23" t="s">
        <v>340</v>
      </c>
      <c r="O39" s="23" t="s">
        <v>1053</v>
      </c>
    </row>
    <row r="40" spans="1:15">
      <c r="A40" s="23" t="s">
        <v>1079</v>
      </c>
      <c r="B40" s="23" t="s">
        <v>794</v>
      </c>
      <c r="C40" s="23" t="s">
        <v>62</v>
      </c>
      <c r="D40" s="23" t="s">
        <v>63</v>
      </c>
      <c r="E40" s="23" t="s">
        <v>1045</v>
      </c>
      <c r="F40" s="23" t="s">
        <v>1046</v>
      </c>
      <c r="G40" s="23" t="s">
        <v>1047</v>
      </c>
      <c r="H40" s="23" t="s">
        <v>1048</v>
      </c>
      <c r="I40" s="23" t="s">
        <v>1055</v>
      </c>
      <c r="J40" s="23" t="s">
        <v>1050</v>
      </c>
      <c r="K40" s="23" t="s">
        <v>1051</v>
      </c>
      <c r="L40" s="23" t="s">
        <v>1052</v>
      </c>
      <c r="M40" s="23">
        <v>1</v>
      </c>
      <c r="N40" s="23" t="s">
        <v>340</v>
      </c>
      <c r="O40" s="23" t="s">
        <v>1053</v>
      </c>
    </row>
    <row r="41" spans="1:15">
      <c r="A41" s="23" t="s">
        <v>1080</v>
      </c>
      <c r="B41" s="23" t="s">
        <v>794</v>
      </c>
      <c r="C41" s="23" t="s">
        <v>62</v>
      </c>
      <c r="D41" s="23" t="s">
        <v>63</v>
      </c>
      <c r="E41" s="23" t="s">
        <v>1045</v>
      </c>
      <c r="F41" s="23" t="s">
        <v>1046</v>
      </c>
      <c r="G41" s="23" t="s">
        <v>1047</v>
      </c>
      <c r="H41" s="23" t="s">
        <v>1048</v>
      </c>
      <c r="I41" s="23" t="s">
        <v>1057</v>
      </c>
      <c r="J41" s="23" t="s">
        <v>1050</v>
      </c>
      <c r="K41" s="23" t="s">
        <v>1051</v>
      </c>
      <c r="L41" s="23" t="s">
        <v>1052</v>
      </c>
      <c r="M41" s="23">
        <v>1</v>
      </c>
      <c r="N41" s="23" t="s">
        <v>340</v>
      </c>
      <c r="O41" s="23" t="s">
        <v>1053</v>
      </c>
    </row>
    <row r="42" spans="1:15">
      <c r="A42" s="23" t="s">
        <v>1080</v>
      </c>
      <c r="B42" s="23" t="s">
        <v>794</v>
      </c>
      <c r="C42" s="23" t="s">
        <v>62</v>
      </c>
      <c r="D42" s="23" t="s">
        <v>63</v>
      </c>
      <c r="E42" s="23" t="s">
        <v>1045</v>
      </c>
      <c r="F42" s="23" t="s">
        <v>1046</v>
      </c>
      <c r="G42" s="23" t="s">
        <v>1047</v>
      </c>
      <c r="H42" s="23" t="s">
        <v>1048</v>
      </c>
      <c r="I42" s="23" t="s">
        <v>1057</v>
      </c>
      <c r="J42" s="23" t="s">
        <v>1050</v>
      </c>
      <c r="K42" s="23" t="s">
        <v>1051</v>
      </c>
      <c r="L42" s="23" t="s">
        <v>1052</v>
      </c>
      <c r="M42" s="23">
        <v>1</v>
      </c>
      <c r="N42" s="23" t="s">
        <v>340</v>
      </c>
      <c r="O42" s="23" t="s">
        <v>1053</v>
      </c>
    </row>
    <row r="43" spans="1:15">
      <c r="A43" s="23" t="s">
        <v>1081</v>
      </c>
      <c r="B43" s="23" t="s">
        <v>794</v>
      </c>
      <c r="C43" s="23" t="s">
        <v>71</v>
      </c>
      <c r="D43" s="23" t="s">
        <v>72</v>
      </c>
      <c r="E43" s="23" t="s">
        <v>1082</v>
      </c>
      <c r="F43" s="23" t="s">
        <v>1083</v>
      </c>
      <c r="G43" s="23" t="s">
        <v>1047</v>
      </c>
      <c r="H43" s="23" t="s">
        <v>1048</v>
      </c>
      <c r="I43" s="23" t="s">
        <v>1084</v>
      </c>
      <c r="J43" s="23" t="s">
        <v>1050</v>
      </c>
      <c r="K43" s="23" t="s">
        <v>1051</v>
      </c>
      <c r="L43" s="23" t="s">
        <v>1052</v>
      </c>
      <c r="M43" s="23">
        <v>1</v>
      </c>
      <c r="N43" s="23" t="s">
        <v>340</v>
      </c>
      <c r="O43" s="23" t="s">
        <v>1085</v>
      </c>
    </row>
    <row r="44" spans="1:15">
      <c r="A44" s="23" t="s">
        <v>1086</v>
      </c>
      <c r="B44" s="23" t="s">
        <v>794</v>
      </c>
      <c r="C44" s="23" t="s">
        <v>71</v>
      </c>
      <c r="D44" s="23" t="s">
        <v>72</v>
      </c>
      <c r="E44" s="23" t="s">
        <v>1082</v>
      </c>
      <c r="F44" s="23" t="s">
        <v>1083</v>
      </c>
      <c r="G44" s="23" t="s">
        <v>1047</v>
      </c>
      <c r="H44" s="23" t="s">
        <v>1048</v>
      </c>
      <c r="I44" s="23" t="s">
        <v>1087</v>
      </c>
      <c r="J44" s="23" t="s">
        <v>1050</v>
      </c>
      <c r="K44" s="23" t="s">
        <v>1051</v>
      </c>
      <c r="L44" s="23" t="s">
        <v>1052</v>
      </c>
      <c r="M44" s="23">
        <v>1</v>
      </c>
      <c r="N44" s="23" t="s">
        <v>340</v>
      </c>
      <c r="O44" s="23" t="s">
        <v>1085</v>
      </c>
    </row>
    <row r="45" spans="1:15">
      <c r="A45" s="23" t="s">
        <v>1088</v>
      </c>
      <c r="B45" s="23" t="s">
        <v>794</v>
      </c>
      <c r="C45" s="23" t="s">
        <v>71</v>
      </c>
      <c r="D45" s="23" t="s">
        <v>72</v>
      </c>
      <c r="E45" s="23" t="s">
        <v>1082</v>
      </c>
      <c r="F45" s="23" t="s">
        <v>1083</v>
      </c>
      <c r="G45" s="23" t="s">
        <v>1047</v>
      </c>
      <c r="H45" s="23" t="s">
        <v>1048</v>
      </c>
      <c r="I45" s="23" t="s">
        <v>1089</v>
      </c>
      <c r="J45" s="23" t="s">
        <v>1050</v>
      </c>
      <c r="K45" s="23" t="s">
        <v>1051</v>
      </c>
      <c r="L45" s="23" t="s">
        <v>1052</v>
      </c>
      <c r="M45" s="23">
        <v>1</v>
      </c>
      <c r="N45" s="23" t="s">
        <v>340</v>
      </c>
      <c r="O45" s="23" t="s">
        <v>1085</v>
      </c>
    </row>
    <row r="46" spans="1:15">
      <c r="A46" s="23" t="s">
        <v>1090</v>
      </c>
      <c r="B46" s="23" t="s">
        <v>794</v>
      </c>
      <c r="C46" s="23" t="s">
        <v>71</v>
      </c>
      <c r="D46" s="23" t="s">
        <v>72</v>
      </c>
      <c r="E46" s="23" t="s">
        <v>1082</v>
      </c>
      <c r="F46" s="23" t="s">
        <v>1083</v>
      </c>
      <c r="G46" s="23" t="s">
        <v>1047</v>
      </c>
      <c r="H46" s="23" t="s">
        <v>1048</v>
      </c>
      <c r="I46" s="23" t="s">
        <v>1091</v>
      </c>
      <c r="J46" s="23" t="s">
        <v>1050</v>
      </c>
      <c r="K46" s="23" t="s">
        <v>1051</v>
      </c>
      <c r="L46" s="23" t="s">
        <v>1052</v>
      </c>
      <c r="M46" s="23">
        <v>1</v>
      </c>
      <c r="N46" s="23" t="s">
        <v>340</v>
      </c>
      <c r="O46" s="23" t="s">
        <v>1085</v>
      </c>
    </row>
    <row r="47" spans="1:15">
      <c r="A47" s="23" t="s">
        <v>1092</v>
      </c>
      <c r="B47" s="23" t="s">
        <v>794</v>
      </c>
      <c r="C47" s="23" t="s">
        <v>71</v>
      </c>
      <c r="D47" s="23" t="s">
        <v>72</v>
      </c>
      <c r="E47" s="23" t="s">
        <v>1082</v>
      </c>
      <c r="F47" s="23" t="s">
        <v>1083</v>
      </c>
      <c r="G47" s="23" t="s">
        <v>1047</v>
      </c>
      <c r="H47" s="23" t="s">
        <v>1048</v>
      </c>
      <c r="I47" s="23" t="s">
        <v>1093</v>
      </c>
      <c r="J47" s="23" t="s">
        <v>1050</v>
      </c>
      <c r="K47" s="23" t="s">
        <v>1051</v>
      </c>
      <c r="L47" s="23" t="s">
        <v>1052</v>
      </c>
      <c r="M47" s="23">
        <v>1</v>
      </c>
      <c r="N47" s="23" t="s">
        <v>340</v>
      </c>
      <c r="O47" s="23" t="s">
        <v>1085</v>
      </c>
    </row>
    <row r="48" spans="1:15">
      <c r="A48" s="23" t="s">
        <v>1081</v>
      </c>
      <c r="B48" s="23" t="s">
        <v>794</v>
      </c>
      <c r="C48" s="23" t="s">
        <v>71</v>
      </c>
      <c r="D48" s="23" t="s">
        <v>72</v>
      </c>
      <c r="E48" s="23" t="s">
        <v>1082</v>
      </c>
      <c r="F48" s="23" t="s">
        <v>1083</v>
      </c>
      <c r="G48" s="23" t="s">
        <v>1047</v>
      </c>
      <c r="H48" s="23" t="s">
        <v>1048</v>
      </c>
      <c r="I48" s="23" t="s">
        <v>1084</v>
      </c>
      <c r="J48" s="23" t="s">
        <v>1050</v>
      </c>
      <c r="K48" s="23" t="s">
        <v>1051</v>
      </c>
      <c r="L48" s="23" t="s">
        <v>1052</v>
      </c>
      <c r="M48" s="23">
        <v>1</v>
      </c>
      <c r="N48" s="23" t="s">
        <v>340</v>
      </c>
      <c r="O48" s="23" t="s">
        <v>1085</v>
      </c>
    </row>
    <row r="49" spans="1:15">
      <c r="A49" s="23" t="s">
        <v>1086</v>
      </c>
      <c r="B49" s="23" t="s">
        <v>794</v>
      </c>
      <c r="C49" s="23" t="s">
        <v>71</v>
      </c>
      <c r="D49" s="23" t="s">
        <v>72</v>
      </c>
      <c r="E49" s="23" t="s">
        <v>1082</v>
      </c>
      <c r="F49" s="23" t="s">
        <v>1083</v>
      </c>
      <c r="G49" s="23" t="s">
        <v>1047</v>
      </c>
      <c r="H49" s="23" t="s">
        <v>1048</v>
      </c>
      <c r="I49" s="23" t="s">
        <v>1087</v>
      </c>
      <c r="J49" s="23" t="s">
        <v>1050</v>
      </c>
      <c r="K49" s="23" t="s">
        <v>1051</v>
      </c>
      <c r="L49" s="23" t="s">
        <v>1052</v>
      </c>
      <c r="M49" s="23">
        <v>1</v>
      </c>
      <c r="N49" s="23" t="s">
        <v>340</v>
      </c>
      <c r="O49" s="23" t="s">
        <v>1085</v>
      </c>
    </row>
    <row r="50" spans="1:15">
      <c r="A50" s="23" t="s">
        <v>1088</v>
      </c>
      <c r="B50" s="23" t="s">
        <v>794</v>
      </c>
      <c r="C50" s="23" t="s">
        <v>71</v>
      </c>
      <c r="D50" s="23" t="s">
        <v>72</v>
      </c>
      <c r="E50" s="23" t="s">
        <v>1082</v>
      </c>
      <c r="F50" s="23" t="s">
        <v>1083</v>
      </c>
      <c r="G50" s="23" t="s">
        <v>1047</v>
      </c>
      <c r="H50" s="23" t="s">
        <v>1048</v>
      </c>
      <c r="I50" s="23" t="s">
        <v>1089</v>
      </c>
      <c r="J50" s="23" t="s">
        <v>1050</v>
      </c>
      <c r="K50" s="23" t="s">
        <v>1051</v>
      </c>
      <c r="L50" s="23" t="s">
        <v>1052</v>
      </c>
      <c r="M50" s="23">
        <v>1</v>
      </c>
      <c r="N50" s="23" t="s">
        <v>340</v>
      </c>
      <c r="O50" s="23" t="s">
        <v>1085</v>
      </c>
    </row>
    <row r="51" spans="1:15">
      <c r="A51" s="23" t="s">
        <v>1090</v>
      </c>
      <c r="B51" s="23" t="s">
        <v>794</v>
      </c>
      <c r="C51" s="23" t="s">
        <v>71</v>
      </c>
      <c r="D51" s="23" t="s">
        <v>72</v>
      </c>
      <c r="E51" s="23" t="s">
        <v>1082</v>
      </c>
      <c r="F51" s="23" t="s">
        <v>1083</v>
      </c>
      <c r="G51" s="23" t="s">
        <v>1047</v>
      </c>
      <c r="H51" s="23" t="s">
        <v>1048</v>
      </c>
      <c r="I51" s="23" t="s">
        <v>1091</v>
      </c>
      <c r="J51" s="23" t="s">
        <v>1050</v>
      </c>
      <c r="K51" s="23" t="s">
        <v>1051</v>
      </c>
      <c r="L51" s="23" t="s">
        <v>1052</v>
      </c>
      <c r="M51" s="23">
        <v>1</v>
      </c>
      <c r="N51" s="23" t="s">
        <v>340</v>
      </c>
      <c r="O51" s="23" t="s">
        <v>1085</v>
      </c>
    </row>
    <row r="52" spans="1:15">
      <c r="A52" s="23" t="s">
        <v>1092</v>
      </c>
      <c r="B52" s="23" t="s">
        <v>794</v>
      </c>
      <c r="C52" s="23" t="s">
        <v>71</v>
      </c>
      <c r="D52" s="23" t="s">
        <v>72</v>
      </c>
      <c r="E52" s="23" t="s">
        <v>1082</v>
      </c>
      <c r="F52" s="23" t="s">
        <v>1083</v>
      </c>
      <c r="G52" s="23" t="s">
        <v>1047</v>
      </c>
      <c r="H52" s="23" t="s">
        <v>1048</v>
      </c>
      <c r="I52" s="23" t="s">
        <v>1093</v>
      </c>
      <c r="J52" s="23" t="s">
        <v>1050</v>
      </c>
      <c r="K52" s="23" t="s">
        <v>1051</v>
      </c>
      <c r="L52" s="23" t="s">
        <v>1052</v>
      </c>
      <c r="M52" s="23">
        <v>1</v>
      </c>
      <c r="N52" s="23" t="s">
        <v>340</v>
      </c>
      <c r="O52" s="23" t="s">
        <v>1085</v>
      </c>
    </row>
    <row r="53" spans="1:15">
      <c r="A53" s="23" t="s">
        <v>1094</v>
      </c>
      <c r="B53" s="23" t="s">
        <v>794</v>
      </c>
      <c r="C53" s="23" t="s">
        <v>71</v>
      </c>
      <c r="D53" s="23" t="s">
        <v>72</v>
      </c>
      <c r="E53" s="23" t="s">
        <v>1082</v>
      </c>
      <c r="F53" s="23" t="s">
        <v>1083</v>
      </c>
      <c r="G53" s="23" t="s">
        <v>1047</v>
      </c>
      <c r="H53" s="23" t="s">
        <v>1048</v>
      </c>
      <c r="I53" s="23" t="s">
        <v>1095</v>
      </c>
      <c r="J53" s="23" t="s">
        <v>1050</v>
      </c>
      <c r="K53" s="23" t="s">
        <v>1051</v>
      </c>
      <c r="L53" s="23" t="s">
        <v>1052</v>
      </c>
      <c r="M53" s="23">
        <v>1</v>
      </c>
      <c r="N53" s="23" t="s">
        <v>340</v>
      </c>
      <c r="O53" s="23" t="s">
        <v>1085</v>
      </c>
    </row>
    <row r="54" spans="1:15">
      <c r="A54" s="23" t="s">
        <v>1094</v>
      </c>
      <c r="B54" s="23" t="s">
        <v>794</v>
      </c>
      <c r="C54" s="23" t="s">
        <v>71</v>
      </c>
      <c r="D54" s="23" t="s">
        <v>72</v>
      </c>
      <c r="E54" s="23" t="s">
        <v>1082</v>
      </c>
      <c r="F54" s="23" t="s">
        <v>1083</v>
      </c>
      <c r="G54" s="23" t="s">
        <v>1047</v>
      </c>
      <c r="H54" s="23" t="s">
        <v>1048</v>
      </c>
      <c r="I54" s="23" t="s">
        <v>1095</v>
      </c>
      <c r="J54" s="23" t="s">
        <v>1050</v>
      </c>
      <c r="K54" s="23" t="s">
        <v>1051</v>
      </c>
      <c r="L54" s="23" t="s">
        <v>1052</v>
      </c>
      <c r="M54" s="23">
        <v>1</v>
      </c>
      <c r="N54" s="23" t="s">
        <v>340</v>
      </c>
      <c r="O54" s="23" t="s">
        <v>1085</v>
      </c>
    </row>
    <row r="55" spans="1:15">
      <c r="A55" s="23" t="s">
        <v>1096</v>
      </c>
      <c r="B55" s="23" t="s">
        <v>794</v>
      </c>
      <c r="C55" s="23" t="s">
        <v>71</v>
      </c>
      <c r="D55" s="23" t="s">
        <v>72</v>
      </c>
      <c r="E55" s="23" t="s">
        <v>1082</v>
      </c>
      <c r="F55" s="23" t="s">
        <v>1083</v>
      </c>
      <c r="G55" s="23" t="s">
        <v>1047</v>
      </c>
      <c r="H55" s="23" t="s">
        <v>1048</v>
      </c>
      <c r="I55" s="23" t="s">
        <v>1097</v>
      </c>
      <c r="J55" s="23" t="s">
        <v>1050</v>
      </c>
      <c r="K55" s="23" t="s">
        <v>1051</v>
      </c>
      <c r="L55" s="23" t="s">
        <v>1052</v>
      </c>
      <c r="M55" s="23">
        <v>1</v>
      </c>
      <c r="N55" s="23" t="s">
        <v>340</v>
      </c>
      <c r="O55" s="23" t="s">
        <v>1085</v>
      </c>
    </row>
    <row r="56" spans="1:15">
      <c r="A56" s="23" t="s">
        <v>1098</v>
      </c>
      <c r="B56" s="23" t="s">
        <v>794</v>
      </c>
      <c r="C56" s="23" t="s">
        <v>71</v>
      </c>
      <c r="D56" s="23" t="s">
        <v>72</v>
      </c>
      <c r="E56" s="23" t="s">
        <v>1082</v>
      </c>
      <c r="F56" s="23" t="s">
        <v>1083</v>
      </c>
      <c r="G56" s="23" t="s">
        <v>1047</v>
      </c>
      <c r="H56" s="23" t="s">
        <v>1048</v>
      </c>
      <c r="I56" s="23" t="s">
        <v>1099</v>
      </c>
      <c r="J56" s="23" t="s">
        <v>1050</v>
      </c>
      <c r="K56" s="23" t="s">
        <v>1051</v>
      </c>
      <c r="L56" s="23" t="s">
        <v>1052</v>
      </c>
      <c r="M56" s="23">
        <v>1</v>
      </c>
      <c r="N56" s="23" t="s">
        <v>340</v>
      </c>
      <c r="O56" s="23" t="s">
        <v>1085</v>
      </c>
    </row>
    <row r="57" spans="1:15">
      <c r="A57" s="23" t="s">
        <v>1100</v>
      </c>
      <c r="B57" s="23" t="s">
        <v>794</v>
      </c>
      <c r="C57" s="23" t="s">
        <v>71</v>
      </c>
      <c r="D57" s="23" t="s">
        <v>72</v>
      </c>
      <c r="E57" s="23" t="s">
        <v>1082</v>
      </c>
      <c r="F57" s="23" t="s">
        <v>1083</v>
      </c>
      <c r="G57" s="23" t="s">
        <v>1047</v>
      </c>
      <c r="H57" s="23" t="s">
        <v>1048</v>
      </c>
      <c r="I57" s="23" t="s">
        <v>1101</v>
      </c>
      <c r="J57" s="23" t="s">
        <v>1050</v>
      </c>
      <c r="K57" s="23" t="s">
        <v>1051</v>
      </c>
      <c r="L57" s="23" t="s">
        <v>1052</v>
      </c>
      <c r="M57" s="23">
        <v>1</v>
      </c>
      <c r="N57" s="23" t="s">
        <v>340</v>
      </c>
      <c r="O57" s="23" t="s">
        <v>1085</v>
      </c>
    </row>
    <row r="58" spans="1:15">
      <c r="A58" s="23" t="s">
        <v>1102</v>
      </c>
      <c r="B58" s="23" t="s">
        <v>794</v>
      </c>
      <c r="C58" s="23" t="s">
        <v>71</v>
      </c>
      <c r="D58" s="23" t="s">
        <v>72</v>
      </c>
      <c r="E58" s="23" t="s">
        <v>1082</v>
      </c>
      <c r="F58" s="23" t="s">
        <v>1083</v>
      </c>
      <c r="G58" s="23" t="s">
        <v>1047</v>
      </c>
      <c r="H58" s="23" t="s">
        <v>1048</v>
      </c>
      <c r="I58" s="23" t="s">
        <v>1103</v>
      </c>
      <c r="J58" s="23" t="s">
        <v>1050</v>
      </c>
      <c r="K58" s="23" t="s">
        <v>1051</v>
      </c>
      <c r="L58" s="23" t="s">
        <v>1052</v>
      </c>
      <c r="M58" s="23">
        <v>1</v>
      </c>
      <c r="N58" s="23" t="s">
        <v>340</v>
      </c>
      <c r="O58" s="23" t="s">
        <v>1085</v>
      </c>
    </row>
    <row r="59" spans="1:15">
      <c r="A59" s="23" t="s">
        <v>1096</v>
      </c>
      <c r="B59" s="23" t="s">
        <v>794</v>
      </c>
      <c r="C59" s="23" t="s">
        <v>71</v>
      </c>
      <c r="D59" s="23" t="s">
        <v>72</v>
      </c>
      <c r="E59" s="23" t="s">
        <v>1082</v>
      </c>
      <c r="F59" s="23" t="s">
        <v>1083</v>
      </c>
      <c r="G59" s="23" t="s">
        <v>1047</v>
      </c>
      <c r="H59" s="23" t="s">
        <v>1048</v>
      </c>
      <c r="I59" s="23" t="s">
        <v>1097</v>
      </c>
      <c r="J59" s="23" t="s">
        <v>1050</v>
      </c>
      <c r="K59" s="23" t="s">
        <v>1051</v>
      </c>
      <c r="L59" s="23" t="s">
        <v>1052</v>
      </c>
      <c r="M59" s="23">
        <v>1</v>
      </c>
      <c r="N59" s="23" t="s">
        <v>340</v>
      </c>
      <c r="O59" s="23" t="s">
        <v>1085</v>
      </c>
    </row>
    <row r="60" spans="1:15">
      <c r="A60" s="23" t="s">
        <v>1098</v>
      </c>
      <c r="B60" s="23" t="s">
        <v>794</v>
      </c>
      <c r="C60" s="23" t="s">
        <v>71</v>
      </c>
      <c r="D60" s="23" t="s">
        <v>72</v>
      </c>
      <c r="E60" s="23" t="s">
        <v>1082</v>
      </c>
      <c r="F60" s="23" t="s">
        <v>1083</v>
      </c>
      <c r="G60" s="23" t="s">
        <v>1047</v>
      </c>
      <c r="H60" s="23" t="s">
        <v>1048</v>
      </c>
      <c r="I60" s="23" t="s">
        <v>1099</v>
      </c>
      <c r="J60" s="23" t="s">
        <v>1050</v>
      </c>
      <c r="K60" s="23" t="s">
        <v>1051</v>
      </c>
      <c r="L60" s="23" t="s">
        <v>1052</v>
      </c>
      <c r="M60" s="23">
        <v>1</v>
      </c>
      <c r="N60" s="23" t="s">
        <v>340</v>
      </c>
      <c r="O60" s="23" t="s">
        <v>1085</v>
      </c>
    </row>
    <row r="61" spans="1:15">
      <c r="A61" s="23" t="s">
        <v>1100</v>
      </c>
      <c r="B61" s="23" t="s">
        <v>794</v>
      </c>
      <c r="C61" s="23" t="s">
        <v>71</v>
      </c>
      <c r="D61" s="23" t="s">
        <v>72</v>
      </c>
      <c r="E61" s="23" t="s">
        <v>1082</v>
      </c>
      <c r="F61" s="23" t="s">
        <v>1083</v>
      </c>
      <c r="G61" s="23" t="s">
        <v>1047</v>
      </c>
      <c r="H61" s="23" t="s">
        <v>1048</v>
      </c>
      <c r="I61" s="23" t="s">
        <v>1101</v>
      </c>
      <c r="J61" s="23" t="s">
        <v>1050</v>
      </c>
      <c r="K61" s="23" t="s">
        <v>1051</v>
      </c>
      <c r="L61" s="23" t="s">
        <v>1052</v>
      </c>
      <c r="M61" s="23">
        <v>1</v>
      </c>
      <c r="N61" s="23" t="s">
        <v>340</v>
      </c>
      <c r="O61" s="23" t="s">
        <v>1085</v>
      </c>
    </row>
    <row r="62" spans="1:15">
      <c r="A62" s="23" t="s">
        <v>1102</v>
      </c>
      <c r="B62" s="23" t="s">
        <v>794</v>
      </c>
      <c r="C62" s="23" t="s">
        <v>71</v>
      </c>
      <c r="D62" s="23" t="s">
        <v>72</v>
      </c>
      <c r="E62" s="23" t="s">
        <v>1082</v>
      </c>
      <c r="F62" s="23" t="s">
        <v>1083</v>
      </c>
      <c r="G62" s="23" t="s">
        <v>1047</v>
      </c>
      <c r="H62" s="23" t="s">
        <v>1048</v>
      </c>
      <c r="I62" s="23" t="s">
        <v>1103</v>
      </c>
      <c r="J62" s="23" t="s">
        <v>1050</v>
      </c>
      <c r="K62" s="23" t="s">
        <v>1051</v>
      </c>
      <c r="L62" s="23" t="s">
        <v>1052</v>
      </c>
      <c r="M62" s="23">
        <v>1</v>
      </c>
      <c r="N62" s="23" t="s">
        <v>340</v>
      </c>
      <c r="O62" s="23" t="s">
        <v>1085</v>
      </c>
    </row>
    <row r="63" spans="1:15">
      <c r="A63" s="23" t="s">
        <v>1104</v>
      </c>
      <c r="B63" s="23" t="s">
        <v>794</v>
      </c>
      <c r="C63" s="23" t="s">
        <v>71</v>
      </c>
      <c r="D63" s="23" t="s">
        <v>72</v>
      </c>
      <c r="E63" s="23" t="s">
        <v>1082</v>
      </c>
      <c r="F63" s="23" t="s">
        <v>1083</v>
      </c>
      <c r="G63" s="23" t="s">
        <v>1047</v>
      </c>
      <c r="H63" s="23" t="s">
        <v>1048</v>
      </c>
      <c r="I63" s="23" t="s">
        <v>1105</v>
      </c>
      <c r="J63" s="23" t="s">
        <v>1050</v>
      </c>
      <c r="K63" s="23" t="s">
        <v>1051</v>
      </c>
      <c r="L63" s="23" t="s">
        <v>1052</v>
      </c>
      <c r="M63" s="23">
        <v>1</v>
      </c>
      <c r="N63" s="23" t="s">
        <v>340</v>
      </c>
      <c r="O63" s="23" t="s">
        <v>1085</v>
      </c>
    </row>
    <row r="64" spans="1:15">
      <c r="A64" s="23" t="s">
        <v>1106</v>
      </c>
      <c r="B64" s="23" t="s">
        <v>794</v>
      </c>
      <c r="C64" s="23" t="s">
        <v>71</v>
      </c>
      <c r="D64" s="23" t="s">
        <v>72</v>
      </c>
      <c r="E64" s="23" t="s">
        <v>1082</v>
      </c>
      <c r="F64" s="23" t="s">
        <v>1083</v>
      </c>
      <c r="G64" s="23" t="s">
        <v>1047</v>
      </c>
      <c r="H64" s="23" t="s">
        <v>1048</v>
      </c>
      <c r="I64" s="23" t="s">
        <v>1107</v>
      </c>
      <c r="J64" s="23" t="s">
        <v>1050</v>
      </c>
      <c r="K64" s="23" t="s">
        <v>1051</v>
      </c>
      <c r="L64" s="23" t="s">
        <v>1052</v>
      </c>
      <c r="M64" s="23">
        <v>1</v>
      </c>
      <c r="N64" s="23" t="s">
        <v>340</v>
      </c>
      <c r="O64" s="23" t="s">
        <v>1085</v>
      </c>
    </row>
    <row r="65" spans="1:15">
      <c r="A65" s="23" t="s">
        <v>1108</v>
      </c>
      <c r="B65" s="23" t="s">
        <v>794</v>
      </c>
      <c r="C65" s="23" t="s">
        <v>71</v>
      </c>
      <c r="D65" s="23" t="s">
        <v>72</v>
      </c>
      <c r="E65" s="23" t="s">
        <v>1082</v>
      </c>
      <c r="F65" s="23" t="s">
        <v>1083</v>
      </c>
      <c r="G65" s="23" t="s">
        <v>1047</v>
      </c>
      <c r="H65" s="23" t="s">
        <v>1048</v>
      </c>
      <c r="I65" s="23" t="s">
        <v>1109</v>
      </c>
      <c r="J65" s="23" t="s">
        <v>1050</v>
      </c>
      <c r="K65" s="23" t="s">
        <v>1051</v>
      </c>
      <c r="L65" s="23" t="s">
        <v>1052</v>
      </c>
      <c r="M65" s="23">
        <v>1</v>
      </c>
      <c r="N65" s="23" t="s">
        <v>340</v>
      </c>
      <c r="O65" s="23" t="s">
        <v>1085</v>
      </c>
    </row>
    <row r="66" spans="1:15">
      <c r="A66" s="23" t="s">
        <v>1110</v>
      </c>
      <c r="B66" s="23" t="s">
        <v>794</v>
      </c>
      <c r="C66" s="23" t="s">
        <v>71</v>
      </c>
      <c r="D66" s="23" t="s">
        <v>72</v>
      </c>
      <c r="E66" s="23" t="s">
        <v>1082</v>
      </c>
      <c r="F66" s="23" t="s">
        <v>1083</v>
      </c>
      <c r="G66" s="23" t="s">
        <v>1047</v>
      </c>
      <c r="H66" s="23" t="s">
        <v>1048</v>
      </c>
      <c r="I66" s="23" t="s">
        <v>1111</v>
      </c>
      <c r="J66" s="23" t="s">
        <v>1050</v>
      </c>
      <c r="K66" s="23" t="s">
        <v>1051</v>
      </c>
      <c r="L66" s="23" t="s">
        <v>1052</v>
      </c>
      <c r="M66" s="23">
        <v>1</v>
      </c>
      <c r="N66" s="23" t="s">
        <v>340</v>
      </c>
      <c r="O66" s="23" t="s">
        <v>1085</v>
      </c>
    </row>
    <row r="67" spans="1:15">
      <c r="A67" s="23" t="s">
        <v>1112</v>
      </c>
      <c r="B67" s="23" t="s">
        <v>794</v>
      </c>
      <c r="C67" s="23" t="s">
        <v>71</v>
      </c>
      <c r="D67" s="23" t="s">
        <v>72</v>
      </c>
      <c r="E67" s="23" t="s">
        <v>1082</v>
      </c>
      <c r="F67" s="23" t="s">
        <v>1083</v>
      </c>
      <c r="G67" s="23" t="s">
        <v>1047</v>
      </c>
      <c r="H67" s="23" t="s">
        <v>1048</v>
      </c>
      <c r="I67" s="23" t="s">
        <v>1084</v>
      </c>
      <c r="J67" s="23" t="s">
        <v>1050</v>
      </c>
      <c r="K67" s="23" t="s">
        <v>1051</v>
      </c>
      <c r="L67" s="23" t="s">
        <v>1052</v>
      </c>
      <c r="M67" s="23">
        <v>1</v>
      </c>
      <c r="N67" s="23" t="s">
        <v>340</v>
      </c>
      <c r="O67" s="23" t="s">
        <v>1085</v>
      </c>
    </row>
    <row r="68" spans="1:15">
      <c r="A68" s="23" t="s">
        <v>1113</v>
      </c>
      <c r="B68" s="23" t="s">
        <v>794</v>
      </c>
      <c r="C68" s="23" t="s">
        <v>71</v>
      </c>
      <c r="D68" s="23" t="s">
        <v>72</v>
      </c>
      <c r="E68" s="23" t="s">
        <v>1082</v>
      </c>
      <c r="F68" s="23" t="s">
        <v>1083</v>
      </c>
      <c r="G68" s="23" t="s">
        <v>1047</v>
      </c>
      <c r="H68" s="23" t="s">
        <v>1048</v>
      </c>
      <c r="I68" s="23" t="s">
        <v>1114</v>
      </c>
      <c r="J68" s="23" t="s">
        <v>1050</v>
      </c>
      <c r="K68" s="23" t="s">
        <v>1051</v>
      </c>
      <c r="L68" s="23" t="s">
        <v>1052</v>
      </c>
      <c r="M68" s="23">
        <v>1</v>
      </c>
      <c r="N68" s="23" t="s">
        <v>340</v>
      </c>
      <c r="O68" s="23" t="s">
        <v>1085</v>
      </c>
    </row>
    <row r="69" spans="1:15">
      <c r="A69" s="23" t="s">
        <v>1115</v>
      </c>
      <c r="B69" s="23" t="s">
        <v>794</v>
      </c>
      <c r="C69" s="23" t="s">
        <v>71</v>
      </c>
      <c r="D69" s="23" t="s">
        <v>72</v>
      </c>
      <c r="E69" s="23" t="s">
        <v>1082</v>
      </c>
      <c r="F69" s="23" t="s">
        <v>1083</v>
      </c>
      <c r="G69" s="23" t="s">
        <v>1047</v>
      </c>
      <c r="H69" s="23" t="s">
        <v>1048</v>
      </c>
      <c r="I69" s="23" t="s">
        <v>1116</v>
      </c>
      <c r="J69" s="23" t="s">
        <v>1050</v>
      </c>
      <c r="K69" s="23" t="s">
        <v>1051</v>
      </c>
      <c r="L69" s="23" t="s">
        <v>1052</v>
      </c>
      <c r="M69" s="23">
        <v>1</v>
      </c>
      <c r="N69" s="23" t="s">
        <v>340</v>
      </c>
      <c r="O69" s="23" t="s">
        <v>1085</v>
      </c>
    </row>
    <row r="70" spans="1:15">
      <c r="A70" s="23" t="s">
        <v>1117</v>
      </c>
      <c r="B70" s="23" t="s">
        <v>794</v>
      </c>
      <c r="C70" s="23" t="s">
        <v>71</v>
      </c>
      <c r="D70" s="23" t="s">
        <v>72</v>
      </c>
      <c r="E70" s="23" t="s">
        <v>1082</v>
      </c>
      <c r="F70" s="23" t="s">
        <v>1083</v>
      </c>
      <c r="G70" s="23" t="s">
        <v>1047</v>
      </c>
      <c r="H70" s="23" t="s">
        <v>1048</v>
      </c>
      <c r="I70" s="23" t="s">
        <v>1089</v>
      </c>
      <c r="J70" s="23" t="s">
        <v>1050</v>
      </c>
      <c r="K70" s="23" t="s">
        <v>1051</v>
      </c>
      <c r="L70" s="23" t="s">
        <v>1052</v>
      </c>
      <c r="M70" s="23">
        <v>1</v>
      </c>
      <c r="N70" s="23" t="s">
        <v>340</v>
      </c>
      <c r="O70" s="23" t="s">
        <v>1085</v>
      </c>
    </row>
    <row r="71" spans="1:15">
      <c r="A71" s="23" t="s">
        <v>1104</v>
      </c>
      <c r="B71" s="23" t="s">
        <v>794</v>
      </c>
      <c r="C71" s="23" t="s">
        <v>71</v>
      </c>
      <c r="D71" s="23" t="s">
        <v>72</v>
      </c>
      <c r="E71" s="23" t="s">
        <v>1082</v>
      </c>
      <c r="F71" s="23" t="s">
        <v>1083</v>
      </c>
      <c r="G71" s="23" t="s">
        <v>1047</v>
      </c>
      <c r="H71" s="23" t="s">
        <v>1048</v>
      </c>
      <c r="I71" s="23" t="s">
        <v>1105</v>
      </c>
      <c r="J71" s="23" t="s">
        <v>1050</v>
      </c>
      <c r="K71" s="23" t="s">
        <v>1051</v>
      </c>
      <c r="L71" s="23" t="s">
        <v>1052</v>
      </c>
      <c r="M71" s="23">
        <v>1</v>
      </c>
      <c r="N71" s="23" t="s">
        <v>340</v>
      </c>
      <c r="O71" s="23" t="s">
        <v>1085</v>
      </c>
    </row>
    <row r="72" spans="1:15">
      <c r="A72" s="23" t="s">
        <v>1106</v>
      </c>
      <c r="B72" s="23" t="s">
        <v>794</v>
      </c>
      <c r="C72" s="23" t="s">
        <v>71</v>
      </c>
      <c r="D72" s="23" t="s">
        <v>72</v>
      </c>
      <c r="E72" s="23" t="s">
        <v>1082</v>
      </c>
      <c r="F72" s="23" t="s">
        <v>1083</v>
      </c>
      <c r="G72" s="23" t="s">
        <v>1047</v>
      </c>
      <c r="H72" s="23" t="s">
        <v>1048</v>
      </c>
      <c r="I72" s="23" t="s">
        <v>1107</v>
      </c>
      <c r="J72" s="23" t="s">
        <v>1050</v>
      </c>
      <c r="K72" s="23" t="s">
        <v>1051</v>
      </c>
      <c r="L72" s="23" t="s">
        <v>1052</v>
      </c>
      <c r="M72" s="23">
        <v>1</v>
      </c>
      <c r="N72" s="23" t="s">
        <v>340</v>
      </c>
      <c r="O72" s="23" t="s">
        <v>1085</v>
      </c>
    </row>
    <row r="73" spans="1:15">
      <c r="A73" s="23" t="s">
        <v>1108</v>
      </c>
      <c r="B73" s="23" t="s">
        <v>794</v>
      </c>
      <c r="C73" s="23" t="s">
        <v>71</v>
      </c>
      <c r="D73" s="23" t="s">
        <v>72</v>
      </c>
      <c r="E73" s="23" t="s">
        <v>1082</v>
      </c>
      <c r="F73" s="23" t="s">
        <v>1083</v>
      </c>
      <c r="G73" s="23" t="s">
        <v>1047</v>
      </c>
      <c r="H73" s="23" t="s">
        <v>1048</v>
      </c>
      <c r="I73" s="23" t="s">
        <v>1109</v>
      </c>
      <c r="J73" s="23" t="s">
        <v>1050</v>
      </c>
      <c r="K73" s="23" t="s">
        <v>1051</v>
      </c>
      <c r="L73" s="23" t="s">
        <v>1052</v>
      </c>
      <c r="M73" s="23">
        <v>1</v>
      </c>
      <c r="N73" s="23" t="s">
        <v>340</v>
      </c>
      <c r="O73" s="23" t="s">
        <v>1085</v>
      </c>
    </row>
    <row r="74" spans="1:15">
      <c r="A74" s="23" t="s">
        <v>1110</v>
      </c>
      <c r="B74" s="23" t="s">
        <v>794</v>
      </c>
      <c r="C74" s="23" t="s">
        <v>71</v>
      </c>
      <c r="D74" s="23" t="s">
        <v>72</v>
      </c>
      <c r="E74" s="23" t="s">
        <v>1082</v>
      </c>
      <c r="F74" s="23" t="s">
        <v>1083</v>
      </c>
      <c r="G74" s="23" t="s">
        <v>1047</v>
      </c>
      <c r="H74" s="23" t="s">
        <v>1048</v>
      </c>
      <c r="I74" s="23" t="s">
        <v>1111</v>
      </c>
      <c r="J74" s="23" t="s">
        <v>1050</v>
      </c>
      <c r="K74" s="23" t="s">
        <v>1051</v>
      </c>
      <c r="L74" s="23" t="s">
        <v>1052</v>
      </c>
      <c r="M74" s="23">
        <v>1</v>
      </c>
      <c r="N74" s="23" t="s">
        <v>340</v>
      </c>
      <c r="O74" s="23" t="s">
        <v>1085</v>
      </c>
    </row>
    <row r="75" spans="1:15">
      <c r="A75" s="23" t="s">
        <v>1112</v>
      </c>
      <c r="B75" s="23" t="s">
        <v>794</v>
      </c>
      <c r="C75" s="23" t="s">
        <v>71</v>
      </c>
      <c r="D75" s="23" t="s">
        <v>72</v>
      </c>
      <c r="E75" s="23" t="s">
        <v>1082</v>
      </c>
      <c r="F75" s="23" t="s">
        <v>1083</v>
      </c>
      <c r="G75" s="23" t="s">
        <v>1047</v>
      </c>
      <c r="H75" s="23" t="s">
        <v>1048</v>
      </c>
      <c r="I75" s="23" t="s">
        <v>1084</v>
      </c>
      <c r="J75" s="23" t="s">
        <v>1050</v>
      </c>
      <c r="K75" s="23" t="s">
        <v>1051</v>
      </c>
      <c r="L75" s="23" t="s">
        <v>1052</v>
      </c>
      <c r="M75" s="23">
        <v>1</v>
      </c>
      <c r="N75" s="23" t="s">
        <v>340</v>
      </c>
      <c r="O75" s="23" t="s">
        <v>1085</v>
      </c>
    </row>
    <row r="76" spans="1:15">
      <c r="A76" s="23" t="s">
        <v>1113</v>
      </c>
      <c r="B76" s="23" t="s">
        <v>794</v>
      </c>
      <c r="C76" s="23" t="s">
        <v>71</v>
      </c>
      <c r="D76" s="23" t="s">
        <v>72</v>
      </c>
      <c r="E76" s="23" t="s">
        <v>1082</v>
      </c>
      <c r="F76" s="23" t="s">
        <v>1083</v>
      </c>
      <c r="G76" s="23" t="s">
        <v>1047</v>
      </c>
      <c r="H76" s="23" t="s">
        <v>1048</v>
      </c>
      <c r="I76" s="23" t="s">
        <v>1114</v>
      </c>
      <c r="J76" s="23" t="s">
        <v>1050</v>
      </c>
      <c r="K76" s="23" t="s">
        <v>1051</v>
      </c>
      <c r="L76" s="23" t="s">
        <v>1052</v>
      </c>
      <c r="M76" s="23">
        <v>1</v>
      </c>
      <c r="N76" s="23" t="s">
        <v>340</v>
      </c>
      <c r="O76" s="23" t="s">
        <v>1085</v>
      </c>
    </row>
    <row r="77" spans="1:15">
      <c r="A77" s="23" t="s">
        <v>1115</v>
      </c>
      <c r="B77" s="23" t="s">
        <v>794</v>
      </c>
      <c r="C77" s="23" t="s">
        <v>71</v>
      </c>
      <c r="D77" s="23" t="s">
        <v>72</v>
      </c>
      <c r="E77" s="23" t="s">
        <v>1082</v>
      </c>
      <c r="F77" s="23" t="s">
        <v>1083</v>
      </c>
      <c r="G77" s="23" t="s">
        <v>1047</v>
      </c>
      <c r="H77" s="23" t="s">
        <v>1048</v>
      </c>
      <c r="I77" s="23" t="s">
        <v>1116</v>
      </c>
      <c r="J77" s="23" t="s">
        <v>1050</v>
      </c>
      <c r="K77" s="23" t="s">
        <v>1051</v>
      </c>
      <c r="L77" s="23" t="s">
        <v>1052</v>
      </c>
      <c r="M77" s="23">
        <v>1</v>
      </c>
      <c r="N77" s="23" t="s">
        <v>340</v>
      </c>
      <c r="O77" s="23" t="s">
        <v>1085</v>
      </c>
    </row>
    <row r="78" spans="1:15">
      <c r="A78" s="23" t="s">
        <v>1117</v>
      </c>
      <c r="B78" s="23" t="s">
        <v>794</v>
      </c>
      <c r="C78" s="23" t="s">
        <v>71</v>
      </c>
      <c r="D78" s="23" t="s">
        <v>72</v>
      </c>
      <c r="E78" s="23" t="s">
        <v>1082</v>
      </c>
      <c r="F78" s="23" t="s">
        <v>1083</v>
      </c>
      <c r="G78" s="23" t="s">
        <v>1047</v>
      </c>
      <c r="H78" s="23" t="s">
        <v>1048</v>
      </c>
      <c r="I78" s="23" t="s">
        <v>1089</v>
      </c>
      <c r="J78" s="23" t="s">
        <v>1050</v>
      </c>
      <c r="K78" s="23" t="s">
        <v>1051</v>
      </c>
      <c r="L78" s="23" t="s">
        <v>1052</v>
      </c>
      <c r="M78" s="23">
        <v>1</v>
      </c>
      <c r="N78" s="23" t="s">
        <v>340</v>
      </c>
      <c r="O78" s="23" t="s">
        <v>1085</v>
      </c>
    </row>
    <row r="79" spans="1:15">
      <c r="A79" s="23" t="s">
        <v>1118</v>
      </c>
      <c r="B79" s="23" t="s">
        <v>794</v>
      </c>
      <c r="C79" s="23" t="s">
        <v>71</v>
      </c>
      <c r="D79" s="23" t="s">
        <v>72</v>
      </c>
      <c r="E79" s="23" t="s">
        <v>1082</v>
      </c>
      <c r="F79" s="23" t="s">
        <v>1083</v>
      </c>
      <c r="G79" s="23" t="s">
        <v>1047</v>
      </c>
      <c r="H79" s="23" t="s">
        <v>1048</v>
      </c>
      <c r="I79" s="23" t="s">
        <v>1119</v>
      </c>
      <c r="J79" s="23" t="s">
        <v>1050</v>
      </c>
      <c r="K79" s="23" t="s">
        <v>1051</v>
      </c>
      <c r="L79" s="23" t="s">
        <v>1052</v>
      </c>
      <c r="M79" s="23">
        <v>1</v>
      </c>
      <c r="N79" s="23" t="s">
        <v>340</v>
      </c>
      <c r="O79" s="23" t="s">
        <v>1085</v>
      </c>
    </row>
    <row r="80" spans="1:15">
      <c r="A80" s="23" t="s">
        <v>1118</v>
      </c>
      <c r="B80" s="23" t="s">
        <v>794</v>
      </c>
      <c r="C80" s="23" t="s">
        <v>71</v>
      </c>
      <c r="D80" s="23" t="s">
        <v>72</v>
      </c>
      <c r="E80" s="23" t="s">
        <v>1082</v>
      </c>
      <c r="F80" s="23" t="s">
        <v>1083</v>
      </c>
      <c r="G80" s="23" t="s">
        <v>1047</v>
      </c>
      <c r="H80" s="23" t="s">
        <v>1048</v>
      </c>
      <c r="I80" s="23" t="s">
        <v>1119</v>
      </c>
      <c r="J80" s="23" t="s">
        <v>1050</v>
      </c>
      <c r="K80" s="23" t="s">
        <v>1051</v>
      </c>
      <c r="L80" s="23" t="s">
        <v>1052</v>
      </c>
      <c r="M80" s="23">
        <v>1</v>
      </c>
      <c r="N80" s="23" t="s">
        <v>340</v>
      </c>
      <c r="O80" s="23" t="s">
        <v>1085</v>
      </c>
    </row>
    <row r="81" spans="1:15">
      <c r="A81" s="23" t="s">
        <v>1120</v>
      </c>
      <c r="B81" s="23" t="s">
        <v>794</v>
      </c>
      <c r="C81" s="23" t="s">
        <v>71</v>
      </c>
      <c r="D81" s="23" t="s">
        <v>72</v>
      </c>
      <c r="E81" s="23" t="s">
        <v>1082</v>
      </c>
      <c r="F81" s="23" t="s">
        <v>1083</v>
      </c>
      <c r="G81" s="23" t="s">
        <v>1047</v>
      </c>
      <c r="H81" s="23" t="s">
        <v>1048</v>
      </c>
      <c r="I81" s="23" t="s">
        <v>1121</v>
      </c>
      <c r="J81" s="23" t="s">
        <v>1050</v>
      </c>
      <c r="K81" s="23" t="s">
        <v>1051</v>
      </c>
      <c r="L81" s="23" t="s">
        <v>1052</v>
      </c>
      <c r="M81" s="23">
        <v>1</v>
      </c>
      <c r="N81" s="23" t="s">
        <v>340</v>
      </c>
      <c r="O81" s="23" t="s">
        <v>1085</v>
      </c>
    </row>
    <row r="82" spans="1:15">
      <c r="A82" s="23" t="s">
        <v>1122</v>
      </c>
      <c r="B82" s="23" t="s">
        <v>794</v>
      </c>
      <c r="C82" s="23" t="s">
        <v>71</v>
      </c>
      <c r="D82" s="23" t="s">
        <v>72</v>
      </c>
      <c r="E82" s="23" t="s">
        <v>1082</v>
      </c>
      <c r="F82" s="23" t="s">
        <v>1083</v>
      </c>
      <c r="G82" s="23" t="s">
        <v>1047</v>
      </c>
      <c r="H82" s="23" t="s">
        <v>1048</v>
      </c>
      <c r="I82" s="23" t="s">
        <v>1123</v>
      </c>
      <c r="J82" s="23" t="s">
        <v>1050</v>
      </c>
      <c r="K82" s="23" t="s">
        <v>1051</v>
      </c>
      <c r="L82" s="23" t="s">
        <v>1052</v>
      </c>
      <c r="M82" s="23">
        <v>1</v>
      </c>
      <c r="N82" s="23" t="s">
        <v>340</v>
      </c>
      <c r="O82" s="23" t="s">
        <v>1085</v>
      </c>
    </row>
    <row r="83" spans="1:15">
      <c r="A83" s="23" t="s">
        <v>1124</v>
      </c>
      <c r="B83" s="23" t="s">
        <v>794</v>
      </c>
      <c r="C83" s="23" t="s">
        <v>71</v>
      </c>
      <c r="D83" s="23" t="s">
        <v>72</v>
      </c>
      <c r="E83" s="23" t="s">
        <v>1082</v>
      </c>
      <c r="F83" s="23" t="s">
        <v>1083</v>
      </c>
      <c r="G83" s="23" t="s">
        <v>1047</v>
      </c>
      <c r="H83" s="23" t="s">
        <v>1048</v>
      </c>
      <c r="I83" s="23" t="s">
        <v>1125</v>
      </c>
      <c r="J83" s="23" t="s">
        <v>1050</v>
      </c>
      <c r="K83" s="23" t="s">
        <v>1051</v>
      </c>
      <c r="L83" s="23" t="s">
        <v>1052</v>
      </c>
      <c r="M83" s="23">
        <v>1</v>
      </c>
      <c r="N83" s="23" t="s">
        <v>340</v>
      </c>
      <c r="O83" s="23" t="s">
        <v>1085</v>
      </c>
    </row>
    <row r="84" spans="1:15">
      <c r="A84" s="23" t="s">
        <v>1126</v>
      </c>
      <c r="B84" s="23" t="s">
        <v>794</v>
      </c>
      <c r="C84" s="23" t="s">
        <v>71</v>
      </c>
      <c r="D84" s="23" t="s">
        <v>72</v>
      </c>
      <c r="E84" s="23" t="s">
        <v>1082</v>
      </c>
      <c r="F84" s="23" t="s">
        <v>1083</v>
      </c>
      <c r="G84" s="23" t="s">
        <v>1047</v>
      </c>
      <c r="H84" s="23" t="s">
        <v>1048</v>
      </c>
      <c r="I84" s="23" t="s">
        <v>1087</v>
      </c>
      <c r="J84" s="23" t="s">
        <v>1050</v>
      </c>
      <c r="K84" s="23" t="s">
        <v>1051</v>
      </c>
      <c r="L84" s="23" t="s">
        <v>1052</v>
      </c>
      <c r="M84" s="23">
        <v>1</v>
      </c>
      <c r="N84" s="23" t="s">
        <v>340</v>
      </c>
      <c r="O84" s="23" t="s">
        <v>1085</v>
      </c>
    </row>
    <row r="85" spans="1:15">
      <c r="A85" s="23" t="s">
        <v>1120</v>
      </c>
      <c r="B85" s="23" t="s">
        <v>794</v>
      </c>
      <c r="C85" s="23" t="s">
        <v>71</v>
      </c>
      <c r="D85" s="23" t="s">
        <v>72</v>
      </c>
      <c r="E85" s="23" t="s">
        <v>1082</v>
      </c>
      <c r="F85" s="23" t="s">
        <v>1083</v>
      </c>
      <c r="G85" s="23" t="s">
        <v>1047</v>
      </c>
      <c r="H85" s="23" t="s">
        <v>1048</v>
      </c>
      <c r="I85" s="23" t="s">
        <v>1121</v>
      </c>
      <c r="J85" s="23" t="s">
        <v>1050</v>
      </c>
      <c r="K85" s="23" t="s">
        <v>1051</v>
      </c>
      <c r="L85" s="23" t="s">
        <v>1052</v>
      </c>
      <c r="M85" s="23">
        <v>1</v>
      </c>
      <c r="N85" s="23" t="s">
        <v>340</v>
      </c>
      <c r="O85" s="23" t="s">
        <v>1085</v>
      </c>
    </row>
    <row r="86" spans="1:15">
      <c r="A86" s="23" t="s">
        <v>1122</v>
      </c>
      <c r="B86" s="23" t="s">
        <v>794</v>
      </c>
      <c r="C86" s="23" t="s">
        <v>71</v>
      </c>
      <c r="D86" s="23" t="s">
        <v>72</v>
      </c>
      <c r="E86" s="23" t="s">
        <v>1082</v>
      </c>
      <c r="F86" s="23" t="s">
        <v>1083</v>
      </c>
      <c r="G86" s="23" t="s">
        <v>1047</v>
      </c>
      <c r="H86" s="23" t="s">
        <v>1048</v>
      </c>
      <c r="I86" s="23" t="s">
        <v>1123</v>
      </c>
      <c r="J86" s="23" t="s">
        <v>1050</v>
      </c>
      <c r="K86" s="23" t="s">
        <v>1051</v>
      </c>
      <c r="L86" s="23" t="s">
        <v>1052</v>
      </c>
      <c r="M86" s="23">
        <v>1</v>
      </c>
      <c r="N86" s="23" t="s">
        <v>340</v>
      </c>
      <c r="O86" s="23" t="s">
        <v>1085</v>
      </c>
    </row>
    <row r="87" spans="1:15">
      <c r="A87" s="23" t="s">
        <v>1124</v>
      </c>
      <c r="B87" s="23" t="s">
        <v>794</v>
      </c>
      <c r="C87" s="23" t="s">
        <v>71</v>
      </c>
      <c r="D87" s="23" t="s">
        <v>72</v>
      </c>
      <c r="E87" s="23" t="s">
        <v>1082</v>
      </c>
      <c r="F87" s="23" t="s">
        <v>1083</v>
      </c>
      <c r="G87" s="23" t="s">
        <v>1047</v>
      </c>
      <c r="H87" s="23" t="s">
        <v>1048</v>
      </c>
      <c r="I87" s="23" t="s">
        <v>1125</v>
      </c>
      <c r="J87" s="23" t="s">
        <v>1050</v>
      </c>
      <c r="K87" s="23" t="s">
        <v>1051</v>
      </c>
      <c r="L87" s="23" t="s">
        <v>1052</v>
      </c>
      <c r="M87" s="23">
        <v>1</v>
      </c>
      <c r="N87" s="23" t="s">
        <v>340</v>
      </c>
      <c r="O87" s="23" t="s">
        <v>1085</v>
      </c>
    </row>
    <row r="88" spans="1:15">
      <c r="A88" s="23" t="s">
        <v>1126</v>
      </c>
      <c r="B88" s="23" t="s">
        <v>794</v>
      </c>
      <c r="C88" s="23" t="s">
        <v>71</v>
      </c>
      <c r="D88" s="23" t="s">
        <v>72</v>
      </c>
      <c r="E88" s="23" t="s">
        <v>1082</v>
      </c>
      <c r="F88" s="23" t="s">
        <v>1083</v>
      </c>
      <c r="G88" s="23" t="s">
        <v>1047</v>
      </c>
      <c r="H88" s="23" t="s">
        <v>1048</v>
      </c>
      <c r="I88" s="23" t="s">
        <v>1087</v>
      </c>
      <c r="J88" s="23" t="s">
        <v>1050</v>
      </c>
      <c r="K88" s="23" t="s">
        <v>1051</v>
      </c>
      <c r="L88" s="23" t="s">
        <v>1052</v>
      </c>
      <c r="M88" s="23">
        <v>1</v>
      </c>
      <c r="N88" s="23" t="s">
        <v>340</v>
      </c>
      <c r="O88" s="23" t="s">
        <v>1085</v>
      </c>
    </row>
    <row r="89" spans="1:15">
      <c r="A89" s="23" t="s">
        <v>1127</v>
      </c>
      <c r="B89" s="23" t="s">
        <v>794</v>
      </c>
      <c r="C89" s="23" t="s">
        <v>71</v>
      </c>
      <c r="D89" s="23" t="s">
        <v>72</v>
      </c>
      <c r="E89" s="23" t="s">
        <v>1082</v>
      </c>
      <c r="F89" s="23" t="s">
        <v>1083</v>
      </c>
      <c r="G89" s="23" t="s">
        <v>1047</v>
      </c>
      <c r="H89" s="23" t="s">
        <v>1048</v>
      </c>
      <c r="I89" s="23" t="s">
        <v>1128</v>
      </c>
      <c r="J89" s="23" t="s">
        <v>1050</v>
      </c>
      <c r="K89" s="23" t="s">
        <v>1051</v>
      </c>
      <c r="L89" s="23" t="s">
        <v>1052</v>
      </c>
      <c r="M89" s="23">
        <v>1</v>
      </c>
      <c r="N89" s="23" t="s">
        <v>340</v>
      </c>
      <c r="O89" s="23" t="s">
        <v>1085</v>
      </c>
    </row>
    <row r="90" spans="1:15">
      <c r="A90" s="23" t="s">
        <v>1129</v>
      </c>
      <c r="B90" s="23" t="s">
        <v>794</v>
      </c>
      <c r="C90" s="23" t="s">
        <v>71</v>
      </c>
      <c r="D90" s="23" t="s">
        <v>72</v>
      </c>
      <c r="E90" s="23" t="s">
        <v>1082</v>
      </c>
      <c r="F90" s="23" t="s">
        <v>1083</v>
      </c>
      <c r="G90" s="23" t="s">
        <v>1047</v>
      </c>
      <c r="H90" s="23" t="s">
        <v>1048</v>
      </c>
      <c r="I90" s="23" t="s">
        <v>1130</v>
      </c>
      <c r="J90" s="23" t="s">
        <v>1050</v>
      </c>
      <c r="K90" s="23" t="s">
        <v>1051</v>
      </c>
      <c r="L90" s="23" t="s">
        <v>1052</v>
      </c>
      <c r="M90" s="23">
        <v>1</v>
      </c>
      <c r="N90" s="23" t="s">
        <v>340</v>
      </c>
      <c r="O90" s="23" t="s">
        <v>1085</v>
      </c>
    </row>
    <row r="91" spans="1:15">
      <c r="A91" s="23" t="s">
        <v>1131</v>
      </c>
      <c r="B91" s="23" t="s">
        <v>794</v>
      </c>
      <c r="C91" s="23" t="s">
        <v>71</v>
      </c>
      <c r="D91" s="23" t="s">
        <v>72</v>
      </c>
      <c r="E91" s="23" t="s">
        <v>1082</v>
      </c>
      <c r="F91" s="23" t="s">
        <v>1083</v>
      </c>
      <c r="G91" s="23" t="s">
        <v>1047</v>
      </c>
      <c r="H91" s="23" t="s">
        <v>1048</v>
      </c>
      <c r="I91" s="23" t="s">
        <v>1132</v>
      </c>
      <c r="J91" s="23" t="s">
        <v>1050</v>
      </c>
      <c r="K91" s="23" t="s">
        <v>1051</v>
      </c>
      <c r="L91" s="23" t="s">
        <v>1052</v>
      </c>
      <c r="M91" s="23">
        <v>1</v>
      </c>
      <c r="N91" s="23" t="s">
        <v>340</v>
      </c>
      <c r="O91" s="23" t="s">
        <v>1085</v>
      </c>
    </row>
    <row r="92" spans="1:15">
      <c r="A92" s="23" t="s">
        <v>1133</v>
      </c>
      <c r="B92" s="23" t="s">
        <v>794</v>
      </c>
      <c r="C92" s="23" t="s">
        <v>71</v>
      </c>
      <c r="D92" s="23" t="s">
        <v>72</v>
      </c>
      <c r="E92" s="23" t="s">
        <v>1082</v>
      </c>
      <c r="F92" s="23" t="s">
        <v>1083</v>
      </c>
      <c r="G92" s="23" t="s">
        <v>1047</v>
      </c>
      <c r="H92" s="23" t="s">
        <v>1048</v>
      </c>
      <c r="I92" s="23" t="s">
        <v>1091</v>
      </c>
      <c r="J92" s="23" t="s">
        <v>1050</v>
      </c>
      <c r="K92" s="23" t="s">
        <v>1051</v>
      </c>
      <c r="L92" s="23" t="s">
        <v>1052</v>
      </c>
      <c r="M92" s="23">
        <v>1</v>
      </c>
      <c r="N92" s="23" t="s">
        <v>340</v>
      </c>
      <c r="O92" s="23" t="s">
        <v>1085</v>
      </c>
    </row>
    <row r="93" spans="1:15">
      <c r="A93" s="23" t="s">
        <v>1134</v>
      </c>
      <c r="B93" s="23" t="s">
        <v>794</v>
      </c>
      <c r="C93" s="23" t="s">
        <v>71</v>
      </c>
      <c r="D93" s="23" t="s">
        <v>72</v>
      </c>
      <c r="E93" s="23" t="s">
        <v>1082</v>
      </c>
      <c r="F93" s="23" t="s">
        <v>1083</v>
      </c>
      <c r="G93" s="23" t="s">
        <v>1047</v>
      </c>
      <c r="H93" s="23" t="s">
        <v>1048</v>
      </c>
      <c r="I93" s="23" t="s">
        <v>1135</v>
      </c>
      <c r="J93" s="23" t="s">
        <v>1050</v>
      </c>
      <c r="K93" s="23" t="s">
        <v>1051</v>
      </c>
      <c r="L93" s="23" t="s">
        <v>1052</v>
      </c>
      <c r="M93" s="23">
        <v>1</v>
      </c>
      <c r="N93" s="23" t="s">
        <v>340</v>
      </c>
      <c r="O93" s="23" t="s">
        <v>1085</v>
      </c>
    </row>
    <row r="94" spans="1:15">
      <c r="A94" s="23" t="s">
        <v>1136</v>
      </c>
      <c r="B94" s="23" t="s">
        <v>794</v>
      </c>
      <c r="C94" s="23" t="s">
        <v>71</v>
      </c>
      <c r="D94" s="23" t="s">
        <v>72</v>
      </c>
      <c r="E94" s="23" t="s">
        <v>1082</v>
      </c>
      <c r="F94" s="23" t="s">
        <v>1083</v>
      </c>
      <c r="G94" s="23" t="s">
        <v>1047</v>
      </c>
      <c r="H94" s="23" t="s">
        <v>1048</v>
      </c>
      <c r="I94" s="23" t="s">
        <v>1137</v>
      </c>
      <c r="J94" s="23" t="s">
        <v>1050</v>
      </c>
      <c r="K94" s="23" t="s">
        <v>1051</v>
      </c>
      <c r="L94" s="23" t="s">
        <v>1052</v>
      </c>
      <c r="M94" s="23">
        <v>1</v>
      </c>
      <c r="N94" s="23" t="s">
        <v>340</v>
      </c>
      <c r="O94" s="23" t="s">
        <v>1085</v>
      </c>
    </row>
    <row r="95" spans="1:15">
      <c r="A95" s="23" t="s">
        <v>1127</v>
      </c>
      <c r="B95" s="23" t="s">
        <v>794</v>
      </c>
      <c r="C95" s="23" t="s">
        <v>71</v>
      </c>
      <c r="D95" s="23" t="s">
        <v>72</v>
      </c>
      <c r="E95" s="23" t="s">
        <v>1082</v>
      </c>
      <c r="F95" s="23" t="s">
        <v>1083</v>
      </c>
      <c r="G95" s="23" t="s">
        <v>1047</v>
      </c>
      <c r="H95" s="23" t="s">
        <v>1048</v>
      </c>
      <c r="I95" s="23" t="s">
        <v>1128</v>
      </c>
      <c r="J95" s="23" t="s">
        <v>1050</v>
      </c>
      <c r="K95" s="23" t="s">
        <v>1051</v>
      </c>
      <c r="L95" s="23" t="s">
        <v>1052</v>
      </c>
      <c r="M95" s="23">
        <v>1</v>
      </c>
      <c r="N95" s="23" t="s">
        <v>340</v>
      </c>
      <c r="O95" s="23" t="s">
        <v>1085</v>
      </c>
    </row>
    <row r="96" spans="1:15">
      <c r="A96" s="23" t="s">
        <v>1129</v>
      </c>
      <c r="B96" s="23" t="s">
        <v>794</v>
      </c>
      <c r="C96" s="23" t="s">
        <v>71</v>
      </c>
      <c r="D96" s="23" t="s">
        <v>72</v>
      </c>
      <c r="E96" s="23" t="s">
        <v>1082</v>
      </c>
      <c r="F96" s="23" t="s">
        <v>1083</v>
      </c>
      <c r="G96" s="23" t="s">
        <v>1047</v>
      </c>
      <c r="H96" s="23" t="s">
        <v>1048</v>
      </c>
      <c r="I96" s="23" t="s">
        <v>1130</v>
      </c>
      <c r="J96" s="23" t="s">
        <v>1050</v>
      </c>
      <c r="K96" s="23" t="s">
        <v>1051</v>
      </c>
      <c r="L96" s="23" t="s">
        <v>1052</v>
      </c>
      <c r="M96" s="23">
        <v>1</v>
      </c>
      <c r="N96" s="23" t="s">
        <v>340</v>
      </c>
      <c r="O96" s="23" t="s">
        <v>1085</v>
      </c>
    </row>
    <row r="97" spans="1:15">
      <c r="A97" s="23" t="s">
        <v>1131</v>
      </c>
      <c r="B97" s="23" t="s">
        <v>794</v>
      </c>
      <c r="C97" s="23" t="s">
        <v>71</v>
      </c>
      <c r="D97" s="23" t="s">
        <v>72</v>
      </c>
      <c r="E97" s="23" t="s">
        <v>1082</v>
      </c>
      <c r="F97" s="23" t="s">
        <v>1083</v>
      </c>
      <c r="G97" s="23" t="s">
        <v>1047</v>
      </c>
      <c r="H97" s="23" t="s">
        <v>1048</v>
      </c>
      <c r="I97" s="23" t="s">
        <v>1132</v>
      </c>
      <c r="J97" s="23" t="s">
        <v>1050</v>
      </c>
      <c r="K97" s="23" t="s">
        <v>1051</v>
      </c>
      <c r="L97" s="23" t="s">
        <v>1052</v>
      </c>
      <c r="M97" s="23">
        <v>1</v>
      </c>
      <c r="N97" s="23" t="s">
        <v>340</v>
      </c>
      <c r="O97" s="23" t="s">
        <v>1085</v>
      </c>
    </row>
    <row r="98" spans="1:15">
      <c r="A98" s="23" t="s">
        <v>1133</v>
      </c>
      <c r="B98" s="23" t="s">
        <v>794</v>
      </c>
      <c r="C98" s="23" t="s">
        <v>71</v>
      </c>
      <c r="D98" s="23" t="s">
        <v>72</v>
      </c>
      <c r="E98" s="23" t="s">
        <v>1082</v>
      </c>
      <c r="F98" s="23" t="s">
        <v>1083</v>
      </c>
      <c r="G98" s="23" t="s">
        <v>1047</v>
      </c>
      <c r="H98" s="23" t="s">
        <v>1048</v>
      </c>
      <c r="I98" s="23" t="s">
        <v>1091</v>
      </c>
      <c r="J98" s="23" t="s">
        <v>1050</v>
      </c>
      <c r="K98" s="23" t="s">
        <v>1051</v>
      </c>
      <c r="L98" s="23" t="s">
        <v>1052</v>
      </c>
      <c r="M98" s="23">
        <v>1</v>
      </c>
      <c r="N98" s="23" t="s">
        <v>340</v>
      </c>
      <c r="O98" s="23" t="s">
        <v>1085</v>
      </c>
    </row>
    <row r="99" spans="1:15">
      <c r="A99" s="23" t="s">
        <v>1134</v>
      </c>
      <c r="B99" s="23" t="s">
        <v>794</v>
      </c>
      <c r="C99" s="23" t="s">
        <v>71</v>
      </c>
      <c r="D99" s="23" t="s">
        <v>72</v>
      </c>
      <c r="E99" s="23" t="s">
        <v>1082</v>
      </c>
      <c r="F99" s="23" t="s">
        <v>1083</v>
      </c>
      <c r="G99" s="23" t="s">
        <v>1047</v>
      </c>
      <c r="H99" s="23" t="s">
        <v>1048</v>
      </c>
      <c r="I99" s="23" t="s">
        <v>1135</v>
      </c>
      <c r="J99" s="23" t="s">
        <v>1050</v>
      </c>
      <c r="K99" s="23" t="s">
        <v>1051</v>
      </c>
      <c r="L99" s="23" t="s">
        <v>1052</v>
      </c>
      <c r="M99" s="23">
        <v>1</v>
      </c>
      <c r="N99" s="23" t="s">
        <v>340</v>
      </c>
      <c r="O99" s="23" t="s">
        <v>1085</v>
      </c>
    </row>
    <row r="100" spans="1:15">
      <c r="A100" s="23" t="s">
        <v>1136</v>
      </c>
      <c r="B100" s="23" t="s">
        <v>794</v>
      </c>
      <c r="C100" s="23" t="s">
        <v>71</v>
      </c>
      <c r="D100" s="23" t="s">
        <v>72</v>
      </c>
      <c r="E100" s="23" t="s">
        <v>1082</v>
      </c>
      <c r="F100" s="23" t="s">
        <v>1083</v>
      </c>
      <c r="G100" s="23" t="s">
        <v>1047</v>
      </c>
      <c r="H100" s="23" t="s">
        <v>1048</v>
      </c>
      <c r="I100" s="23" t="s">
        <v>1137</v>
      </c>
      <c r="J100" s="23" t="s">
        <v>1050</v>
      </c>
      <c r="K100" s="23" t="s">
        <v>1051</v>
      </c>
      <c r="L100" s="23" t="s">
        <v>1052</v>
      </c>
      <c r="M100" s="23">
        <v>1</v>
      </c>
      <c r="N100" s="23" t="s">
        <v>340</v>
      </c>
      <c r="O100" s="23" t="s">
        <v>1085</v>
      </c>
    </row>
    <row r="101" spans="1:15">
      <c r="A101" s="23" t="s">
        <v>1138</v>
      </c>
      <c r="B101" s="23" t="s">
        <v>794</v>
      </c>
      <c r="C101" s="23" t="s">
        <v>71</v>
      </c>
      <c r="D101" s="23" t="s">
        <v>72</v>
      </c>
      <c r="E101" s="23" t="s">
        <v>1082</v>
      </c>
      <c r="F101" s="23" t="s">
        <v>1083</v>
      </c>
      <c r="G101" s="23" t="s">
        <v>1047</v>
      </c>
      <c r="H101" s="23" t="s">
        <v>1048</v>
      </c>
      <c r="I101" s="23" t="s">
        <v>1091</v>
      </c>
      <c r="J101" s="23" t="s">
        <v>1050</v>
      </c>
      <c r="K101" s="23" t="s">
        <v>1051</v>
      </c>
      <c r="L101" s="23" t="s">
        <v>1052</v>
      </c>
      <c r="M101" s="23">
        <v>1</v>
      </c>
      <c r="N101" s="23" t="s">
        <v>340</v>
      </c>
      <c r="O101" s="23" t="s">
        <v>1085</v>
      </c>
    </row>
    <row r="102" spans="1:15">
      <c r="A102" s="23" t="s">
        <v>1139</v>
      </c>
      <c r="B102" s="23" t="s">
        <v>794</v>
      </c>
      <c r="C102" s="23" t="s">
        <v>71</v>
      </c>
      <c r="D102" s="23" t="s">
        <v>72</v>
      </c>
      <c r="E102" s="23" t="s">
        <v>1082</v>
      </c>
      <c r="F102" s="23" t="s">
        <v>1083</v>
      </c>
      <c r="G102" s="23" t="s">
        <v>1047</v>
      </c>
      <c r="H102" s="23" t="s">
        <v>1048</v>
      </c>
      <c r="I102" s="23" t="s">
        <v>1093</v>
      </c>
      <c r="J102" s="23" t="s">
        <v>1050</v>
      </c>
      <c r="K102" s="23" t="s">
        <v>1051</v>
      </c>
      <c r="L102" s="23" t="s">
        <v>1052</v>
      </c>
      <c r="M102" s="23">
        <v>1</v>
      </c>
      <c r="N102" s="23" t="s">
        <v>340</v>
      </c>
      <c r="O102" s="23" t="s">
        <v>1085</v>
      </c>
    </row>
    <row r="103" spans="1:15">
      <c r="A103" s="23" t="s">
        <v>1138</v>
      </c>
      <c r="B103" s="23" t="s">
        <v>794</v>
      </c>
      <c r="C103" s="23" t="s">
        <v>71</v>
      </c>
      <c r="D103" s="23" t="s">
        <v>72</v>
      </c>
      <c r="E103" s="23" t="s">
        <v>1082</v>
      </c>
      <c r="F103" s="23" t="s">
        <v>1083</v>
      </c>
      <c r="G103" s="23" t="s">
        <v>1047</v>
      </c>
      <c r="H103" s="23" t="s">
        <v>1048</v>
      </c>
      <c r="I103" s="23" t="s">
        <v>1091</v>
      </c>
      <c r="J103" s="23" t="s">
        <v>1050</v>
      </c>
      <c r="K103" s="23" t="s">
        <v>1051</v>
      </c>
      <c r="L103" s="23" t="s">
        <v>1052</v>
      </c>
      <c r="M103" s="23">
        <v>1</v>
      </c>
      <c r="N103" s="23" t="s">
        <v>340</v>
      </c>
      <c r="O103" s="23" t="s">
        <v>1085</v>
      </c>
    </row>
    <row r="104" spans="1:15">
      <c r="A104" s="23" t="s">
        <v>1139</v>
      </c>
      <c r="B104" s="23" t="s">
        <v>794</v>
      </c>
      <c r="C104" s="23" t="s">
        <v>71</v>
      </c>
      <c r="D104" s="23" t="s">
        <v>72</v>
      </c>
      <c r="E104" s="23" t="s">
        <v>1082</v>
      </c>
      <c r="F104" s="23" t="s">
        <v>1083</v>
      </c>
      <c r="G104" s="23" t="s">
        <v>1047</v>
      </c>
      <c r="H104" s="23" t="s">
        <v>1048</v>
      </c>
      <c r="I104" s="23" t="s">
        <v>1093</v>
      </c>
      <c r="J104" s="23" t="s">
        <v>1050</v>
      </c>
      <c r="K104" s="23" t="s">
        <v>1051</v>
      </c>
      <c r="L104" s="23" t="s">
        <v>1052</v>
      </c>
      <c r="M104" s="23">
        <v>1</v>
      </c>
      <c r="N104" s="23" t="s">
        <v>340</v>
      </c>
      <c r="O104" s="23" t="s">
        <v>1085</v>
      </c>
    </row>
    <row r="105" spans="1:15">
      <c r="A105" s="23" t="s">
        <v>1140</v>
      </c>
      <c r="B105" s="23" t="s">
        <v>794</v>
      </c>
      <c r="C105" s="23" t="s">
        <v>71</v>
      </c>
      <c r="D105" s="23" t="s">
        <v>72</v>
      </c>
      <c r="E105" s="23" t="s">
        <v>1082</v>
      </c>
      <c r="F105" s="23" t="s">
        <v>1083</v>
      </c>
      <c r="G105" s="23" t="s">
        <v>1047</v>
      </c>
      <c r="H105" s="23" t="s">
        <v>1048</v>
      </c>
      <c r="I105" s="23" t="s">
        <v>1141</v>
      </c>
      <c r="J105" s="23" t="s">
        <v>1050</v>
      </c>
      <c r="K105" s="23" t="s">
        <v>1051</v>
      </c>
      <c r="L105" s="23" t="s">
        <v>1052</v>
      </c>
      <c r="M105" s="23">
        <v>1</v>
      </c>
      <c r="N105" s="23" t="s">
        <v>340</v>
      </c>
      <c r="O105" s="23" t="s">
        <v>1085</v>
      </c>
    </row>
    <row r="106" spans="1:15">
      <c r="A106" s="23" t="s">
        <v>1142</v>
      </c>
      <c r="B106" s="23" t="s">
        <v>794</v>
      </c>
      <c r="C106" s="23" t="s">
        <v>71</v>
      </c>
      <c r="D106" s="23" t="s">
        <v>72</v>
      </c>
      <c r="E106" s="23" t="s">
        <v>1082</v>
      </c>
      <c r="F106" s="23" t="s">
        <v>1083</v>
      </c>
      <c r="G106" s="23" t="s">
        <v>1047</v>
      </c>
      <c r="H106" s="23" t="s">
        <v>1048</v>
      </c>
      <c r="I106" s="23" t="s">
        <v>1093</v>
      </c>
      <c r="J106" s="23" t="s">
        <v>1050</v>
      </c>
      <c r="K106" s="23" t="s">
        <v>1051</v>
      </c>
      <c r="L106" s="23" t="s">
        <v>1052</v>
      </c>
      <c r="M106" s="23">
        <v>1</v>
      </c>
      <c r="N106" s="23" t="s">
        <v>340</v>
      </c>
      <c r="O106" s="23" t="s">
        <v>1085</v>
      </c>
    </row>
    <row r="107" spans="1:15">
      <c r="A107" s="23" t="s">
        <v>1143</v>
      </c>
      <c r="B107" s="23" t="s">
        <v>794</v>
      </c>
      <c r="C107" s="23" t="s">
        <v>71</v>
      </c>
      <c r="D107" s="23" t="s">
        <v>72</v>
      </c>
      <c r="E107" s="23" t="s">
        <v>1082</v>
      </c>
      <c r="F107" s="23" t="s">
        <v>1083</v>
      </c>
      <c r="G107" s="23" t="s">
        <v>1047</v>
      </c>
      <c r="H107" s="23" t="s">
        <v>1048</v>
      </c>
      <c r="I107" s="23" t="s">
        <v>1095</v>
      </c>
      <c r="J107" s="23" t="s">
        <v>1050</v>
      </c>
      <c r="K107" s="23" t="s">
        <v>1051</v>
      </c>
      <c r="L107" s="23" t="s">
        <v>1052</v>
      </c>
      <c r="M107" s="23">
        <v>1</v>
      </c>
      <c r="N107" s="23" t="s">
        <v>340</v>
      </c>
      <c r="O107" s="23" t="s">
        <v>1085</v>
      </c>
    </row>
    <row r="108" spans="1:15">
      <c r="A108" s="23" t="s">
        <v>1140</v>
      </c>
      <c r="B108" s="23" t="s">
        <v>794</v>
      </c>
      <c r="C108" s="23" t="s">
        <v>71</v>
      </c>
      <c r="D108" s="23" t="s">
        <v>72</v>
      </c>
      <c r="E108" s="23" t="s">
        <v>1082</v>
      </c>
      <c r="F108" s="23" t="s">
        <v>1083</v>
      </c>
      <c r="G108" s="23" t="s">
        <v>1047</v>
      </c>
      <c r="H108" s="23" t="s">
        <v>1048</v>
      </c>
      <c r="I108" s="23" t="s">
        <v>1141</v>
      </c>
      <c r="J108" s="23" t="s">
        <v>1050</v>
      </c>
      <c r="K108" s="23" t="s">
        <v>1051</v>
      </c>
      <c r="L108" s="23" t="s">
        <v>1052</v>
      </c>
      <c r="M108" s="23">
        <v>1</v>
      </c>
      <c r="N108" s="23" t="s">
        <v>340</v>
      </c>
      <c r="O108" s="23" t="s">
        <v>1085</v>
      </c>
    </row>
    <row r="109" spans="1:15">
      <c r="A109" s="23" t="s">
        <v>1142</v>
      </c>
      <c r="B109" s="23" t="s">
        <v>794</v>
      </c>
      <c r="C109" s="23" t="s">
        <v>71</v>
      </c>
      <c r="D109" s="23" t="s">
        <v>72</v>
      </c>
      <c r="E109" s="23" t="s">
        <v>1082</v>
      </c>
      <c r="F109" s="23" t="s">
        <v>1083</v>
      </c>
      <c r="G109" s="23" t="s">
        <v>1047</v>
      </c>
      <c r="H109" s="23" t="s">
        <v>1048</v>
      </c>
      <c r="I109" s="23" t="s">
        <v>1093</v>
      </c>
      <c r="J109" s="23" t="s">
        <v>1050</v>
      </c>
      <c r="K109" s="23" t="s">
        <v>1051</v>
      </c>
      <c r="L109" s="23" t="s">
        <v>1052</v>
      </c>
      <c r="M109" s="23">
        <v>1</v>
      </c>
      <c r="N109" s="23" t="s">
        <v>340</v>
      </c>
      <c r="O109" s="23" t="s">
        <v>1085</v>
      </c>
    </row>
    <row r="110" spans="1:15">
      <c r="A110" s="23" t="s">
        <v>1143</v>
      </c>
      <c r="B110" s="23" t="s">
        <v>794</v>
      </c>
      <c r="C110" s="23" t="s">
        <v>71</v>
      </c>
      <c r="D110" s="23" t="s">
        <v>72</v>
      </c>
      <c r="E110" s="23" t="s">
        <v>1082</v>
      </c>
      <c r="F110" s="23" t="s">
        <v>1083</v>
      </c>
      <c r="G110" s="23" t="s">
        <v>1047</v>
      </c>
      <c r="H110" s="23" t="s">
        <v>1048</v>
      </c>
      <c r="I110" s="23" t="s">
        <v>1095</v>
      </c>
      <c r="J110" s="23" t="s">
        <v>1050</v>
      </c>
      <c r="K110" s="23" t="s">
        <v>1051</v>
      </c>
      <c r="L110" s="23" t="s">
        <v>1052</v>
      </c>
      <c r="M110" s="23">
        <v>1</v>
      </c>
      <c r="N110" s="23" t="s">
        <v>340</v>
      </c>
      <c r="O110" s="23" t="s">
        <v>1085</v>
      </c>
    </row>
    <row r="111" spans="1:15">
      <c r="A111" s="23" t="s">
        <v>1144</v>
      </c>
      <c r="B111" s="23" t="s">
        <v>794</v>
      </c>
      <c r="C111" s="23" t="s">
        <v>71</v>
      </c>
      <c r="D111" s="23" t="s">
        <v>72</v>
      </c>
      <c r="E111" s="23" t="s">
        <v>1082</v>
      </c>
      <c r="F111" s="23" t="s">
        <v>1083</v>
      </c>
      <c r="G111" s="23" t="s">
        <v>1047</v>
      </c>
      <c r="H111" s="23" t="s">
        <v>1048</v>
      </c>
      <c r="I111" s="23" t="s">
        <v>1145</v>
      </c>
      <c r="J111" s="23" t="s">
        <v>1050</v>
      </c>
      <c r="K111" s="23" t="s">
        <v>1051</v>
      </c>
      <c r="L111" s="23" t="s">
        <v>1052</v>
      </c>
      <c r="M111" s="23">
        <v>1</v>
      </c>
      <c r="N111" s="23" t="s">
        <v>340</v>
      </c>
      <c r="O111" s="23" t="s">
        <v>1085</v>
      </c>
    </row>
    <row r="112" spans="1:15">
      <c r="A112" s="23" t="s">
        <v>1144</v>
      </c>
      <c r="B112" s="23" t="s">
        <v>794</v>
      </c>
      <c r="C112" s="23" t="s">
        <v>71</v>
      </c>
      <c r="D112" s="23" t="s">
        <v>72</v>
      </c>
      <c r="E112" s="23" t="s">
        <v>1082</v>
      </c>
      <c r="F112" s="23" t="s">
        <v>1083</v>
      </c>
      <c r="G112" s="23" t="s">
        <v>1047</v>
      </c>
      <c r="H112" s="23" t="s">
        <v>1048</v>
      </c>
      <c r="I112" s="23" t="s">
        <v>1145</v>
      </c>
      <c r="J112" s="23" t="s">
        <v>1050</v>
      </c>
      <c r="K112" s="23" t="s">
        <v>1051</v>
      </c>
      <c r="L112" s="23" t="s">
        <v>1052</v>
      </c>
      <c r="M112" s="23">
        <v>1</v>
      </c>
      <c r="N112" s="23" t="s">
        <v>340</v>
      </c>
      <c r="O112" s="23" t="s">
        <v>1085</v>
      </c>
    </row>
    <row r="113" spans="1:15">
      <c r="A113" s="23" t="s">
        <v>1146</v>
      </c>
      <c r="B113" s="23" t="s">
        <v>794</v>
      </c>
      <c r="C113" s="23" t="s">
        <v>71</v>
      </c>
      <c r="D113" s="23" t="s">
        <v>72</v>
      </c>
      <c r="E113" s="23" t="s">
        <v>1082</v>
      </c>
      <c r="F113" s="23" t="s">
        <v>1083</v>
      </c>
      <c r="G113" s="23" t="s">
        <v>1047</v>
      </c>
      <c r="H113" s="23" t="s">
        <v>1048</v>
      </c>
      <c r="I113" s="23" t="s">
        <v>1095</v>
      </c>
      <c r="J113" s="23" t="s">
        <v>1050</v>
      </c>
      <c r="K113" s="23" t="s">
        <v>1051</v>
      </c>
      <c r="L113" s="23" t="s">
        <v>1052</v>
      </c>
      <c r="M113" s="23">
        <v>1</v>
      </c>
      <c r="N113" s="23" t="s">
        <v>340</v>
      </c>
      <c r="O113" s="23" t="s">
        <v>1085</v>
      </c>
    </row>
    <row r="114" spans="1:15">
      <c r="A114" s="23" t="s">
        <v>1146</v>
      </c>
      <c r="B114" s="23" t="s">
        <v>794</v>
      </c>
      <c r="C114" s="23" t="s">
        <v>71</v>
      </c>
      <c r="D114" s="23" t="s">
        <v>72</v>
      </c>
      <c r="E114" s="23" t="s">
        <v>1082</v>
      </c>
      <c r="F114" s="23" t="s">
        <v>1083</v>
      </c>
      <c r="G114" s="23" t="s">
        <v>1047</v>
      </c>
      <c r="H114" s="23" t="s">
        <v>1048</v>
      </c>
      <c r="I114" s="23" t="s">
        <v>1095</v>
      </c>
      <c r="J114" s="23" t="s">
        <v>1050</v>
      </c>
      <c r="K114" s="23" t="s">
        <v>1051</v>
      </c>
      <c r="L114" s="23" t="s">
        <v>1052</v>
      </c>
      <c r="M114" s="23">
        <v>1</v>
      </c>
      <c r="N114" s="23" t="s">
        <v>340</v>
      </c>
      <c r="O114" s="23" t="s">
        <v>1085</v>
      </c>
    </row>
    <row r="115" spans="1:15">
      <c r="A115" s="23" t="s">
        <v>1147</v>
      </c>
      <c r="B115" s="23" t="s">
        <v>794</v>
      </c>
      <c r="C115" s="23" t="s">
        <v>71</v>
      </c>
      <c r="D115" s="23" t="s">
        <v>72</v>
      </c>
      <c r="E115" s="23" t="s">
        <v>1082</v>
      </c>
      <c r="F115" s="23" t="s">
        <v>1083</v>
      </c>
      <c r="G115" s="23" t="s">
        <v>1047</v>
      </c>
      <c r="H115" s="23" t="s">
        <v>1048</v>
      </c>
      <c r="I115" s="23" t="s">
        <v>1091</v>
      </c>
      <c r="J115" s="23" t="s">
        <v>1050</v>
      </c>
      <c r="K115" s="23" t="s">
        <v>1051</v>
      </c>
      <c r="L115" s="23" t="s">
        <v>1052</v>
      </c>
      <c r="M115" s="23">
        <v>1</v>
      </c>
      <c r="N115" s="23" t="s">
        <v>340</v>
      </c>
      <c r="O115" s="23" t="s">
        <v>1085</v>
      </c>
    </row>
    <row r="116" spans="1:15">
      <c r="A116" s="23" t="s">
        <v>1148</v>
      </c>
      <c r="B116" s="23" t="s">
        <v>794</v>
      </c>
      <c r="C116" s="23" t="s">
        <v>71</v>
      </c>
      <c r="D116" s="23" t="s">
        <v>72</v>
      </c>
      <c r="E116" s="23" t="s">
        <v>1082</v>
      </c>
      <c r="F116" s="23" t="s">
        <v>1083</v>
      </c>
      <c r="G116" s="23" t="s">
        <v>1047</v>
      </c>
      <c r="H116" s="23" t="s">
        <v>1048</v>
      </c>
      <c r="I116" s="23" t="s">
        <v>1093</v>
      </c>
      <c r="J116" s="23" t="s">
        <v>1050</v>
      </c>
      <c r="K116" s="23" t="s">
        <v>1051</v>
      </c>
      <c r="L116" s="23" t="s">
        <v>1052</v>
      </c>
      <c r="M116" s="23">
        <v>1</v>
      </c>
      <c r="N116" s="23" t="s">
        <v>340</v>
      </c>
      <c r="O116" s="23" t="s">
        <v>1085</v>
      </c>
    </row>
    <row r="117" spans="1:15">
      <c r="A117" s="23" t="s">
        <v>1147</v>
      </c>
      <c r="B117" s="23" t="s">
        <v>794</v>
      </c>
      <c r="C117" s="23" t="s">
        <v>71</v>
      </c>
      <c r="D117" s="23" t="s">
        <v>72</v>
      </c>
      <c r="E117" s="23" t="s">
        <v>1082</v>
      </c>
      <c r="F117" s="23" t="s">
        <v>1083</v>
      </c>
      <c r="G117" s="23" t="s">
        <v>1047</v>
      </c>
      <c r="H117" s="23" t="s">
        <v>1048</v>
      </c>
      <c r="I117" s="23" t="s">
        <v>1091</v>
      </c>
      <c r="J117" s="23" t="s">
        <v>1050</v>
      </c>
      <c r="K117" s="23" t="s">
        <v>1051</v>
      </c>
      <c r="L117" s="23" t="s">
        <v>1052</v>
      </c>
      <c r="M117" s="23">
        <v>1</v>
      </c>
      <c r="N117" s="23" t="s">
        <v>340</v>
      </c>
      <c r="O117" s="23" t="s">
        <v>1085</v>
      </c>
    </row>
    <row r="118" spans="1:15">
      <c r="A118" s="23" t="s">
        <v>1148</v>
      </c>
      <c r="B118" s="23" t="s">
        <v>794</v>
      </c>
      <c r="C118" s="23" t="s">
        <v>71</v>
      </c>
      <c r="D118" s="23" t="s">
        <v>72</v>
      </c>
      <c r="E118" s="23" t="s">
        <v>1082</v>
      </c>
      <c r="F118" s="23" t="s">
        <v>1083</v>
      </c>
      <c r="G118" s="23" t="s">
        <v>1047</v>
      </c>
      <c r="H118" s="23" t="s">
        <v>1048</v>
      </c>
      <c r="I118" s="23" t="s">
        <v>1093</v>
      </c>
      <c r="J118" s="23" t="s">
        <v>1050</v>
      </c>
      <c r="K118" s="23" t="s">
        <v>1051</v>
      </c>
      <c r="L118" s="23" t="s">
        <v>1052</v>
      </c>
      <c r="M118" s="23">
        <v>1</v>
      </c>
      <c r="N118" s="23" t="s">
        <v>340</v>
      </c>
      <c r="O118" s="23" t="s">
        <v>1085</v>
      </c>
    </row>
    <row r="119" spans="1:15">
      <c r="A119" s="23" t="s">
        <v>1149</v>
      </c>
      <c r="B119" s="23" t="s">
        <v>794</v>
      </c>
      <c r="C119" s="23" t="s">
        <v>71</v>
      </c>
      <c r="D119" s="23" t="s">
        <v>72</v>
      </c>
      <c r="E119" s="23" t="s">
        <v>1082</v>
      </c>
      <c r="F119" s="23" t="s">
        <v>1083</v>
      </c>
      <c r="G119" s="23" t="s">
        <v>1047</v>
      </c>
      <c r="H119" s="23" t="s">
        <v>1048</v>
      </c>
      <c r="I119" s="23" t="s">
        <v>1095</v>
      </c>
      <c r="J119" s="23" t="s">
        <v>1050</v>
      </c>
      <c r="K119" s="23" t="s">
        <v>1051</v>
      </c>
      <c r="L119" s="23" t="s">
        <v>1052</v>
      </c>
      <c r="M119" s="23">
        <v>1</v>
      </c>
      <c r="N119" s="23" t="s">
        <v>340</v>
      </c>
      <c r="O119" s="23" t="s">
        <v>1085</v>
      </c>
    </row>
    <row r="120" spans="1:15">
      <c r="A120" s="23" t="s">
        <v>1149</v>
      </c>
      <c r="B120" s="23" t="s">
        <v>794</v>
      </c>
      <c r="C120" s="23" t="s">
        <v>71</v>
      </c>
      <c r="D120" s="23" t="s">
        <v>72</v>
      </c>
      <c r="E120" s="23" t="s">
        <v>1082</v>
      </c>
      <c r="F120" s="23" t="s">
        <v>1083</v>
      </c>
      <c r="G120" s="23" t="s">
        <v>1047</v>
      </c>
      <c r="H120" s="23" t="s">
        <v>1048</v>
      </c>
      <c r="I120" s="23" t="s">
        <v>1095</v>
      </c>
      <c r="J120" s="23" t="s">
        <v>1050</v>
      </c>
      <c r="K120" s="23" t="s">
        <v>1051</v>
      </c>
      <c r="L120" s="23" t="s">
        <v>1052</v>
      </c>
      <c r="M120" s="23">
        <v>1</v>
      </c>
      <c r="N120" s="23" t="s">
        <v>340</v>
      </c>
      <c r="O120" s="23" t="s">
        <v>1085</v>
      </c>
    </row>
    <row r="121" spans="1:15">
      <c r="A121" s="23" t="s">
        <v>1150</v>
      </c>
      <c r="B121" s="23" t="s">
        <v>794</v>
      </c>
      <c r="C121" s="23" t="s">
        <v>78</v>
      </c>
      <c r="D121" s="23" t="s">
        <v>79</v>
      </c>
      <c r="E121" s="23" t="s">
        <v>1151</v>
      </c>
      <c r="F121" s="23" t="s">
        <v>1152</v>
      </c>
      <c r="G121" s="23" t="s">
        <v>1047</v>
      </c>
      <c r="H121" s="23" t="s">
        <v>1048</v>
      </c>
      <c r="I121" s="23" t="s">
        <v>1153</v>
      </c>
      <c r="J121" s="23" t="s">
        <v>1050</v>
      </c>
      <c r="K121" s="23" t="s">
        <v>1051</v>
      </c>
      <c r="L121" s="23" t="s">
        <v>1052</v>
      </c>
      <c r="M121" s="23">
        <v>1</v>
      </c>
      <c r="N121" s="23" t="s">
        <v>340</v>
      </c>
      <c r="O121" s="23" t="s">
        <v>1154</v>
      </c>
    </row>
    <row r="122" spans="1:15">
      <c r="A122" s="23" t="s">
        <v>1150</v>
      </c>
      <c r="B122" s="23" t="s">
        <v>794</v>
      </c>
      <c r="C122" s="23" t="s">
        <v>78</v>
      </c>
      <c r="D122" s="23" t="s">
        <v>79</v>
      </c>
      <c r="E122" s="23" t="s">
        <v>1151</v>
      </c>
      <c r="F122" s="23" t="s">
        <v>1152</v>
      </c>
      <c r="G122" s="23" t="s">
        <v>1047</v>
      </c>
      <c r="H122" s="23" t="s">
        <v>1048</v>
      </c>
      <c r="I122" s="23" t="s">
        <v>1153</v>
      </c>
      <c r="J122" s="23" t="s">
        <v>1050</v>
      </c>
      <c r="K122" s="23" t="s">
        <v>1051</v>
      </c>
      <c r="L122" s="23" t="s">
        <v>1052</v>
      </c>
      <c r="M122" s="23">
        <v>1</v>
      </c>
      <c r="N122" s="23" t="s">
        <v>340</v>
      </c>
      <c r="O122" s="23" t="s">
        <v>1154</v>
      </c>
    </row>
    <row r="123" spans="1:15">
      <c r="A123" s="23" t="s">
        <v>1155</v>
      </c>
      <c r="B123" s="23" t="s">
        <v>794</v>
      </c>
      <c r="C123" s="23" t="s">
        <v>78</v>
      </c>
      <c r="D123" s="23" t="s">
        <v>79</v>
      </c>
      <c r="E123" s="23" t="s">
        <v>1151</v>
      </c>
      <c r="F123" s="23" t="s">
        <v>1152</v>
      </c>
      <c r="G123" s="23" t="s">
        <v>1047</v>
      </c>
      <c r="H123" s="23" t="s">
        <v>1048</v>
      </c>
      <c r="I123" s="23" t="s">
        <v>1156</v>
      </c>
      <c r="J123" s="23" t="s">
        <v>1050</v>
      </c>
      <c r="K123" s="23" t="s">
        <v>1051</v>
      </c>
      <c r="L123" s="23" t="s">
        <v>1052</v>
      </c>
      <c r="M123" s="23">
        <v>1</v>
      </c>
      <c r="N123" s="23" t="s">
        <v>340</v>
      </c>
      <c r="O123" s="23" t="s">
        <v>1154</v>
      </c>
    </row>
    <row r="124" spans="1:15">
      <c r="A124" s="23" t="s">
        <v>1157</v>
      </c>
      <c r="B124" s="23" t="s">
        <v>794</v>
      </c>
      <c r="C124" s="23" t="s">
        <v>78</v>
      </c>
      <c r="D124" s="23" t="s">
        <v>79</v>
      </c>
      <c r="E124" s="23" t="s">
        <v>1151</v>
      </c>
      <c r="F124" s="23" t="s">
        <v>1152</v>
      </c>
      <c r="G124" s="23" t="s">
        <v>1047</v>
      </c>
      <c r="H124" s="23" t="s">
        <v>1048</v>
      </c>
      <c r="I124" s="23" t="s">
        <v>1158</v>
      </c>
      <c r="J124" s="23" t="s">
        <v>1050</v>
      </c>
      <c r="K124" s="23" t="s">
        <v>1051</v>
      </c>
      <c r="L124" s="23" t="s">
        <v>1052</v>
      </c>
      <c r="M124" s="23">
        <v>1</v>
      </c>
      <c r="N124" s="23" t="s">
        <v>340</v>
      </c>
      <c r="O124" s="23" t="s">
        <v>1154</v>
      </c>
    </row>
    <row r="125" spans="1:15">
      <c r="A125" s="23" t="s">
        <v>1159</v>
      </c>
      <c r="B125" s="23" t="s">
        <v>794</v>
      </c>
      <c r="C125" s="23" t="s">
        <v>78</v>
      </c>
      <c r="D125" s="23" t="s">
        <v>79</v>
      </c>
      <c r="E125" s="23" t="s">
        <v>1151</v>
      </c>
      <c r="F125" s="23" t="s">
        <v>1152</v>
      </c>
      <c r="G125" s="23" t="s">
        <v>1047</v>
      </c>
      <c r="H125" s="23" t="s">
        <v>1048</v>
      </c>
      <c r="I125" s="23" t="s">
        <v>1153</v>
      </c>
      <c r="J125" s="23" t="s">
        <v>1050</v>
      </c>
      <c r="K125" s="23" t="s">
        <v>1051</v>
      </c>
      <c r="L125" s="23" t="s">
        <v>1052</v>
      </c>
      <c r="M125" s="23">
        <v>1</v>
      </c>
      <c r="N125" s="23" t="s">
        <v>340</v>
      </c>
      <c r="O125" s="23" t="s">
        <v>1154</v>
      </c>
    </row>
    <row r="126" spans="1:15">
      <c r="A126" s="23" t="s">
        <v>1155</v>
      </c>
      <c r="B126" s="23" t="s">
        <v>794</v>
      </c>
      <c r="C126" s="23" t="s">
        <v>78</v>
      </c>
      <c r="D126" s="23" t="s">
        <v>79</v>
      </c>
      <c r="E126" s="23" t="s">
        <v>1151</v>
      </c>
      <c r="F126" s="23" t="s">
        <v>1152</v>
      </c>
      <c r="G126" s="23" t="s">
        <v>1047</v>
      </c>
      <c r="H126" s="23" t="s">
        <v>1048</v>
      </c>
      <c r="I126" s="23" t="s">
        <v>1156</v>
      </c>
      <c r="J126" s="23" t="s">
        <v>1050</v>
      </c>
      <c r="K126" s="23" t="s">
        <v>1051</v>
      </c>
      <c r="L126" s="23" t="s">
        <v>1052</v>
      </c>
      <c r="M126" s="23">
        <v>1</v>
      </c>
      <c r="N126" s="23" t="s">
        <v>340</v>
      </c>
      <c r="O126" s="23" t="s">
        <v>1154</v>
      </c>
    </row>
    <row r="127" spans="1:15">
      <c r="A127" s="23" t="s">
        <v>1157</v>
      </c>
      <c r="B127" s="23" t="s">
        <v>794</v>
      </c>
      <c r="C127" s="23" t="s">
        <v>78</v>
      </c>
      <c r="D127" s="23" t="s">
        <v>79</v>
      </c>
      <c r="E127" s="23" t="s">
        <v>1151</v>
      </c>
      <c r="F127" s="23" t="s">
        <v>1152</v>
      </c>
      <c r="G127" s="23" t="s">
        <v>1047</v>
      </c>
      <c r="H127" s="23" t="s">
        <v>1048</v>
      </c>
      <c r="I127" s="23" t="s">
        <v>1158</v>
      </c>
      <c r="J127" s="23" t="s">
        <v>1050</v>
      </c>
      <c r="K127" s="23" t="s">
        <v>1051</v>
      </c>
      <c r="L127" s="23" t="s">
        <v>1052</v>
      </c>
      <c r="M127" s="23">
        <v>1</v>
      </c>
      <c r="N127" s="23" t="s">
        <v>340</v>
      </c>
      <c r="O127" s="23" t="s">
        <v>1154</v>
      </c>
    </row>
    <row r="128" spans="1:15">
      <c r="A128" s="23" t="s">
        <v>1159</v>
      </c>
      <c r="B128" s="23" t="s">
        <v>794</v>
      </c>
      <c r="C128" s="23" t="s">
        <v>78</v>
      </c>
      <c r="D128" s="23" t="s">
        <v>79</v>
      </c>
      <c r="E128" s="23" t="s">
        <v>1151</v>
      </c>
      <c r="F128" s="23" t="s">
        <v>1152</v>
      </c>
      <c r="G128" s="23" t="s">
        <v>1047</v>
      </c>
      <c r="H128" s="23" t="s">
        <v>1048</v>
      </c>
      <c r="I128" s="23" t="s">
        <v>1153</v>
      </c>
      <c r="J128" s="23" t="s">
        <v>1050</v>
      </c>
      <c r="K128" s="23" t="s">
        <v>1051</v>
      </c>
      <c r="L128" s="23" t="s">
        <v>1052</v>
      </c>
      <c r="M128" s="23">
        <v>1</v>
      </c>
      <c r="N128" s="23" t="s">
        <v>340</v>
      </c>
      <c r="O128" s="23" t="s">
        <v>1154</v>
      </c>
    </row>
    <row r="129" spans="1:15">
      <c r="A129" s="23" t="s">
        <v>1160</v>
      </c>
      <c r="B129" s="23" t="s">
        <v>794</v>
      </c>
      <c r="C129" s="23" t="s">
        <v>86</v>
      </c>
      <c r="D129" s="23" t="s">
        <v>87</v>
      </c>
      <c r="E129" s="23" t="s">
        <v>1161</v>
      </c>
      <c r="F129" s="23" t="s">
        <v>1162</v>
      </c>
      <c r="G129" s="23" t="s">
        <v>1047</v>
      </c>
      <c r="H129" s="23" t="s">
        <v>1048</v>
      </c>
      <c r="I129" s="23" t="s">
        <v>1163</v>
      </c>
      <c r="J129" s="23" t="s">
        <v>1050</v>
      </c>
      <c r="K129" s="23" t="s">
        <v>1051</v>
      </c>
      <c r="L129" s="23" t="s">
        <v>1052</v>
      </c>
      <c r="M129" s="23">
        <v>1</v>
      </c>
      <c r="N129" s="23" t="s">
        <v>340</v>
      </c>
      <c r="O129" s="23" t="s">
        <v>1164</v>
      </c>
    </row>
    <row r="130" spans="1:15">
      <c r="A130" s="23" t="s">
        <v>1160</v>
      </c>
      <c r="B130" s="23" t="s">
        <v>794</v>
      </c>
      <c r="C130" s="23" t="s">
        <v>86</v>
      </c>
      <c r="D130" s="23" t="s">
        <v>87</v>
      </c>
      <c r="E130" s="23" t="s">
        <v>1161</v>
      </c>
      <c r="F130" s="23" t="s">
        <v>1162</v>
      </c>
      <c r="G130" s="23" t="s">
        <v>1047</v>
      </c>
      <c r="H130" s="23" t="s">
        <v>1048</v>
      </c>
      <c r="I130" s="23" t="s">
        <v>1163</v>
      </c>
      <c r="J130" s="23" t="s">
        <v>1050</v>
      </c>
      <c r="K130" s="23" t="s">
        <v>1051</v>
      </c>
      <c r="L130" s="23" t="s">
        <v>1052</v>
      </c>
      <c r="M130" s="23">
        <v>1</v>
      </c>
      <c r="N130" s="23" t="s">
        <v>340</v>
      </c>
      <c r="O130" s="23" t="s">
        <v>1164</v>
      </c>
    </row>
    <row r="131" spans="1:15">
      <c r="A131" s="23" t="s">
        <v>1165</v>
      </c>
      <c r="B131" s="23" t="s">
        <v>794</v>
      </c>
      <c r="C131" s="23" t="s">
        <v>86</v>
      </c>
      <c r="D131" s="23" t="s">
        <v>87</v>
      </c>
      <c r="E131" s="23" t="s">
        <v>1161</v>
      </c>
      <c r="F131" s="23" t="s">
        <v>1162</v>
      </c>
      <c r="G131" s="23" t="s">
        <v>1047</v>
      </c>
      <c r="H131" s="23" t="s">
        <v>1048</v>
      </c>
      <c r="I131" s="23" t="s">
        <v>1166</v>
      </c>
      <c r="J131" s="23" t="s">
        <v>1050</v>
      </c>
      <c r="K131" s="23" t="s">
        <v>1051</v>
      </c>
      <c r="L131" s="23" t="s">
        <v>1052</v>
      </c>
      <c r="M131" s="23">
        <v>1</v>
      </c>
      <c r="N131" s="23" t="s">
        <v>340</v>
      </c>
      <c r="O131" s="23" t="s">
        <v>1164</v>
      </c>
    </row>
    <row r="132" spans="1:15">
      <c r="A132" s="23" t="s">
        <v>1167</v>
      </c>
      <c r="B132" s="23" t="s">
        <v>794</v>
      </c>
      <c r="C132" s="23" t="s">
        <v>86</v>
      </c>
      <c r="D132" s="23" t="s">
        <v>87</v>
      </c>
      <c r="E132" s="23" t="s">
        <v>1161</v>
      </c>
      <c r="F132" s="23" t="s">
        <v>1162</v>
      </c>
      <c r="G132" s="23" t="s">
        <v>1047</v>
      </c>
      <c r="H132" s="23" t="s">
        <v>1048</v>
      </c>
      <c r="I132" s="23" t="s">
        <v>1168</v>
      </c>
      <c r="J132" s="23" t="s">
        <v>1050</v>
      </c>
      <c r="K132" s="23" t="s">
        <v>1051</v>
      </c>
      <c r="L132" s="23" t="s">
        <v>1052</v>
      </c>
      <c r="M132" s="23">
        <v>1</v>
      </c>
      <c r="N132" s="23" t="s">
        <v>340</v>
      </c>
      <c r="O132" s="23" t="s">
        <v>1164</v>
      </c>
    </row>
    <row r="133" spans="1:15">
      <c r="A133" s="23" t="s">
        <v>1169</v>
      </c>
      <c r="B133" s="23" t="s">
        <v>794</v>
      </c>
      <c r="C133" s="23" t="s">
        <v>86</v>
      </c>
      <c r="D133" s="23" t="s">
        <v>87</v>
      </c>
      <c r="E133" s="23" t="s">
        <v>1161</v>
      </c>
      <c r="F133" s="23" t="s">
        <v>1162</v>
      </c>
      <c r="G133" s="23" t="s">
        <v>1047</v>
      </c>
      <c r="H133" s="23" t="s">
        <v>1048</v>
      </c>
      <c r="I133" s="23" t="s">
        <v>1163</v>
      </c>
      <c r="J133" s="23" t="s">
        <v>1050</v>
      </c>
      <c r="K133" s="23" t="s">
        <v>1051</v>
      </c>
      <c r="L133" s="23" t="s">
        <v>1052</v>
      </c>
      <c r="M133" s="23">
        <v>1</v>
      </c>
      <c r="N133" s="23" t="s">
        <v>340</v>
      </c>
      <c r="O133" s="23" t="s">
        <v>1164</v>
      </c>
    </row>
    <row r="134" spans="1:15">
      <c r="A134" s="23" t="s">
        <v>1165</v>
      </c>
      <c r="B134" s="23" t="s">
        <v>794</v>
      </c>
      <c r="C134" s="23" t="s">
        <v>86</v>
      </c>
      <c r="D134" s="23" t="s">
        <v>87</v>
      </c>
      <c r="E134" s="23" t="s">
        <v>1161</v>
      </c>
      <c r="F134" s="23" t="s">
        <v>1162</v>
      </c>
      <c r="G134" s="23" t="s">
        <v>1047</v>
      </c>
      <c r="H134" s="23" t="s">
        <v>1048</v>
      </c>
      <c r="I134" s="23" t="s">
        <v>1166</v>
      </c>
      <c r="J134" s="23" t="s">
        <v>1050</v>
      </c>
      <c r="K134" s="23" t="s">
        <v>1051</v>
      </c>
      <c r="L134" s="23" t="s">
        <v>1052</v>
      </c>
      <c r="M134" s="23">
        <v>1</v>
      </c>
      <c r="N134" s="23" t="s">
        <v>340</v>
      </c>
      <c r="O134" s="23" t="s">
        <v>1164</v>
      </c>
    </row>
    <row r="135" spans="1:15">
      <c r="A135" s="23" t="s">
        <v>1167</v>
      </c>
      <c r="B135" s="23" t="s">
        <v>794</v>
      </c>
      <c r="C135" s="23" t="s">
        <v>86</v>
      </c>
      <c r="D135" s="23" t="s">
        <v>87</v>
      </c>
      <c r="E135" s="23" t="s">
        <v>1161</v>
      </c>
      <c r="F135" s="23" t="s">
        <v>1162</v>
      </c>
      <c r="G135" s="23" t="s">
        <v>1047</v>
      </c>
      <c r="H135" s="23" t="s">
        <v>1048</v>
      </c>
      <c r="I135" s="23" t="s">
        <v>1168</v>
      </c>
      <c r="J135" s="23" t="s">
        <v>1050</v>
      </c>
      <c r="K135" s="23" t="s">
        <v>1051</v>
      </c>
      <c r="L135" s="23" t="s">
        <v>1052</v>
      </c>
      <c r="M135" s="23">
        <v>1</v>
      </c>
      <c r="N135" s="23" t="s">
        <v>340</v>
      </c>
      <c r="O135" s="23" t="s">
        <v>1164</v>
      </c>
    </row>
    <row r="136" spans="1:15">
      <c r="A136" s="23" t="s">
        <v>1169</v>
      </c>
      <c r="B136" s="23" t="s">
        <v>794</v>
      </c>
      <c r="C136" s="23" t="s">
        <v>86</v>
      </c>
      <c r="D136" s="23" t="s">
        <v>87</v>
      </c>
      <c r="E136" s="23" t="s">
        <v>1161</v>
      </c>
      <c r="F136" s="23" t="s">
        <v>1162</v>
      </c>
      <c r="G136" s="23" t="s">
        <v>1047</v>
      </c>
      <c r="H136" s="23" t="s">
        <v>1048</v>
      </c>
      <c r="I136" s="23" t="s">
        <v>1163</v>
      </c>
      <c r="J136" s="23" t="s">
        <v>1050</v>
      </c>
      <c r="K136" s="23" t="s">
        <v>1051</v>
      </c>
      <c r="L136" s="23" t="s">
        <v>1052</v>
      </c>
      <c r="M136" s="23">
        <v>1</v>
      </c>
      <c r="N136" s="23" t="s">
        <v>340</v>
      </c>
      <c r="O136" s="23" t="s">
        <v>1164</v>
      </c>
    </row>
    <row r="137" spans="1:15">
      <c r="A137" s="23" t="s">
        <v>1170</v>
      </c>
      <c r="B137" s="23" t="s">
        <v>794</v>
      </c>
      <c r="C137" s="23" t="s">
        <v>95</v>
      </c>
      <c r="D137" s="23" t="s">
        <v>96</v>
      </c>
      <c r="E137" s="23" t="s">
        <v>1171</v>
      </c>
      <c r="F137" s="23" t="s">
        <v>1172</v>
      </c>
      <c r="G137" s="23" t="s">
        <v>1047</v>
      </c>
      <c r="H137" s="23" t="s">
        <v>1173</v>
      </c>
      <c r="I137" s="23" t="s">
        <v>1125</v>
      </c>
      <c r="J137" s="23" t="s">
        <v>1050</v>
      </c>
      <c r="K137" s="23" t="s">
        <v>1051</v>
      </c>
      <c r="L137" s="23" t="s">
        <v>1052</v>
      </c>
      <c r="M137" s="23">
        <v>7045</v>
      </c>
      <c r="N137" s="23" t="s">
        <v>1174</v>
      </c>
      <c r="O137" s="23" t="s">
        <v>1175</v>
      </c>
    </row>
    <row r="138" spans="1:15">
      <c r="A138" s="23" t="s">
        <v>1176</v>
      </c>
      <c r="B138" s="23" t="s">
        <v>974</v>
      </c>
      <c r="C138" s="23" t="s">
        <v>62</v>
      </c>
      <c r="D138" s="23" t="s">
        <v>63</v>
      </c>
      <c r="E138" s="23"/>
      <c r="F138" s="23" t="s">
        <v>1177</v>
      </c>
      <c r="G138" s="23" t="s">
        <v>1047</v>
      </c>
      <c r="H138" s="23" t="s">
        <v>1178</v>
      </c>
      <c r="I138" s="23" t="s">
        <v>1179</v>
      </c>
      <c r="J138" s="23" t="s">
        <v>1050</v>
      </c>
      <c r="K138" s="23" t="s">
        <v>1051</v>
      </c>
      <c r="L138" s="23" t="s">
        <v>1052</v>
      </c>
      <c r="M138" s="23">
        <v>4104</v>
      </c>
      <c r="N138" s="23" t="s">
        <v>1027</v>
      </c>
      <c r="O138" s="23" t="s">
        <v>1180</v>
      </c>
    </row>
    <row r="139" spans="1:15">
      <c r="A139" s="23" t="s">
        <v>1181</v>
      </c>
      <c r="B139" s="23" t="s">
        <v>974</v>
      </c>
      <c r="C139" s="23" t="s">
        <v>102</v>
      </c>
      <c r="D139" s="23" t="s">
        <v>103</v>
      </c>
      <c r="E139" s="23"/>
      <c r="F139" s="23" t="s">
        <v>1177</v>
      </c>
      <c r="G139" s="23" t="s">
        <v>1047</v>
      </c>
      <c r="H139" s="23" t="s">
        <v>1178</v>
      </c>
      <c r="I139" s="23" t="s">
        <v>1182</v>
      </c>
      <c r="J139" s="23" t="s">
        <v>1050</v>
      </c>
      <c r="K139" s="23" t="s">
        <v>1051</v>
      </c>
      <c r="L139" s="23" t="s">
        <v>1052</v>
      </c>
      <c r="M139" s="23">
        <v>4104</v>
      </c>
      <c r="N139" s="23" t="s">
        <v>1027</v>
      </c>
      <c r="O139" s="23" t="s">
        <v>1180</v>
      </c>
    </row>
    <row r="140" spans="1:15">
      <c r="A140" s="23" t="s">
        <v>1183</v>
      </c>
      <c r="B140" s="23" t="s">
        <v>974</v>
      </c>
      <c r="C140" s="23" t="s">
        <v>102</v>
      </c>
      <c r="D140" s="23" t="s">
        <v>103</v>
      </c>
      <c r="E140" s="23"/>
      <c r="F140" s="23" t="s">
        <v>1177</v>
      </c>
      <c r="G140" s="23" t="s">
        <v>1047</v>
      </c>
      <c r="H140" s="23" t="s">
        <v>1178</v>
      </c>
      <c r="I140" s="23" t="s">
        <v>1184</v>
      </c>
      <c r="J140" s="23" t="s">
        <v>1050</v>
      </c>
      <c r="K140" s="23" t="s">
        <v>1051</v>
      </c>
      <c r="L140" s="23" t="s">
        <v>1052</v>
      </c>
      <c r="M140" s="23">
        <v>4104</v>
      </c>
      <c r="N140" s="23" t="s">
        <v>1027</v>
      </c>
      <c r="O140" s="23" t="s">
        <v>1180</v>
      </c>
    </row>
    <row r="141" spans="1:15">
      <c r="A141" s="23" t="s">
        <v>1185</v>
      </c>
      <c r="B141" s="23" t="s">
        <v>974</v>
      </c>
      <c r="C141" s="23" t="s">
        <v>62</v>
      </c>
      <c r="D141" s="23" t="s">
        <v>63</v>
      </c>
      <c r="E141" s="23"/>
      <c r="F141" s="23" t="s">
        <v>1177</v>
      </c>
      <c r="G141" s="23" t="s">
        <v>1047</v>
      </c>
      <c r="H141" s="23" t="s">
        <v>1178</v>
      </c>
      <c r="I141" s="23" t="s">
        <v>1186</v>
      </c>
      <c r="J141" s="23" t="s">
        <v>1050</v>
      </c>
      <c r="K141" s="23" t="s">
        <v>1051</v>
      </c>
      <c r="L141" s="23" t="s">
        <v>1052</v>
      </c>
      <c r="M141" s="23">
        <v>4104</v>
      </c>
      <c r="N141" s="23" t="s">
        <v>1027</v>
      </c>
      <c r="O141" s="23" t="s">
        <v>1180</v>
      </c>
    </row>
    <row r="142" spans="1:15">
      <c r="A142" s="23" t="s">
        <v>1081</v>
      </c>
      <c r="B142" s="23" t="s">
        <v>974</v>
      </c>
      <c r="C142" s="23" t="s">
        <v>71</v>
      </c>
      <c r="D142" s="23" t="s">
        <v>72</v>
      </c>
      <c r="E142" s="23"/>
      <c r="F142" s="23" t="s">
        <v>1187</v>
      </c>
      <c r="G142" s="23" t="s">
        <v>1047</v>
      </c>
      <c r="H142" s="23" t="s">
        <v>1048</v>
      </c>
      <c r="I142" s="23" t="s">
        <v>1084</v>
      </c>
      <c r="J142" s="23" t="s">
        <v>1050</v>
      </c>
      <c r="K142" s="23" t="s">
        <v>1051</v>
      </c>
      <c r="L142" s="23" t="s">
        <v>1052</v>
      </c>
      <c r="M142" s="23">
        <v>1</v>
      </c>
      <c r="N142" s="23" t="s">
        <v>1021</v>
      </c>
      <c r="O142" s="23" t="s">
        <v>1188</v>
      </c>
    </row>
    <row r="143" spans="1:15">
      <c r="A143" s="23" t="s">
        <v>1150</v>
      </c>
      <c r="B143" s="23" t="s">
        <v>974</v>
      </c>
      <c r="C143" s="23" t="s">
        <v>78</v>
      </c>
      <c r="D143" s="23" t="s">
        <v>79</v>
      </c>
      <c r="E143" s="23"/>
      <c r="F143" s="23" t="s">
        <v>1187</v>
      </c>
      <c r="G143" s="23" t="s">
        <v>1047</v>
      </c>
      <c r="H143" s="23" t="s">
        <v>1048</v>
      </c>
      <c r="I143" s="23" t="s">
        <v>1153</v>
      </c>
      <c r="J143" s="23" t="s">
        <v>1050</v>
      </c>
      <c r="K143" s="23" t="s">
        <v>1051</v>
      </c>
      <c r="L143" s="23" t="s">
        <v>1052</v>
      </c>
      <c r="M143" s="23">
        <v>1</v>
      </c>
      <c r="N143" s="23" t="s">
        <v>1021</v>
      </c>
      <c r="O143" s="23" t="s">
        <v>1188</v>
      </c>
    </row>
    <row r="144" spans="1:15">
      <c r="A144" s="23" t="s">
        <v>1086</v>
      </c>
      <c r="B144" s="23" t="s">
        <v>974</v>
      </c>
      <c r="C144" s="23" t="s">
        <v>71</v>
      </c>
      <c r="D144" s="23" t="s">
        <v>72</v>
      </c>
      <c r="E144" s="23"/>
      <c r="F144" s="23" t="s">
        <v>1187</v>
      </c>
      <c r="G144" s="23" t="s">
        <v>1047</v>
      </c>
      <c r="H144" s="23" t="s">
        <v>1048</v>
      </c>
      <c r="I144" s="23" t="s">
        <v>1087</v>
      </c>
      <c r="J144" s="23" t="s">
        <v>1050</v>
      </c>
      <c r="K144" s="23" t="s">
        <v>1051</v>
      </c>
      <c r="L144" s="23" t="s">
        <v>1052</v>
      </c>
      <c r="M144" s="23">
        <v>1</v>
      </c>
      <c r="N144" s="23" t="s">
        <v>1021</v>
      </c>
      <c r="O144" s="23" t="s">
        <v>1188</v>
      </c>
    </row>
    <row r="145" spans="1:15">
      <c r="A145" s="23" t="s">
        <v>1189</v>
      </c>
      <c r="B145" s="23" t="s">
        <v>974</v>
      </c>
      <c r="C145" s="23" t="s">
        <v>95</v>
      </c>
      <c r="D145" s="23" t="s">
        <v>96</v>
      </c>
      <c r="E145" s="23"/>
      <c r="F145" s="23" t="s">
        <v>1187</v>
      </c>
      <c r="G145" s="23" t="s">
        <v>1047</v>
      </c>
      <c r="H145" s="23" t="s">
        <v>1048</v>
      </c>
      <c r="I145" s="23" t="s">
        <v>1190</v>
      </c>
      <c r="J145" s="23" t="s">
        <v>1050</v>
      </c>
      <c r="K145" s="23" t="s">
        <v>1051</v>
      </c>
      <c r="L145" s="23" t="s">
        <v>1052</v>
      </c>
      <c r="M145" s="23">
        <v>1</v>
      </c>
      <c r="N145" s="23" t="s">
        <v>1021</v>
      </c>
      <c r="O145" s="23" t="s">
        <v>1188</v>
      </c>
    </row>
    <row r="146" spans="1:15">
      <c r="A146" s="23" t="s">
        <v>1088</v>
      </c>
      <c r="B146" s="23" t="s">
        <v>974</v>
      </c>
      <c r="C146" s="23" t="s">
        <v>71</v>
      </c>
      <c r="D146" s="23" t="s">
        <v>72</v>
      </c>
      <c r="E146" s="23"/>
      <c r="F146" s="23" t="s">
        <v>1187</v>
      </c>
      <c r="G146" s="23" t="s">
        <v>1047</v>
      </c>
      <c r="H146" s="23" t="s">
        <v>1048</v>
      </c>
      <c r="I146" s="23" t="s">
        <v>1089</v>
      </c>
      <c r="J146" s="23" t="s">
        <v>1050</v>
      </c>
      <c r="K146" s="23" t="s">
        <v>1051</v>
      </c>
      <c r="L146" s="23" t="s">
        <v>1052</v>
      </c>
      <c r="M146" s="23">
        <v>1</v>
      </c>
      <c r="N146" s="23" t="s">
        <v>1021</v>
      </c>
      <c r="O146" s="23" t="s">
        <v>1188</v>
      </c>
    </row>
    <row r="147" spans="1:15">
      <c r="A147" s="23" t="s">
        <v>1160</v>
      </c>
      <c r="B147" s="23" t="s">
        <v>974</v>
      </c>
      <c r="C147" s="23" t="s">
        <v>86</v>
      </c>
      <c r="D147" s="23" t="s">
        <v>87</v>
      </c>
      <c r="E147" s="23"/>
      <c r="F147" s="23" t="s">
        <v>1187</v>
      </c>
      <c r="G147" s="23" t="s">
        <v>1047</v>
      </c>
      <c r="H147" s="23" t="s">
        <v>1048</v>
      </c>
      <c r="I147" s="23" t="s">
        <v>1163</v>
      </c>
      <c r="J147" s="23" t="s">
        <v>1050</v>
      </c>
      <c r="K147" s="23" t="s">
        <v>1051</v>
      </c>
      <c r="L147" s="23" t="s">
        <v>1052</v>
      </c>
      <c r="M147" s="23">
        <v>1</v>
      </c>
      <c r="N147" s="23" t="s">
        <v>1021</v>
      </c>
      <c r="O147" s="23" t="s">
        <v>1188</v>
      </c>
    </row>
    <row r="148" spans="1:15">
      <c r="A148" s="23" t="s">
        <v>1090</v>
      </c>
      <c r="B148" s="23" t="s">
        <v>974</v>
      </c>
      <c r="C148" s="23" t="s">
        <v>71</v>
      </c>
      <c r="D148" s="23" t="s">
        <v>72</v>
      </c>
      <c r="E148" s="23"/>
      <c r="F148" s="23" t="s">
        <v>1187</v>
      </c>
      <c r="G148" s="23" t="s">
        <v>1047</v>
      </c>
      <c r="H148" s="23" t="s">
        <v>1048</v>
      </c>
      <c r="I148" s="23" t="s">
        <v>1091</v>
      </c>
      <c r="J148" s="23" t="s">
        <v>1050</v>
      </c>
      <c r="K148" s="23" t="s">
        <v>1051</v>
      </c>
      <c r="L148" s="23" t="s">
        <v>1052</v>
      </c>
      <c r="M148" s="23">
        <v>1</v>
      </c>
      <c r="N148" s="23" t="s">
        <v>1021</v>
      </c>
      <c r="O148" s="23" t="s">
        <v>1188</v>
      </c>
    </row>
    <row r="149" spans="1:15">
      <c r="A149" s="23" t="s">
        <v>1092</v>
      </c>
      <c r="B149" s="23" t="s">
        <v>974</v>
      </c>
      <c r="C149" s="23" t="s">
        <v>71</v>
      </c>
      <c r="D149" s="23" t="s">
        <v>72</v>
      </c>
      <c r="E149" s="23"/>
      <c r="F149" s="23" t="s">
        <v>1187</v>
      </c>
      <c r="G149" s="23" t="s">
        <v>1047</v>
      </c>
      <c r="H149" s="23" t="s">
        <v>1048</v>
      </c>
      <c r="I149" s="23" t="s">
        <v>1093</v>
      </c>
      <c r="J149" s="23" t="s">
        <v>1050</v>
      </c>
      <c r="K149" s="23" t="s">
        <v>1051</v>
      </c>
      <c r="L149" s="23" t="s">
        <v>1052</v>
      </c>
      <c r="M149" s="23">
        <v>1</v>
      </c>
      <c r="N149" s="23" t="s">
        <v>1021</v>
      </c>
      <c r="O149" s="23" t="s">
        <v>1188</v>
      </c>
    </row>
    <row r="150" spans="1:15">
      <c r="A150" s="23" t="s">
        <v>1081</v>
      </c>
      <c r="B150" s="23" t="s">
        <v>974</v>
      </c>
      <c r="C150" s="23" t="s">
        <v>71</v>
      </c>
      <c r="D150" s="23" t="s">
        <v>72</v>
      </c>
      <c r="E150" s="23"/>
      <c r="F150" s="23" t="s">
        <v>1187</v>
      </c>
      <c r="G150" s="23" t="s">
        <v>1047</v>
      </c>
      <c r="H150" s="23" t="s">
        <v>1048</v>
      </c>
      <c r="I150" s="23" t="s">
        <v>1084</v>
      </c>
      <c r="J150" s="23" t="s">
        <v>1050</v>
      </c>
      <c r="K150" s="23" t="s">
        <v>1051</v>
      </c>
      <c r="L150" s="23" t="s">
        <v>1052</v>
      </c>
      <c r="M150" s="23">
        <v>1</v>
      </c>
      <c r="N150" s="23" t="s">
        <v>1021</v>
      </c>
      <c r="O150" s="23" t="s">
        <v>1188</v>
      </c>
    </row>
    <row r="151" spans="1:15">
      <c r="A151" s="23" t="s">
        <v>1150</v>
      </c>
      <c r="B151" s="23" t="s">
        <v>974</v>
      </c>
      <c r="C151" s="23" t="s">
        <v>78</v>
      </c>
      <c r="D151" s="23" t="s">
        <v>79</v>
      </c>
      <c r="E151" s="23"/>
      <c r="F151" s="23" t="s">
        <v>1187</v>
      </c>
      <c r="G151" s="23" t="s">
        <v>1047</v>
      </c>
      <c r="H151" s="23" t="s">
        <v>1048</v>
      </c>
      <c r="I151" s="23" t="s">
        <v>1153</v>
      </c>
      <c r="J151" s="23" t="s">
        <v>1050</v>
      </c>
      <c r="K151" s="23" t="s">
        <v>1051</v>
      </c>
      <c r="L151" s="23" t="s">
        <v>1052</v>
      </c>
      <c r="M151" s="23">
        <v>1</v>
      </c>
      <c r="N151" s="23" t="s">
        <v>1021</v>
      </c>
      <c r="O151" s="23" t="s">
        <v>1188</v>
      </c>
    </row>
    <row r="152" spans="1:15">
      <c r="A152" s="23" t="s">
        <v>1086</v>
      </c>
      <c r="B152" s="23" t="s">
        <v>974</v>
      </c>
      <c r="C152" s="23" t="s">
        <v>71</v>
      </c>
      <c r="D152" s="23" t="s">
        <v>72</v>
      </c>
      <c r="E152" s="23"/>
      <c r="F152" s="23" t="s">
        <v>1187</v>
      </c>
      <c r="G152" s="23" t="s">
        <v>1047</v>
      </c>
      <c r="H152" s="23" t="s">
        <v>1048</v>
      </c>
      <c r="I152" s="23" t="s">
        <v>1087</v>
      </c>
      <c r="J152" s="23" t="s">
        <v>1050</v>
      </c>
      <c r="K152" s="23" t="s">
        <v>1051</v>
      </c>
      <c r="L152" s="23" t="s">
        <v>1052</v>
      </c>
      <c r="M152" s="23">
        <v>1</v>
      </c>
      <c r="N152" s="23" t="s">
        <v>1021</v>
      </c>
      <c r="O152" s="23" t="s">
        <v>1188</v>
      </c>
    </row>
    <row r="153" spans="1:15">
      <c r="A153" s="23" t="s">
        <v>1189</v>
      </c>
      <c r="B153" s="23" t="s">
        <v>974</v>
      </c>
      <c r="C153" s="23" t="s">
        <v>95</v>
      </c>
      <c r="D153" s="23" t="s">
        <v>96</v>
      </c>
      <c r="E153" s="23"/>
      <c r="F153" s="23" t="s">
        <v>1187</v>
      </c>
      <c r="G153" s="23" t="s">
        <v>1047</v>
      </c>
      <c r="H153" s="23" t="s">
        <v>1048</v>
      </c>
      <c r="I153" s="23" t="s">
        <v>1190</v>
      </c>
      <c r="J153" s="23" t="s">
        <v>1050</v>
      </c>
      <c r="K153" s="23" t="s">
        <v>1051</v>
      </c>
      <c r="L153" s="23" t="s">
        <v>1052</v>
      </c>
      <c r="M153" s="23">
        <v>1</v>
      </c>
      <c r="N153" s="23" t="s">
        <v>1021</v>
      </c>
      <c r="O153" s="23" t="s">
        <v>1188</v>
      </c>
    </row>
    <row r="154" spans="1:15">
      <c r="A154" s="23" t="s">
        <v>1088</v>
      </c>
      <c r="B154" s="23" t="s">
        <v>974</v>
      </c>
      <c r="C154" s="23" t="s">
        <v>71</v>
      </c>
      <c r="D154" s="23" t="s">
        <v>72</v>
      </c>
      <c r="E154" s="23"/>
      <c r="F154" s="23" t="s">
        <v>1187</v>
      </c>
      <c r="G154" s="23" t="s">
        <v>1047</v>
      </c>
      <c r="H154" s="23" t="s">
        <v>1048</v>
      </c>
      <c r="I154" s="23" t="s">
        <v>1089</v>
      </c>
      <c r="J154" s="23" t="s">
        <v>1050</v>
      </c>
      <c r="K154" s="23" t="s">
        <v>1051</v>
      </c>
      <c r="L154" s="23" t="s">
        <v>1052</v>
      </c>
      <c r="M154" s="23">
        <v>1</v>
      </c>
      <c r="N154" s="23" t="s">
        <v>1021</v>
      </c>
      <c r="O154" s="23" t="s">
        <v>1188</v>
      </c>
    </row>
    <row r="155" spans="1:15">
      <c r="A155" s="23" t="s">
        <v>1160</v>
      </c>
      <c r="B155" s="23" t="s">
        <v>974</v>
      </c>
      <c r="C155" s="23" t="s">
        <v>86</v>
      </c>
      <c r="D155" s="23" t="s">
        <v>87</v>
      </c>
      <c r="E155" s="23"/>
      <c r="F155" s="23" t="s">
        <v>1187</v>
      </c>
      <c r="G155" s="23" t="s">
        <v>1047</v>
      </c>
      <c r="H155" s="23" t="s">
        <v>1048</v>
      </c>
      <c r="I155" s="23" t="s">
        <v>1163</v>
      </c>
      <c r="J155" s="23" t="s">
        <v>1050</v>
      </c>
      <c r="K155" s="23" t="s">
        <v>1051</v>
      </c>
      <c r="L155" s="23" t="s">
        <v>1052</v>
      </c>
      <c r="M155" s="23">
        <v>1</v>
      </c>
      <c r="N155" s="23" t="s">
        <v>1021</v>
      </c>
      <c r="O155" s="23" t="s">
        <v>1188</v>
      </c>
    </row>
    <row r="156" spans="1:15">
      <c r="A156" s="23" t="s">
        <v>1090</v>
      </c>
      <c r="B156" s="23" t="s">
        <v>974</v>
      </c>
      <c r="C156" s="23" t="s">
        <v>71</v>
      </c>
      <c r="D156" s="23" t="s">
        <v>72</v>
      </c>
      <c r="E156" s="23"/>
      <c r="F156" s="23" t="s">
        <v>1187</v>
      </c>
      <c r="G156" s="23" t="s">
        <v>1047</v>
      </c>
      <c r="H156" s="23" t="s">
        <v>1048</v>
      </c>
      <c r="I156" s="23" t="s">
        <v>1091</v>
      </c>
      <c r="J156" s="23" t="s">
        <v>1050</v>
      </c>
      <c r="K156" s="23" t="s">
        <v>1051</v>
      </c>
      <c r="L156" s="23" t="s">
        <v>1052</v>
      </c>
      <c r="M156" s="23">
        <v>1</v>
      </c>
      <c r="N156" s="23" t="s">
        <v>1021</v>
      </c>
      <c r="O156" s="23" t="s">
        <v>1188</v>
      </c>
    </row>
    <row r="157" spans="1:15">
      <c r="A157" s="23" t="s">
        <v>1092</v>
      </c>
      <c r="B157" s="23" t="s">
        <v>974</v>
      </c>
      <c r="C157" s="23" t="s">
        <v>71</v>
      </c>
      <c r="D157" s="23" t="s">
        <v>72</v>
      </c>
      <c r="E157" s="23"/>
      <c r="F157" s="23" t="s">
        <v>1187</v>
      </c>
      <c r="G157" s="23" t="s">
        <v>1047</v>
      </c>
      <c r="H157" s="23" t="s">
        <v>1048</v>
      </c>
      <c r="I157" s="23" t="s">
        <v>1093</v>
      </c>
      <c r="J157" s="23" t="s">
        <v>1050</v>
      </c>
      <c r="K157" s="23" t="s">
        <v>1051</v>
      </c>
      <c r="L157" s="23" t="s">
        <v>1052</v>
      </c>
      <c r="M157" s="23">
        <v>1</v>
      </c>
      <c r="N157" s="23" t="s">
        <v>1021</v>
      </c>
      <c r="O157" s="23" t="s">
        <v>1188</v>
      </c>
    </row>
    <row r="158" spans="1:15">
      <c r="A158" s="23" t="s">
        <v>1094</v>
      </c>
      <c r="B158" s="23" t="s">
        <v>974</v>
      </c>
      <c r="C158" s="23" t="s">
        <v>71</v>
      </c>
      <c r="D158" s="23" t="s">
        <v>72</v>
      </c>
      <c r="E158" s="23"/>
      <c r="F158" s="23" t="s">
        <v>1187</v>
      </c>
      <c r="G158" s="23" t="s">
        <v>1047</v>
      </c>
      <c r="H158" s="23" t="s">
        <v>1048</v>
      </c>
      <c r="I158" s="23" t="s">
        <v>1095</v>
      </c>
      <c r="J158" s="23" t="s">
        <v>1050</v>
      </c>
      <c r="K158" s="23" t="s">
        <v>1051</v>
      </c>
      <c r="L158" s="23" t="s">
        <v>1052</v>
      </c>
      <c r="M158" s="23">
        <v>1</v>
      </c>
      <c r="N158" s="23" t="s">
        <v>1021</v>
      </c>
      <c r="O158" s="23" t="s">
        <v>1188</v>
      </c>
    </row>
    <row r="159" spans="1:15">
      <c r="A159" s="23" t="s">
        <v>1094</v>
      </c>
      <c r="B159" s="23" t="s">
        <v>974</v>
      </c>
      <c r="C159" s="23" t="s">
        <v>71</v>
      </c>
      <c r="D159" s="23" t="s">
        <v>72</v>
      </c>
      <c r="E159" s="23"/>
      <c r="F159" s="23" t="s">
        <v>1187</v>
      </c>
      <c r="G159" s="23" t="s">
        <v>1047</v>
      </c>
      <c r="H159" s="23" t="s">
        <v>1048</v>
      </c>
      <c r="I159" s="23" t="s">
        <v>1095</v>
      </c>
      <c r="J159" s="23" t="s">
        <v>1050</v>
      </c>
      <c r="K159" s="23" t="s">
        <v>1051</v>
      </c>
      <c r="L159" s="23" t="s">
        <v>1052</v>
      </c>
      <c r="M159" s="23">
        <v>1</v>
      </c>
      <c r="N159" s="23" t="s">
        <v>1021</v>
      </c>
      <c r="O159" s="23" t="s">
        <v>1188</v>
      </c>
    </row>
    <row r="160" spans="1:15">
      <c r="A160" s="23" t="s">
        <v>1096</v>
      </c>
      <c r="B160" s="23" t="s">
        <v>974</v>
      </c>
      <c r="C160" s="23" t="s">
        <v>71</v>
      </c>
      <c r="D160" s="23" t="s">
        <v>72</v>
      </c>
      <c r="E160" s="23"/>
      <c r="F160" s="23" t="s">
        <v>1187</v>
      </c>
      <c r="G160" s="23" t="s">
        <v>1047</v>
      </c>
      <c r="H160" s="23" t="s">
        <v>1048</v>
      </c>
      <c r="I160" s="23" t="s">
        <v>1097</v>
      </c>
      <c r="J160" s="23" t="s">
        <v>1050</v>
      </c>
      <c r="K160" s="23" t="s">
        <v>1051</v>
      </c>
      <c r="L160" s="23" t="s">
        <v>1052</v>
      </c>
      <c r="M160" s="23">
        <v>1</v>
      </c>
      <c r="N160" s="23" t="s">
        <v>1021</v>
      </c>
      <c r="O160" s="23" t="s">
        <v>1188</v>
      </c>
    </row>
    <row r="161" spans="1:15">
      <c r="A161" s="23" t="s">
        <v>1098</v>
      </c>
      <c r="B161" s="23" t="s">
        <v>974</v>
      </c>
      <c r="C161" s="23" t="s">
        <v>71</v>
      </c>
      <c r="D161" s="23" t="s">
        <v>72</v>
      </c>
      <c r="E161" s="23"/>
      <c r="F161" s="23" t="s">
        <v>1187</v>
      </c>
      <c r="G161" s="23" t="s">
        <v>1047</v>
      </c>
      <c r="H161" s="23" t="s">
        <v>1048</v>
      </c>
      <c r="I161" s="23" t="s">
        <v>1099</v>
      </c>
      <c r="J161" s="23" t="s">
        <v>1050</v>
      </c>
      <c r="K161" s="23" t="s">
        <v>1051</v>
      </c>
      <c r="L161" s="23" t="s">
        <v>1052</v>
      </c>
      <c r="M161" s="23">
        <v>1</v>
      </c>
      <c r="N161" s="23" t="s">
        <v>1021</v>
      </c>
      <c r="O161" s="23" t="s">
        <v>1188</v>
      </c>
    </row>
    <row r="162" spans="1:15">
      <c r="A162" s="23" t="s">
        <v>1100</v>
      </c>
      <c r="B162" s="23" t="s">
        <v>974</v>
      </c>
      <c r="C162" s="23" t="s">
        <v>71</v>
      </c>
      <c r="D162" s="23" t="s">
        <v>72</v>
      </c>
      <c r="E162" s="23"/>
      <c r="F162" s="23" t="s">
        <v>1187</v>
      </c>
      <c r="G162" s="23" t="s">
        <v>1047</v>
      </c>
      <c r="H162" s="23" t="s">
        <v>1048</v>
      </c>
      <c r="I162" s="23" t="s">
        <v>1101</v>
      </c>
      <c r="J162" s="23" t="s">
        <v>1050</v>
      </c>
      <c r="K162" s="23" t="s">
        <v>1051</v>
      </c>
      <c r="L162" s="23" t="s">
        <v>1052</v>
      </c>
      <c r="M162" s="23">
        <v>1</v>
      </c>
      <c r="N162" s="23" t="s">
        <v>1021</v>
      </c>
      <c r="O162" s="23" t="s">
        <v>1188</v>
      </c>
    </row>
    <row r="163" spans="1:15">
      <c r="A163" s="23" t="s">
        <v>1102</v>
      </c>
      <c r="B163" s="23" t="s">
        <v>974</v>
      </c>
      <c r="C163" s="23" t="s">
        <v>71</v>
      </c>
      <c r="D163" s="23" t="s">
        <v>72</v>
      </c>
      <c r="E163" s="23"/>
      <c r="F163" s="23" t="s">
        <v>1187</v>
      </c>
      <c r="G163" s="23" t="s">
        <v>1047</v>
      </c>
      <c r="H163" s="23" t="s">
        <v>1048</v>
      </c>
      <c r="I163" s="23" t="s">
        <v>1103</v>
      </c>
      <c r="J163" s="23" t="s">
        <v>1050</v>
      </c>
      <c r="K163" s="23" t="s">
        <v>1051</v>
      </c>
      <c r="L163" s="23" t="s">
        <v>1052</v>
      </c>
      <c r="M163" s="23">
        <v>1</v>
      </c>
      <c r="N163" s="23" t="s">
        <v>1021</v>
      </c>
      <c r="O163" s="23" t="s">
        <v>1188</v>
      </c>
    </row>
    <row r="164" spans="1:15">
      <c r="A164" s="23" t="s">
        <v>1096</v>
      </c>
      <c r="B164" s="23" t="s">
        <v>974</v>
      </c>
      <c r="C164" s="23" t="s">
        <v>71</v>
      </c>
      <c r="D164" s="23" t="s">
        <v>72</v>
      </c>
      <c r="E164" s="23"/>
      <c r="F164" s="23" t="s">
        <v>1187</v>
      </c>
      <c r="G164" s="23" t="s">
        <v>1047</v>
      </c>
      <c r="H164" s="23" t="s">
        <v>1048</v>
      </c>
      <c r="I164" s="23" t="s">
        <v>1097</v>
      </c>
      <c r="J164" s="23" t="s">
        <v>1050</v>
      </c>
      <c r="K164" s="23" t="s">
        <v>1051</v>
      </c>
      <c r="L164" s="23" t="s">
        <v>1052</v>
      </c>
      <c r="M164" s="23">
        <v>1</v>
      </c>
      <c r="N164" s="23" t="s">
        <v>1021</v>
      </c>
      <c r="O164" s="23" t="s">
        <v>1188</v>
      </c>
    </row>
    <row r="165" spans="1:15">
      <c r="A165" s="23" t="s">
        <v>1098</v>
      </c>
      <c r="B165" s="23" t="s">
        <v>974</v>
      </c>
      <c r="C165" s="23" t="s">
        <v>71</v>
      </c>
      <c r="D165" s="23" t="s">
        <v>72</v>
      </c>
      <c r="E165" s="23"/>
      <c r="F165" s="23" t="s">
        <v>1187</v>
      </c>
      <c r="G165" s="23" t="s">
        <v>1047</v>
      </c>
      <c r="H165" s="23" t="s">
        <v>1048</v>
      </c>
      <c r="I165" s="23" t="s">
        <v>1099</v>
      </c>
      <c r="J165" s="23" t="s">
        <v>1050</v>
      </c>
      <c r="K165" s="23" t="s">
        <v>1051</v>
      </c>
      <c r="L165" s="23" t="s">
        <v>1052</v>
      </c>
      <c r="M165" s="23">
        <v>1</v>
      </c>
      <c r="N165" s="23" t="s">
        <v>1021</v>
      </c>
      <c r="O165" s="23" t="s">
        <v>1188</v>
      </c>
    </row>
    <row r="166" spans="1:15">
      <c r="A166" s="23" t="s">
        <v>1100</v>
      </c>
      <c r="B166" s="23" t="s">
        <v>974</v>
      </c>
      <c r="C166" s="23" t="s">
        <v>71</v>
      </c>
      <c r="D166" s="23" t="s">
        <v>72</v>
      </c>
      <c r="E166" s="23"/>
      <c r="F166" s="23" t="s">
        <v>1187</v>
      </c>
      <c r="G166" s="23" t="s">
        <v>1047</v>
      </c>
      <c r="H166" s="23" t="s">
        <v>1048</v>
      </c>
      <c r="I166" s="23" t="s">
        <v>1101</v>
      </c>
      <c r="J166" s="23" t="s">
        <v>1050</v>
      </c>
      <c r="K166" s="23" t="s">
        <v>1051</v>
      </c>
      <c r="L166" s="23" t="s">
        <v>1052</v>
      </c>
      <c r="M166" s="23">
        <v>1</v>
      </c>
      <c r="N166" s="23" t="s">
        <v>1021</v>
      </c>
      <c r="O166" s="23" t="s">
        <v>1188</v>
      </c>
    </row>
    <row r="167" spans="1:15">
      <c r="A167" s="23" t="s">
        <v>1102</v>
      </c>
      <c r="B167" s="23" t="s">
        <v>974</v>
      </c>
      <c r="C167" s="23" t="s">
        <v>71</v>
      </c>
      <c r="D167" s="23" t="s">
        <v>72</v>
      </c>
      <c r="E167" s="23"/>
      <c r="F167" s="23" t="s">
        <v>1187</v>
      </c>
      <c r="G167" s="23" t="s">
        <v>1047</v>
      </c>
      <c r="H167" s="23" t="s">
        <v>1048</v>
      </c>
      <c r="I167" s="23" t="s">
        <v>1103</v>
      </c>
      <c r="J167" s="23" t="s">
        <v>1050</v>
      </c>
      <c r="K167" s="23" t="s">
        <v>1051</v>
      </c>
      <c r="L167" s="23" t="s">
        <v>1052</v>
      </c>
      <c r="M167" s="23">
        <v>1</v>
      </c>
      <c r="N167" s="23" t="s">
        <v>1021</v>
      </c>
      <c r="O167" s="23" t="s">
        <v>1188</v>
      </c>
    </row>
    <row r="168" spans="1:15">
      <c r="A168" s="23" t="s">
        <v>1104</v>
      </c>
      <c r="B168" s="23" t="s">
        <v>974</v>
      </c>
      <c r="C168" s="23" t="s">
        <v>71</v>
      </c>
      <c r="D168" s="23" t="s">
        <v>72</v>
      </c>
      <c r="E168" s="23"/>
      <c r="F168" s="23" t="s">
        <v>1187</v>
      </c>
      <c r="G168" s="23" t="s">
        <v>1047</v>
      </c>
      <c r="H168" s="23" t="s">
        <v>1048</v>
      </c>
      <c r="I168" s="23" t="s">
        <v>1105</v>
      </c>
      <c r="J168" s="23" t="s">
        <v>1050</v>
      </c>
      <c r="K168" s="23" t="s">
        <v>1051</v>
      </c>
      <c r="L168" s="23" t="s">
        <v>1052</v>
      </c>
      <c r="M168" s="23">
        <v>1</v>
      </c>
      <c r="N168" s="23" t="s">
        <v>1021</v>
      </c>
      <c r="O168" s="23" t="s">
        <v>1188</v>
      </c>
    </row>
    <row r="169" spans="1:15">
      <c r="A169" s="23" t="s">
        <v>1155</v>
      </c>
      <c r="B169" s="23" t="s">
        <v>974</v>
      </c>
      <c r="C169" s="23" t="s">
        <v>71</v>
      </c>
      <c r="D169" s="23" t="s">
        <v>72</v>
      </c>
      <c r="E169" s="23"/>
      <c r="F169" s="23" t="s">
        <v>1187</v>
      </c>
      <c r="G169" s="23" t="s">
        <v>1047</v>
      </c>
      <c r="H169" s="23" t="s">
        <v>1048</v>
      </c>
      <c r="I169" s="23" t="s">
        <v>1156</v>
      </c>
      <c r="J169" s="23" t="s">
        <v>1050</v>
      </c>
      <c r="K169" s="23" t="s">
        <v>1051</v>
      </c>
      <c r="L169" s="23" t="s">
        <v>1052</v>
      </c>
      <c r="M169" s="23">
        <v>1</v>
      </c>
      <c r="N169" s="23" t="s">
        <v>1021</v>
      </c>
      <c r="O169" s="23" t="s">
        <v>1188</v>
      </c>
    </row>
    <row r="170" spans="1:15">
      <c r="A170" s="23" t="s">
        <v>1106</v>
      </c>
      <c r="B170" s="23" t="s">
        <v>974</v>
      </c>
      <c r="C170" s="23" t="s">
        <v>71</v>
      </c>
      <c r="D170" s="23" t="s">
        <v>72</v>
      </c>
      <c r="E170" s="23"/>
      <c r="F170" s="23" t="s">
        <v>1187</v>
      </c>
      <c r="G170" s="23" t="s">
        <v>1047</v>
      </c>
      <c r="H170" s="23" t="s">
        <v>1048</v>
      </c>
      <c r="I170" s="23" t="s">
        <v>1107</v>
      </c>
      <c r="J170" s="23" t="s">
        <v>1050</v>
      </c>
      <c r="K170" s="23" t="s">
        <v>1051</v>
      </c>
      <c r="L170" s="23" t="s">
        <v>1052</v>
      </c>
      <c r="M170" s="23">
        <v>1</v>
      </c>
      <c r="N170" s="23" t="s">
        <v>1021</v>
      </c>
      <c r="O170" s="23" t="s">
        <v>1188</v>
      </c>
    </row>
    <row r="171" spans="1:15">
      <c r="A171" s="23" t="s">
        <v>1108</v>
      </c>
      <c r="B171" s="23" t="s">
        <v>974</v>
      </c>
      <c r="C171" s="23" t="s">
        <v>71</v>
      </c>
      <c r="D171" s="23" t="s">
        <v>72</v>
      </c>
      <c r="E171" s="23"/>
      <c r="F171" s="23" t="s">
        <v>1187</v>
      </c>
      <c r="G171" s="23" t="s">
        <v>1047</v>
      </c>
      <c r="H171" s="23" t="s">
        <v>1048</v>
      </c>
      <c r="I171" s="23" t="s">
        <v>1109</v>
      </c>
      <c r="J171" s="23" t="s">
        <v>1050</v>
      </c>
      <c r="K171" s="23" t="s">
        <v>1051</v>
      </c>
      <c r="L171" s="23" t="s">
        <v>1052</v>
      </c>
      <c r="M171" s="23">
        <v>1</v>
      </c>
      <c r="N171" s="23" t="s">
        <v>1021</v>
      </c>
      <c r="O171" s="23" t="s">
        <v>1188</v>
      </c>
    </row>
    <row r="172" spans="1:15">
      <c r="A172" s="23" t="s">
        <v>1157</v>
      </c>
      <c r="B172" s="23" t="s">
        <v>974</v>
      </c>
      <c r="C172" s="23" t="s">
        <v>78</v>
      </c>
      <c r="D172" s="23" t="s">
        <v>79</v>
      </c>
      <c r="E172" s="23"/>
      <c r="F172" s="23" t="s">
        <v>1187</v>
      </c>
      <c r="G172" s="23" t="s">
        <v>1047</v>
      </c>
      <c r="H172" s="23" t="s">
        <v>1048</v>
      </c>
      <c r="I172" s="23" t="s">
        <v>1158</v>
      </c>
      <c r="J172" s="23" t="s">
        <v>1050</v>
      </c>
      <c r="K172" s="23" t="s">
        <v>1051</v>
      </c>
      <c r="L172" s="23" t="s">
        <v>1052</v>
      </c>
      <c r="M172" s="23">
        <v>1</v>
      </c>
      <c r="N172" s="23" t="s">
        <v>1021</v>
      </c>
      <c r="O172" s="23" t="s">
        <v>1188</v>
      </c>
    </row>
    <row r="173" spans="1:15">
      <c r="A173" s="23" t="s">
        <v>1110</v>
      </c>
      <c r="B173" s="23" t="s">
        <v>974</v>
      </c>
      <c r="C173" s="23" t="s">
        <v>71</v>
      </c>
      <c r="D173" s="23" t="s">
        <v>72</v>
      </c>
      <c r="E173" s="23"/>
      <c r="F173" s="23" t="s">
        <v>1187</v>
      </c>
      <c r="G173" s="23" t="s">
        <v>1047</v>
      </c>
      <c r="H173" s="23" t="s">
        <v>1048</v>
      </c>
      <c r="I173" s="23" t="s">
        <v>1111</v>
      </c>
      <c r="J173" s="23" t="s">
        <v>1050</v>
      </c>
      <c r="K173" s="23" t="s">
        <v>1051</v>
      </c>
      <c r="L173" s="23" t="s">
        <v>1052</v>
      </c>
      <c r="M173" s="23">
        <v>1</v>
      </c>
      <c r="N173" s="23" t="s">
        <v>1021</v>
      </c>
      <c r="O173" s="23" t="s">
        <v>1188</v>
      </c>
    </row>
    <row r="174" spans="1:15">
      <c r="A174" s="23" t="s">
        <v>1112</v>
      </c>
      <c r="B174" s="23" t="s">
        <v>974</v>
      </c>
      <c r="C174" s="23" t="s">
        <v>71</v>
      </c>
      <c r="D174" s="23" t="s">
        <v>72</v>
      </c>
      <c r="E174" s="23"/>
      <c r="F174" s="23" t="s">
        <v>1187</v>
      </c>
      <c r="G174" s="23" t="s">
        <v>1047</v>
      </c>
      <c r="H174" s="23" t="s">
        <v>1048</v>
      </c>
      <c r="I174" s="23" t="s">
        <v>1084</v>
      </c>
      <c r="J174" s="23" t="s">
        <v>1050</v>
      </c>
      <c r="K174" s="23" t="s">
        <v>1051</v>
      </c>
      <c r="L174" s="23" t="s">
        <v>1052</v>
      </c>
      <c r="M174" s="23">
        <v>1</v>
      </c>
      <c r="N174" s="23" t="s">
        <v>1021</v>
      </c>
      <c r="O174" s="23" t="s">
        <v>1188</v>
      </c>
    </row>
    <row r="175" spans="1:15">
      <c r="A175" s="23" t="s">
        <v>1159</v>
      </c>
      <c r="B175" s="23" t="s">
        <v>974</v>
      </c>
      <c r="C175" s="23" t="s">
        <v>78</v>
      </c>
      <c r="D175" s="23" t="s">
        <v>79</v>
      </c>
      <c r="E175" s="23"/>
      <c r="F175" s="23" t="s">
        <v>1187</v>
      </c>
      <c r="G175" s="23" t="s">
        <v>1047</v>
      </c>
      <c r="H175" s="23" t="s">
        <v>1048</v>
      </c>
      <c r="I175" s="23" t="s">
        <v>1153</v>
      </c>
      <c r="J175" s="23" t="s">
        <v>1050</v>
      </c>
      <c r="K175" s="23" t="s">
        <v>1051</v>
      </c>
      <c r="L175" s="23" t="s">
        <v>1052</v>
      </c>
      <c r="M175" s="23">
        <v>1</v>
      </c>
      <c r="N175" s="23" t="s">
        <v>1021</v>
      </c>
      <c r="O175" s="23" t="s">
        <v>1188</v>
      </c>
    </row>
    <row r="176" spans="1:15">
      <c r="A176" s="23" t="s">
        <v>1113</v>
      </c>
      <c r="B176" s="23" t="s">
        <v>974</v>
      </c>
      <c r="C176" s="23" t="s">
        <v>71</v>
      </c>
      <c r="D176" s="23" t="s">
        <v>72</v>
      </c>
      <c r="E176" s="23"/>
      <c r="F176" s="23" t="s">
        <v>1187</v>
      </c>
      <c r="G176" s="23" t="s">
        <v>1047</v>
      </c>
      <c r="H176" s="23" t="s">
        <v>1048</v>
      </c>
      <c r="I176" s="23" t="s">
        <v>1114</v>
      </c>
      <c r="J176" s="23" t="s">
        <v>1050</v>
      </c>
      <c r="K176" s="23" t="s">
        <v>1051</v>
      </c>
      <c r="L176" s="23" t="s">
        <v>1052</v>
      </c>
      <c r="M176" s="23">
        <v>1</v>
      </c>
      <c r="N176" s="23" t="s">
        <v>1021</v>
      </c>
      <c r="O176" s="23" t="s">
        <v>1188</v>
      </c>
    </row>
    <row r="177" spans="1:15">
      <c r="A177" s="23" t="s">
        <v>1165</v>
      </c>
      <c r="B177" s="23" t="s">
        <v>974</v>
      </c>
      <c r="C177" s="23" t="s">
        <v>86</v>
      </c>
      <c r="D177" s="23" t="s">
        <v>87</v>
      </c>
      <c r="E177" s="23"/>
      <c r="F177" s="23" t="s">
        <v>1187</v>
      </c>
      <c r="G177" s="23" t="s">
        <v>1047</v>
      </c>
      <c r="H177" s="23" t="s">
        <v>1048</v>
      </c>
      <c r="I177" s="23" t="s">
        <v>1166</v>
      </c>
      <c r="J177" s="23" t="s">
        <v>1050</v>
      </c>
      <c r="K177" s="23" t="s">
        <v>1051</v>
      </c>
      <c r="L177" s="23" t="s">
        <v>1052</v>
      </c>
      <c r="M177" s="23">
        <v>1</v>
      </c>
      <c r="N177" s="23" t="s">
        <v>1021</v>
      </c>
      <c r="O177" s="23" t="s">
        <v>1188</v>
      </c>
    </row>
    <row r="178" spans="1:15">
      <c r="A178" s="23" t="s">
        <v>1115</v>
      </c>
      <c r="B178" s="23" t="s">
        <v>974</v>
      </c>
      <c r="C178" s="23" t="s">
        <v>71</v>
      </c>
      <c r="D178" s="23" t="s">
        <v>72</v>
      </c>
      <c r="E178" s="23"/>
      <c r="F178" s="23" t="s">
        <v>1187</v>
      </c>
      <c r="G178" s="23" t="s">
        <v>1047</v>
      </c>
      <c r="H178" s="23" t="s">
        <v>1048</v>
      </c>
      <c r="I178" s="23" t="s">
        <v>1116</v>
      </c>
      <c r="J178" s="23" t="s">
        <v>1050</v>
      </c>
      <c r="K178" s="23" t="s">
        <v>1051</v>
      </c>
      <c r="L178" s="23" t="s">
        <v>1052</v>
      </c>
      <c r="M178" s="23">
        <v>1</v>
      </c>
      <c r="N178" s="23" t="s">
        <v>1021</v>
      </c>
      <c r="O178" s="23" t="s">
        <v>1188</v>
      </c>
    </row>
    <row r="179" spans="1:15">
      <c r="A179" s="23" t="s">
        <v>1167</v>
      </c>
      <c r="B179" s="23" t="s">
        <v>974</v>
      </c>
      <c r="C179" s="23" t="s">
        <v>86</v>
      </c>
      <c r="D179" s="23" t="s">
        <v>87</v>
      </c>
      <c r="E179" s="23"/>
      <c r="F179" s="23" t="s">
        <v>1187</v>
      </c>
      <c r="G179" s="23" t="s">
        <v>1047</v>
      </c>
      <c r="H179" s="23" t="s">
        <v>1048</v>
      </c>
      <c r="I179" s="23" t="s">
        <v>1168</v>
      </c>
      <c r="J179" s="23" t="s">
        <v>1050</v>
      </c>
      <c r="K179" s="23" t="s">
        <v>1051</v>
      </c>
      <c r="L179" s="23" t="s">
        <v>1052</v>
      </c>
      <c r="M179" s="23">
        <v>1</v>
      </c>
      <c r="N179" s="23" t="s">
        <v>1021</v>
      </c>
      <c r="O179" s="23" t="s">
        <v>1188</v>
      </c>
    </row>
    <row r="180" spans="1:15">
      <c r="A180" s="23" t="s">
        <v>1117</v>
      </c>
      <c r="B180" s="23" t="s">
        <v>974</v>
      </c>
      <c r="C180" s="23" t="s">
        <v>71</v>
      </c>
      <c r="D180" s="23" t="s">
        <v>72</v>
      </c>
      <c r="E180" s="23"/>
      <c r="F180" s="23" t="s">
        <v>1187</v>
      </c>
      <c r="G180" s="23" t="s">
        <v>1047</v>
      </c>
      <c r="H180" s="23" t="s">
        <v>1048</v>
      </c>
      <c r="I180" s="23" t="s">
        <v>1089</v>
      </c>
      <c r="J180" s="23" t="s">
        <v>1050</v>
      </c>
      <c r="K180" s="23" t="s">
        <v>1051</v>
      </c>
      <c r="L180" s="23" t="s">
        <v>1052</v>
      </c>
      <c r="M180" s="23">
        <v>1</v>
      </c>
      <c r="N180" s="23" t="s">
        <v>1021</v>
      </c>
      <c r="O180" s="23" t="s">
        <v>1188</v>
      </c>
    </row>
    <row r="181" spans="1:15">
      <c r="A181" s="23" t="s">
        <v>1169</v>
      </c>
      <c r="B181" s="23" t="s">
        <v>974</v>
      </c>
      <c r="C181" s="23" t="s">
        <v>86</v>
      </c>
      <c r="D181" s="23" t="s">
        <v>87</v>
      </c>
      <c r="E181" s="23"/>
      <c r="F181" s="23" t="s">
        <v>1187</v>
      </c>
      <c r="G181" s="23" t="s">
        <v>1047</v>
      </c>
      <c r="H181" s="23" t="s">
        <v>1048</v>
      </c>
      <c r="I181" s="23" t="s">
        <v>1163</v>
      </c>
      <c r="J181" s="23" t="s">
        <v>1050</v>
      </c>
      <c r="K181" s="23" t="s">
        <v>1051</v>
      </c>
      <c r="L181" s="23" t="s">
        <v>1052</v>
      </c>
      <c r="M181" s="23">
        <v>1</v>
      </c>
      <c r="N181" s="23" t="s">
        <v>1021</v>
      </c>
      <c r="O181" s="23" t="s">
        <v>1188</v>
      </c>
    </row>
    <row r="182" spans="1:15">
      <c r="A182" s="23" t="s">
        <v>1104</v>
      </c>
      <c r="B182" s="23" t="s">
        <v>974</v>
      </c>
      <c r="C182" s="23" t="s">
        <v>71</v>
      </c>
      <c r="D182" s="23" t="s">
        <v>72</v>
      </c>
      <c r="E182" s="23"/>
      <c r="F182" s="23" t="s">
        <v>1187</v>
      </c>
      <c r="G182" s="23" t="s">
        <v>1047</v>
      </c>
      <c r="H182" s="23" t="s">
        <v>1048</v>
      </c>
      <c r="I182" s="23" t="s">
        <v>1105</v>
      </c>
      <c r="J182" s="23" t="s">
        <v>1050</v>
      </c>
      <c r="K182" s="23" t="s">
        <v>1051</v>
      </c>
      <c r="L182" s="23" t="s">
        <v>1052</v>
      </c>
      <c r="M182" s="23">
        <v>1</v>
      </c>
      <c r="N182" s="23" t="s">
        <v>1021</v>
      </c>
      <c r="O182" s="23" t="s">
        <v>1188</v>
      </c>
    </row>
    <row r="183" spans="1:15">
      <c r="A183" s="23" t="s">
        <v>1155</v>
      </c>
      <c r="B183" s="23" t="s">
        <v>974</v>
      </c>
      <c r="C183" s="23" t="s">
        <v>71</v>
      </c>
      <c r="D183" s="23" t="s">
        <v>72</v>
      </c>
      <c r="E183" s="23"/>
      <c r="F183" s="23" t="s">
        <v>1187</v>
      </c>
      <c r="G183" s="23" t="s">
        <v>1047</v>
      </c>
      <c r="H183" s="23" t="s">
        <v>1048</v>
      </c>
      <c r="I183" s="23" t="s">
        <v>1156</v>
      </c>
      <c r="J183" s="23" t="s">
        <v>1050</v>
      </c>
      <c r="K183" s="23" t="s">
        <v>1051</v>
      </c>
      <c r="L183" s="23" t="s">
        <v>1052</v>
      </c>
      <c r="M183" s="23">
        <v>1</v>
      </c>
      <c r="N183" s="23" t="s">
        <v>1021</v>
      </c>
      <c r="O183" s="23" t="s">
        <v>1188</v>
      </c>
    </row>
    <row r="184" spans="1:15">
      <c r="A184" s="23" t="s">
        <v>1106</v>
      </c>
      <c r="B184" s="23" t="s">
        <v>974</v>
      </c>
      <c r="C184" s="23" t="s">
        <v>71</v>
      </c>
      <c r="D184" s="23" t="s">
        <v>72</v>
      </c>
      <c r="E184" s="23"/>
      <c r="F184" s="23" t="s">
        <v>1187</v>
      </c>
      <c r="G184" s="23" t="s">
        <v>1047</v>
      </c>
      <c r="H184" s="23" t="s">
        <v>1048</v>
      </c>
      <c r="I184" s="23" t="s">
        <v>1107</v>
      </c>
      <c r="J184" s="23" t="s">
        <v>1050</v>
      </c>
      <c r="K184" s="23" t="s">
        <v>1051</v>
      </c>
      <c r="L184" s="23" t="s">
        <v>1052</v>
      </c>
      <c r="M184" s="23">
        <v>1</v>
      </c>
      <c r="N184" s="23" t="s">
        <v>1021</v>
      </c>
      <c r="O184" s="23" t="s">
        <v>1188</v>
      </c>
    </row>
    <row r="185" spans="1:15">
      <c r="A185" s="23" t="s">
        <v>1108</v>
      </c>
      <c r="B185" s="23" t="s">
        <v>974</v>
      </c>
      <c r="C185" s="23" t="s">
        <v>71</v>
      </c>
      <c r="D185" s="23" t="s">
        <v>72</v>
      </c>
      <c r="E185" s="23"/>
      <c r="F185" s="23" t="s">
        <v>1187</v>
      </c>
      <c r="G185" s="23" t="s">
        <v>1047</v>
      </c>
      <c r="H185" s="23" t="s">
        <v>1048</v>
      </c>
      <c r="I185" s="23" t="s">
        <v>1109</v>
      </c>
      <c r="J185" s="23" t="s">
        <v>1050</v>
      </c>
      <c r="K185" s="23" t="s">
        <v>1051</v>
      </c>
      <c r="L185" s="23" t="s">
        <v>1052</v>
      </c>
      <c r="M185" s="23">
        <v>1</v>
      </c>
      <c r="N185" s="23" t="s">
        <v>1021</v>
      </c>
      <c r="O185" s="23" t="s">
        <v>1188</v>
      </c>
    </row>
    <row r="186" spans="1:15">
      <c r="A186" s="23" t="s">
        <v>1157</v>
      </c>
      <c r="B186" s="23" t="s">
        <v>974</v>
      </c>
      <c r="C186" s="23" t="s">
        <v>78</v>
      </c>
      <c r="D186" s="23" t="s">
        <v>79</v>
      </c>
      <c r="E186" s="23"/>
      <c r="F186" s="23" t="s">
        <v>1187</v>
      </c>
      <c r="G186" s="23" t="s">
        <v>1047</v>
      </c>
      <c r="H186" s="23" t="s">
        <v>1048</v>
      </c>
      <c r="I186" s="23" t="s">
        <v>1158</v>
      </c>
      <c r="J186" s="23" t="s">
        <v>1050</v>
      </c>
      <c r="K186" s="23" t="s">
        <v>1051</v>
      </c>
      <c r="L186" s="23" t="s">
        <v>1052</v>
      </c>
      <c r="M186" s="23">
        <v>1</v>
      </c>
      <c r="N186" s="23" t="s">
        <v>1021</v>
      </c>
      <c r="O186" s="23" t="s">
        <v>1188</v>
      </c>
    </row>
    <row r="187" spans="1:15">
      <c r="A187" s="23" t="s">
        <v>1110</v>
      </c>
      <c r="B187" s="23" t="s">
        <v>974</v>
      </c>
      <c r="C187" s="23" t="s">
        <v>71</v>
      </c>
      <c r="D187" s="23" t="s">
        <v>72</v>
      </c>
      <c r="E187" s="23"/>
      <c r="F187" s="23" t="s">
        <v>1187</v>
      </c>
      <c r="G187" s="23" t="s">
        <v>1047</v>
      </c>
      <c r="H187" s="23" t="s">
        <v>1048</v>
      </c>
      <c r="I187" s="23" t="s">
        <v>1111</v>
      </c>
      <c r="J187" s="23" t="s">
        <v>1050</v>
      </c>
      <c r="K187" s="23" t="s">
        <v>1051</v>
      </c>
      <c r="L187" s="23" t="s">
        <v>1052</v>
      </c>
      <c r="M187" s="23">
        <v>1</v>
      </c>
      <c r="N187" s="23" t="s">
        <v>1021</v>
      </c>
      <c r="O187" s="23" t="s">
        <v>1188</v>
      </c>
    </row>
    <row r="188" spans="1:15">
      <c r="A188" s="23" t="s">
        <v>1112</v>
      </c>
      <c r="B188" s="23" t="s">
        <v>974</v>
      </c>
      <c r="C188" s="23" t="s">
        <v>71</v>
      </c>
      <c r="D188" s="23" t="s">
        <v>72</v>
      </c>
      <c r="E188" s="23"/>
      <c r="F188" s="23" t="s">
        <v>1187</v>
      </c>
      <c r="G188" s="23" t="s">
        <v>1047</v>
      </c>
      <c r="H188" s="23" t="s">
        <v>1048</v>
      </c>
      <c r="I188" s="23" t="s">
        <v>1084</v>
      </c>
      <c r="J188" s="23" t="s">
        <v>1050</v>
      </c>
      <c r="K188" s="23" t="s">
        <v>1051</v>
      </c>
      <c r="L188" s="23" t="s">
        <v>1052</v>
      </c>
      <c r="M188" s="23">
        <v>1</v>
      </c>
      <c r="N188" s="23" t="s">
        <v>1021</v>
      </c>
      <c r="O188" s="23" t="s">
        <v>1188</v>
      </c>
    </row>
    <row r="189" spans="1:15">
      <c r="A189" s="23" t="s">
        <v>1159</v>
      </c>
      <c r="B189" s="23" t="s">
        <v>974</v>
      </c>
      <c r="C189" s="23" t="s">
        <v>78</v>
      </c>
      <c r="D189" s="23" t="s">
        <v>79</v>
      </c>
      <c r="E189" s="23"/>
      <c r="F189" s="23" t="s">
        <v>1187</v>
      </c>
      <c r="G189" s="23" t="s">
        <v>1047</v>
      </c>
      <c r="H189" s="23" t="s">
        <v>1048</v>
      </c>
      <c r="I189" s="23" t="s">
        <v>1153</v>
      </c>
      <c r="J189" s="23" t="s">
        <v>1050</v>
      </c>
      <c r="K189" s="23" t="s">
        <v>1051</v>
      </c>
      <c r="L189" s="23" t="s">
        <v>1052</v>
      </c>
      <c r="M189" s="23">
        <v>1</v>
      </c>
      <c r="N189" s="23" t="s">
        <v>1021</v>
      </c>
      <c r="O189" s="23" t="s">
        <v>1188</v>
      </c>
    </row>
    <row r="190" spans="1:15">
      <c r="A190" s="23" t="s">
        <v>1113</v>
      </c>
      <c r="B190" s="23" t="s">
        <v>974</v>
      </c>
      <c r="C190" s="23" t="s">
        <v>71</v>
      </c>
      <c r="D190" s="23" t="s">
        <v>72</v>
      </c>
      <c r="E190" s="23"/>
      <c r="F190" s="23" t="s">
        <v>1187</v>
      </c>
      <c r="G190" s="23" t="s">
        <v>1047</v>
      </c>
      <c r="H190" s="23" t="s">
        <v>1048</v>
      </c>
      <c r="I190" s="23" t="s">
        <v>1114</v>
      </c>
      <c r="J190" s="23" t="s">
        <v>1050</v>
      </c>
      <c r="K190" s="23" t="s">
        <v>1051</v>
      </c>
      <c r="L190" s="23" t="s">
        <v>1052</v>
      </c>
      <c r="M190" s="23">
        <v>1</v>
      </c>
      <c r="N190" s="23" t="s">
        <v>1021</v>
      </c>
      <c r="O190" s="23" t="s">
        <v>1188</v>
      </c>
    </row>
    <row r="191" spans="1:15">
      <c r="A191" s="23" t="s">
        <v>1165</v>
      </c>
      <c r="B191" s="23" t="s">
        <v>974</v>
      </c>
      <c r="C191" s="23" t="s">
        <v>86</v>
      </c>
      <c r="D191" s="23" t="s">
        <v>87</v>
      </c>
      <c r="E191" s="23"/>
      <c r="F191" s="23" t="s">
        <v>1187</v>
      </c>
      <c r="G191" s="23" t="s">
        <v>1047</v>
      </c>
      <c r="H191" s="23" t="s">
        <v>1048</v>
      </c>
      <c r="I191" s="23" t="s">
        <v>1166</v>
      </c>
      <c r="J191" s="23" t="s">
        <v>1050</v>
      </c>
      <c r="K191" s="23" t="s">
        <v>1051</v>
      </c>
      <c r="L191" s="23" t="s">
        <v>1052</v>
      </c>
      <c r="M191" s="23">
        <v>1</v>
      </c>
      <c r="N191" s="23" t="s">
        <v>1021</v>
      </c>
      <c r="O191" s="23" t="s">
        <v>1188</v>
      </c>
    </row>
    <row r="192" spans="1:15">
      <c r="A192" s="23" t="s">
        <v>1115</v>
      </c>
      <c r="B192" s="23" t="s">
        <v>974</v>
      </c>
      <c r="C192" s="23" t="s">
        <v>71</v>
      </c>
      <c r="D192" s="23" t="s">
        <v>72</v>
      </c>
      <c r="E192" s="23"/>
      <c r="F192" s="23" t="s">
        <v>1187</v>
      </c>
      <c r="G192" s="23" t="s">
        <v>1047</v>
      </c>
      <c r="H192" s="23" t="s">
        <v>1048</v>
      </c>
      <c r="I192" s="23" t="s">
        <v>1116</v>
      </c>
      <c r="J192" s="23" t="s">
        <v>1050</v>
      </c>
      <c r="K192" s="23" t="s">
        <v>1051</v>
      </c>
      <c r="L192" s="23" t="s">
        <v>1052</v>
      </c>
      <c r="M192" s="23">
        <v>1</v>
      </c>
      <c r="N192" s="23" t="s">
        <v>1021</v>
      </c>
      <c r="O192" s="23" t="s">
        <v>1188</v>
      </c>
    </row>
    <row r="193" spans="1:15">
      <c r="A193" s="23" t="s">
        <v>1167</v>
      </c>
      <c r="B193" s="23" t="s">
        <v>974</v>
      </c>
      <c r="C193" s="23" t="s">
        <v>86</v>
      </c>
      <c r="D193" s="23" t="s">
        <v>87</v>
      </c>
      <c r="E193" s="23"/>
      <c r="F193" s="23" t="s">
        <v>1187</v>
      </c>
      <c r="G193" s="23" t="s">
        <v>1047</v>
      </c>
      <c r="H193" s="23" t="s">
        <v>1048</v>
      </c>
      <c r="I193" s="23" t="s">
        <v>1168</v>
      </c>
      <c r="J193" s="23" t="s">
        <v>1050</v>
      </c>
      <c r="K193" s="23" t="s">
        <v>1051</v>
      </c>
      <c r="L193" s="23" t="s">
        <v>1052</v>
      </c>
      <c r="M193" s="23">
        <v>1</v>
      </c>
      <c r="N193" s="23" t="s">
        <v>1021</v>
      </c>
      <c r="O193" s="23" t="s">
        <v>1188</v>
      </c>
    </row>
    <row r="194" spans="1:15">
      <c r="A194" s="23" t="s">
        <v>1117</v>
      </c>
      <c r="B194" s="23" t="s">
        <v>974</v>
      </c>
      <c r="C194" s="23" t="s">
        <v>71</v>
      </c>
      <c r="D194" s="23" t="s">
        <v>72</v>
      </c>
      <c r="E194" s="23"/>
      <c r="F194" s="23" t="s">
        <v>1187</v>
      </c>
      <c r="G194" s="23" t="s">
        <v>1047</v>
      </c>
      <c r="H194" s="23" t="s">
        <v>1048</v>
      </c>
      <c r="I194" s="23" t="s">
        <v>1089</v>
      </c>
      <c r="J194" s="23" t="s">
        <v>1050</v>
      </c>
      <c r="K194" s="23" t="s">
        <v>1051</v>
      </c>
      <c r="L194" s="23" t="s">
        <v>1052</v>
      </c>
      <c r="M194" s="23">
        <v>1</v>
      </c>
      <c r="N194" s="23" t="s">
        <v>1021</v>
      </c>
      <c r="O194" s="23" t="s">
        <v>1188</v>
      </c>
    </row>
    <row r="195" spans="1:15">
      <c r="A195" s="23" t="s">
        <v>1169</v>
      </c>
      <c r="B195" s="23" t="s">
        <v>974</v>
      </c>
      <c r="C195" s="23" t="s">
        <v>86</v>
      </c>
      <c r="D195" s="23" t="s">
        <v>87</v>
      </c>
      <c r="E195" s="23"/>
      <c r="F195" s="23" t="s">
        <v>1187</v>
      </c>
      <c r="G195" s="23" t="s">
        <v>1047</v>
      </c>
      <c r="H195" s="23" t="s">
        <v>1048</v>
      </c>
      <c r="I195" s="23" t="s">
        <v>1163</v>
      </c>
      <c r="J195" s="23" t="s">
        <v>1050</v>
      </c>
      <c r="K195" s="23" t="s">
        <v>1051</v>
      </c>
      <c r="L195" s="23" t="s">
        <v>1052</v>
      </c>
      <c r="M195" s="23">
        <v>1</v>
      </c>
      <c r="N195" s="23" t="s">
        <v>1021</v>
      </c>
      <c r="O195" s="23" t="s">
        <v>1188</v>
      </c>
    </row>
    <row r="196" spans="1:15">
      <c r="A196" s="23" t="s">
        <v>1118</v>
      </c>
      <c r="B196" s="23" t="s">
        <v>974</v>
      </c>
      <c r="C196" s="23" t="s">
        <v>71</v>
      </c>
      <c r="D196" s="23" t="s">
        <v>72</v>
      </c>
      <c r="E196" s="23"/>
      <c r="F196" s="23" t="s">
        <v>1187</v>
      </c>
      <c r="G196" s="23" t="s">
        <v>1047</v>
      </c>
      <c r="H196" s="23" t="s">
        <v>1048</v>
      </c>
      <c r="I196" s="23" t="s">
        <v>1119</v>
      </c>
      <c r="J196" s="23" t="s">
        <v>1050</v>
      </c>
      <c r="K196" s="23" t="s">
        <v>1051</v>
      </c>
      <c r="L196" s="23" t="s">
        <v>1052</v>
      </c>
      <c r="M196" s="23">
        <v>1</v>
      </c>
      <c r="N196" s="23" t="s">
        <v>1021</v>
      </c>
      <c r="O196" s="23" t="s">
        <v>1188</v>
      </c>
    </row>
    <row r="197" spans="1:15">
      <c r="A197" s="23" t="s">
        <v>1191</v>
      </c>
      <c r="B197" s="23" t="s">
        <v>974</v>
      </c>
      <c r="C197" s="23" t="s">
        <v>71</v>
      </c>
      <c r="D197" s="23" t="s">
        <v>72</v>
      </c>
      <c r="E197" s="23"/>
      <c r="F197" s="23" t="s">
        <v>1187</v>
      </c>
      <c r="G197" s="23" t="s">
        <v>1047</v>
      </c>
      <c r="H197" s="23" t="s">
        <v>1048</v>
      </c>
      <c r="I197" s="23" t="s">
        <v>1192</v>
      </c>
      <c r="J197" s="23" t="s">
        <v>1050</v>
      </c>
      <c r="K197" s="23" t="s">
        <v>1051</v>
      </c>
      <c r="L197" s="23" t="s">
        <v>1052</v>
      </c>
      <c r="M197" s="23">
        <v>1</v>
      </c>
      <c r="N197" s="23" t="s">
        <v>1021</v>
      </c>
      <c r="O197" s="23" t="s">
        <v>1188</v>
      </c>
    </row>
    <row r="198" spans="1:15">
      <c r="A198" s="23" t="s">
        <v>1118</v>
      </c>
      <c r="B198" s="23" t="s">
        <v>974</v>
      </c>
      <c r="C198" s="23" t="s">
        <v>71</v>
      </c>
      <c r="D198" s="23" t="s">
        <v>72</v>
      </c>
      <c r="E198" s="23"/>
      <c r="F198" s="23" t="s">
        <v>1187</v>
      </c>
      <c r="G198" s="23" t="s">
        <v>1047</v>
      </c>
      <c r="H198" s="23" t="s">
        <v>1048</v>
      </c>
      <c r="I198" s="23" t="s">
        <v>1119</v>
      </c>
      <c r="J198" s="23" t="s">
        <v>1050</v>
      </c>
      <c r="K198" s="23" t="s">
        <v>1051</v>
      </c>
      <c r="L198" s="23" t="s">
        <v>1052</v>
      </c>
      <c r="M198" s="23">
        <v>1</v>
      </c>
      <c r="N198" s="23" t="s">
        <v>1021</v>
      </c>
      <c r="O198" s="23" t="s">
        <v>1188</v>
      </c>
    </row>
    <row r="199" spans="1:15">
      <c r="A199" s="23" t="s">
        <v>1191</v>
      </c>
      <c r="B199" s="23" t="s">
        <v>974</v>
      </c>
      <c r="C199" s="23" t="s">
        <v>71</v>
      </c>
      <c r="D199" s="23" t="s">
        <v>72</v>
      </c>
      <c r="E199" s="23"/>
      <c r="F199" s="23" t="s">
        <v>1187</v>
      </c>
      <c r="G199" s="23" t="s">
        <v>1047</v>
      </c>
      <c r="H199" s="23" t="s">
        <v>1048</v>
      </c>
      <c r="I199" s="23" t="s">
        <v>1192</v>
      </c>
      <c r="J199" s="23" t="s">
        <v>1050</v>
      </c>
      <c r="K199" s="23" t="s">
        <v>1051</v>
      </c>
      <c r="L199" s="23" t="s">
        <v>1052</v>
      </c>
      <c r="M199" s="23">
        <v>1</v>
      </c>
      <c r="N199" s="23" t="s">
        <v>1021</v>
      </c>
      <c r="O199" s="23" t="s">
        <v>1188</v>
      </c>
    </row>
    <row r="200" spans="1:15">
      <c r="A200" s="23" t="s">
        <v>1120</v>
      </c>
      <c r="B200" s="23" t="s">
        <v>974</v>
      </c>
      <c r="C200" s="23" t="s">
        <v>71</v>
      </c>
      <c r="D200" s="23" t="s">
        <v>72</v>
      </c>
      <c r="E200" s="23"/>
      <c r="F200" s="23" t="s">
        <v>1187</v>
      </c>
      <c r="G200" s="23" t="s">
        <v>1047</v>
      </c>
      <c r="H200" s="23" t="s">
        <v>1048</v>
      </c>
      <c r="I200" s="23" t="s">
        <v>1121</v>
      </c>
      <c r="J200" s="23" t="s">
        <v>1050</v>
      </c>
      <c r="K200" s="23" t="s">
        <v>1051</v>
      </c>
      <c r="L200" s="23" t="s">
        <v>1052</v>
      </c>
      <c r="M200" s="23">
        <v>1</v>
      </c>
      <c r="N200" s="23" t="s">
        <v>1021</v>
      </c>
      <c r="O200" s="23" t="s">
        <v>1188</v>
      </c>
    </row>
    <row r="201" spans="1:15">
      <c r="A201" s="23" t="s">
        <v>1122</v>
      </c>
      <c r="B201" s="23" t="s">
        <v>974</v>
      </c>
      <c r="C201" s="23" t="s">
        <v>71</v>
      </c>
      <c r="D201" s="23" t="s">
        <v>72</v>
      </c>
      <c r="E201" s="23"/>
      <c r="F201" s="23" t="s">
        <v>1187</v>
      </c>
      <c r="G201" s="23" t="s">
        <v>1047</v>
      </c>
      <c r="H201" s="23" t="s">
        <v>1048</v>
      </c>
      <c r="I201" s="23" t="s">
        <v>1123</v>
      </c>
      <c r="J201" s="23" t="s">
        <v>1050</v>
      </c>
      <c r="K201" s="23" t="s">
        <v>1051</v>
      </c>
      <c r="L201" s="23" t="s">
        <v>1052</v>
      </c>
      <c r="M201" s="23">
        <v>1</v>
      </c>
      <c r="N201" s="23" t="s">
        <v>1021</v>
      </c>
      <c r="O201" s="23" t="s">
        <v>1188</v>
      </c>
    </row>
    <row r="202" spans="1:15">
      <c r="A202" s="23" t="s">
        <v>1193</v>
      </c>
      <c r="B202" s="23" t="s">
        <v>974</v>
      </c>
      <c r="C202" s="23" t="s">
        <v>95</v>
      </c>
      <c r="D202" s="23" t="s">
        <v>96</v>
      </c>
      <c r="E202" s="23"/>
      <c r="F202" s="23" t="s">
        <v>1187</v>
      </c>
      <c r="G202" s="23" t="s">
        <v>1047</v>
      </c>
      <c r="H202" s="23" t="s">
        <v>1048</v>
      </c>
      <c r="I202" s="23" t="s">
        <v>1194</v>
      </c>
      <c r="J202" s="23" t="s">
        <v>1050</v>
      </c>
      <c r="K202" s="23" t="s">
        <v>1051</v>
      </c>
      <c r="L202" s="23" t="s">
        <v>1052</v>
      </c>
      <c r="M202" s="23">
        <v>1</v>
      </c>
      <c r="N202" s="23" t="s">
        <v>1021</v>
      </c>
      <c r="O202" s="23" t="s">
        <v>1188</v>
      </c>
    </row>
    <row r="203" spans="1:15">
      <c r="A203" s="23" t="s">
        <v>1124</v>
      </c>
      <c r="B203" s="23" t="s">
        <v>974</v>
      </c>
      <c r="C203" s="23" t="s">
        <v>71</v>
      </c>
      <c r="D203" s="23" t="s">
        <v>72</v>
      </c>
      <c r="E203" s="23"/>
      <c r="F203" s="23" t="s">
        <v>1187</v>
      </c>
      <c r="G203" s="23" t="s">
        <v>1047</v>
      </c>
      <c r="H203" s="23" t="s">
        <v>1048</v>
      </c>
      <c r="I203" s="23" t="s">
        <v>1125</v>
      </c>
      <c r="J203" s="23" t="s">
        <v>1050</v>
      </c>
      <c r="K203" s="23" t="s">
        <v>1051</v>
      </c>
      <c r="L203" s="23" t="s">
        <v>1052</v>
      </c>
      <c r="M203" s="23">
        <v>1</v>
      </c>
      <c r="N203" s="23" t="s">
        <v>1021</v>
      </c>
      <c r="O203" s="23" t="s">
        <v>1188</v>
      </c>
    </row>
    <row r="204" spans="1:15">
      <c r="A204" s="23" t="s">
        <v>1126</v>
      </c>
      <c r="B204" s="23" t="s">
        <v>974</v>
      </c>
      <c r="C204" s="23" t="s">
        <v>71</v>
      </c>
      <c r="D204" s="23" t="s">
        <v>72</v>
      </c>
      <c r="E204" s="23"/>
      <c r="F204" s="23" t="s">
        <v>1187</v>
      </c>
      <c r="G204" s="23" t="s">
        <v>1047</v>
      </c>
      <c r="H204" s="23" t="s">
        <v>1048</v>
      </c>
      <c r="I204" s="23" t="s">
        <v>1087</v>
      </c>
      <c r="J204" s="23" t="s">
        <v>1050</v>
      </c>
      <c r="K204" s="23" t="s">
        <v>1051</v>
      </c>
      <c r="L204" s="23" t="s">
        <v>1052</v>
      </c>
      <c r="M204" s="23">
        <v>1</v>
      </c>
      <c r="N204" s="23" t="s">
        <v>1021</v>
      </c>
      <c r="O204" s="23" t="s">
        <v>1188</v>
      </c>
    </row>
    <row r="205" spans="1:15">
      <c r="A205" s="23" t="s">
        <v>1195</v>
      </c>
      <c r="B205" s="23" t="s">
        <v>974</v>
      </c>
      <c r="C205" s="23" t="s">
        <v>95</v>
      </c>
      <c r="D205" s="23" t="s">
        <v>96</v>
      </c>
      <c r="E205" s="23"/>
      <c r="F205" s="23" t="s">
        <v>1187</v>
      </c>
      <c r="G205" s="23" t="s">
        <v>1047</v>
      </c>
      <c r="H205" s="23" t="s">
        <v>1048</v>
      </c>
      <c r="I205" s="23" t="s">
        <v>1190</v>
      </c>
      <c r="J205" s="23" t="s">
        <v>1050</v>
      </c>
      <c r="K205" s="23" t="s">
        <v>1051</v>
      </c>
      <c r="L205" s="23" t="s">
        <v>1052</v>
      </c>
      <c r="M205" s="23">
        <v>1</v>
      </c>
      <c r="N205" s="23" t="s">
        <v>1021</v>
      </c>
      <c r="O205" s="23" t="s">
        <v>1188</v>
      </c>
    </row>
    <row r="206" spans="1:15">
      <c r="A206" s="23" t="s">
        <v>1120</v>
      </c>
      <c r="B206" s="23" t="s">
        <v>974</v>
      </c>
      <c r="C206" s="23" t="s">
        <v>71</v>
      </c>
      <c r="D206" s="23" t="s">
        <v>72</v>
      </c>
      <c r="E206" s="23"/>
      <c r="F206" s="23" t="s">
        <v>1187</v>
      </c>
      <c r="G206" s="23" t="s">
        <v>1047</v>
      </c>
      <c r="H206" s="23" t="s">
        <v>1048</v>
      </c>
      <c r="I206" s="23" t="s">
        <v>1121</v>
      </c>
      <c r="J206" s="23" t="s">
        <v>1050</v>
      </c>
      <c r="K206" s="23" t="s">
        <v>1051</v>
      </c>
      <c r="L206" s="23" t="s">
        <v>1052</v>
      </c>
      <c r="M206" s="23">
        <v>1</v>
      </c>
      <c r="N206" s="23" t="s">
        <v>1021</v>
      </c>
      <c r="O206" s="23" t="s">
        <v>1188</v>
      </c>
    </row>
    <row r="207" spans="1:15">
      <c r="A207" s="23" t="s">
        <v>1122</v>
      </c>
      <c r="B207" s="23" t="s">
        <v>974</v>
      </c>
      <c r="C207" s="23" t="s">
        <v>71</v>
      </c>
      <c r="D207" s="23" t="s">
        <v>72</v>
      </c>
      <c r="E207" s="23"/>
      <c r="F207" s="23" t="s">
        <v>1187</v>
      </c>
      <c r="G207" s="23" t="s">
        <v>1047</v>
      </c>
      <c r="H207" s="23" t="s">
        <v>1048</v>
      </c>
      <c r="I207" s="23" t="s">
        <v>1123</v>
      </c>
      <c r="J207" s="23" t="s">
        <v>1050</v>
      </c>
      <c r="K207" s="23" t="s">
        <v>1051</v>
      </c>
      <c r="L207" s="23" t="s">
        <v>1052</v>
      </c>
      <c r="M207" s="23">
        <v>1</v>
      </c>
      <c r="N207" s="23" t="s">
        <v>1021</v>
      </c>
      <c r="O207" s="23" t="s">
        <v>1188</v>
      </c>
    </row>
    <row r="208" spans="1:15">
      <c r="A208" s="23" t="s">
        <v>1193</v>
      </c>
      <c r="B208" s="23" t="s">
        <v>974</v>
      </c>
      <c r="C208" s="23" t="s">
        <v>95</v>
      </c>
      <c r="D208" s="23" t="s">
        <v>96</v>
      </c>
      <c r="E208" s="23"/>
      <c r="F208" s="23" t="s">
        <v>1187</v>
      </c>
      <c r="G208" s="23" t="s">
        <v>1047</v>
      </c>
      <c r="H208" s="23" t="s">
        <v>1048</v>
      </c>
      <c r="I208" s="23" t="s">
        <v>1194</v>
      </c>
      <c r="J208" s="23" t="s">
        <v>1050</v>
      </c>
      <c r="K208" s="23" t="s">
        <v>1051</v>
      </c>
      <c r="L208" s="23" t="s">
        <v>1052</v>
      </c>
      <c r="M208" s="23">
        <v>1</v>
      </c>
      <c r="N208" s="23" t="s">
        <v>1021</v>
      </c>
      <c r="O208" s="23" t="s">
        <v>1188</v>
      </c>
    </row>
    <row r="209" spans="1:15">
      <c r="A209" s="23" t="s">
        <v>1124</v>
      </c>
      <c r="B209" s="23" t="s">
        <v>974</v>
      </c>
      <c r="C209" s="23" t="s">
        <v>71</v>
      </c>
      <c r="D209" s="23" t="s">
        <v>72</v>
      </c>
      <c r="E209" s="23"/>
      <c r="F209" s="23" t="s">
        <v>1187</v>
      </c>
      <c r="G209" s="23" t="s">
        <v>1047</v>
      </c>
      <c r="H209" s="23" t="s">
        <v>1048</v>
      </c>
      <c r="I209" s="23" t="s">
        <v>1125</v>
      </c>
      <c r="J209" s="23" t="s">
        <v>1050</v>
      </c>
      <c r="K209" s="23" t="s">
        <v>1051</v>
      </c>
      <c r="L209" s="23" t="s">
        <v>1052</v>
      </c>
      <c r="M209" s="23">
        <v>1</v>
      </c>
      <c r="N209" s="23" t="s">
        <v>1021</v>
      </c>
      <c r="O209" s="23" t="s">
        <v>1188</v>
      </c>
    </row>
    <row r="210" spans="1:15">
      <c r="A210" s="23" t="s">
        <v>1126</v>
      </c>
      <c r="B210" s="23" t="s">
        <v>974</v>
      </c>
      <c r="C210" s="23" t="s">
        <v>71</v>
      </c>
      <c r="D210" s="23" t="s">
        <v>72</v>
      </c>
      <c r="E210" s="23"/>
      <c r="F210" s="23" t="s">
        <v>1187</v>
      </c>
      <c r="G210" s="23" t="s">
        <v>1047</v>
      </c>
      <c r="H210" s="23" t="s">
        <v>1048</v>
      </c>
      <c r="I210" s="23" t="s">
        <v>1087</v>
      </c>
      <c r="J210" s="23" t="s">
        <v>1050</v>
      </c>
      <c r="K210" s="23" t="s">
        <v>1051</v>
      </c>
      <c r="L210" s="23" t="s">
        <v>1052</v>
      </c>
      <c r="M210" s="23">
        <v>1</v>
      </c>
      <c r="N210" s="23" t="s">
        <v>1021</v>
      </c>
      <c r="O210" s="23" t="s">
        <v>1188</v>
      </c>
    </row>
    <row r="211" spans="1:15">
      <c r="A211" s="23" t="s">
        <v>1195</v>
      </c>
      <c r="B211" s="23" t="s">
        <v>974</v>
      </c>
      <c r="C211" s="23" t="s">
        <v>95</v>
      </c>
      <c r="D211" s="23" t="s">
        <v>96</v>
      </c>
      <c r="E211" s="23"/>
      <c r="F211" s="23" t="s">
        <v>1187</v>
      </c>
      <c r="G211" s="23" t="s">
        <v>1047</v>
      </c>
      <c r="H211" s="23" t="s">
        <v>1048</v>
      </c>
      <c r="I211" s="23" t="s">
        <v>1190</v>
      </c>
      <c r="J211" s="23" t="s">
        <v>1050</v>
      </c>
      <c r="K211" s="23" t="s">
        <v>1051</v>
      </c>
      <c r="L211" s="23" t="s">
        <v>1052</v>
      </c>
      <c r="M211" s="23">
        <v>1</v>
      </c>
      <c r="N211" s="23" t="s">
        <v>1021</v>
      </c>
      <c r="O211" s="23" t="s">
        <v>1188</v>
      </c>
    </row>
    <row r="212" spans="1:15">
      <c r="A212" s="23" t="s">
        <v>1127</v>
      </c>
      <c r="B212" s="23" t="s">
        <v>974</v>
      </c>
      <c r="C212" s="23" t="s">
        <v>71</v>
      </c>
      <c r="D212" s="23" t="s">
        <v>72</v>
      </c>
      <c r="E212" s="23"/>
      <c r="F212" s="23" t="s">
        <v>1187</v>
      </c>
      <c r="G212" s="23" t="s">
        <v>1047</v>
      </c>
      <c r="H212" s="23" t="s">
        <v>1048</v>
      </c>
      <c r="I212" s="23" t="s">
        <v>1128</v>
      </c>
      <c r="J212" s="23" t="s">
        <v>1050</v>
      </c>
      <c r="K212" s="23" t="s">
        <v>1051</v>
      </c>
      <c r="L212" s="23" t="s">
        <v>1052</v>
      </c>
      <c r="M212" s="23">
        <v>1</v>
      </c>
      <c r="N212" s="23" t="s">
        <v>1021</v>
      </c>
      <c r="O212" s="23" t="s">
        <v>1188</v>
      </c>
    </row>
    <row r="213" spans="1:15">
      <c r="A213" s="23" t="s">
        <v>1062</v>
      </c>
      <c r="B213" s="23" t="s">
        <v>974</v>
      </c>
      <c r="C213" s="23" t="s">
        <v>102</v>
      </c>
      <c r="D213" s="23" t="s">
        <v>103</v>
      </c>
      <c r="E213" s="23"/>
      <c r="F213" s="23" t="s">
        <v>1187</v>
      </c>
      <c r="G213" s="23" t="s">
        <v>1047</v>
      </c>
      <c r="H213" s="23" t="s">
        <v>1048</v>
      </c>
      <c r="I213" s="23" t="s">
        <v>1063</v>
      </c>
      <c r="J213" s="23" t="s">
        <v>1050</v>
      </c>
      <c r="K213" s="23" t="s">
        <v>1051</v>
      </c>
      <c r="L213" s="23" t="s">
        <v>1052</v>
      </c>
      <c r="M213" s="23">
        <v>1</v>
      </c>
      <c r="N213" s="23" t="s">
        <v>1021</v>
      </c>
      <c r="O213" s="23" t="s">
        <v>1188</v>
      </c>
    </row>
    <row r="214" spans="1:15">
      <c r="A214" s="23" t="s">
        <v>1129</v>
      </c>
      <c r="B214" s="23" t="s">
        <v>974</v>
      </c>
      <c r="C214" s="23" t="s">
        <v>71</v>
      </c>
      <c r="D214" s="23" t="s">
        <v>72</v>
      </c>
      <c r="E214" s="23"/>
      <c r="F214" s="23" t="s">
        <v>1187</v>
      </c>
      <c r="G214" s="23" t="s">
        <v>1047</v>
      </c>
      <c r="H214" s="23" t="s">
        <v>1048</v>
      </c>
      <c r="I214" s="23" t="s">
        <v>1130</v>
      </c>
      <c r="J214" s="23" t="s">
        <v>1050</v>
      </c>
      <c r="K214" s="23" t="s">
        <v>1051</v>
      </c>
      <c r="L214" s="23" t="s">
        <v>1052</v>
      </c>
      <c r="M214" s="23">
        <v>1</v>
      </c>
      <c r="N214" s="23" t="s">
        <v>1021</v>
      </c>
      <c r="O214" s="23" t="s">
        <v>1188</v>
      </c>
    </row>
    <row r="215" spans="1:15">
      <c r="A215" s="23" t="s">
        <v>1131</v>
      </c>
      <c r="B215" s="23" t="s">
        <v>974</v>
      </c>
      <c r="C215" s="23" t="s">
        <v>71</v>
      </c>
      <c r="D215" s="23" t="s">
        <v>72</v>
      </c>
      <c r="E215" s="23"/>
      <c r="F215" s="23" t="s">
        <v>1187</v>
      </c>
      <c r="G215" s="23" t="s">
        <v>1047</v>
      </c>
      <c r="H215" s="23" t="s">
        <v>1048</v>
      </c>
      <c r="I215" s="23" t="s">
        <v>1132</v>
      </c>
      <c r="J215" s="23" t="s">
        <v>1050</v>
      </c>
      <c r="K215" s="23" t="s">
        <v>1051</v>
      </c>
      <c r="L215" s="23" t="s">
        <v>1052</v>
      </c>
      <c r="M215" s="23">
        <v>1</v>
      </c>
      <c r="N215" s="23" t="s">
        <v>1021</v>
      </c>
      <c r="O215" s="23" t="s">
        <v>1188</v>
      </c>
    </row>
    <row r="216" spans="1:15">
      <c r="A216" s="23" t="s">
        <v>1196</v>
      </c>
      <c r="B216" s="23" t="s">
        <v>974</v>
      </c>
      <c r="C216" s="23" t="s">
        <v>102</v>
      </c>
      <c r="D216" s="23" t="s">
        <v>103</v>
      </c>
      <c r="E216" s="23"/>
      <c r="F216" s="23" t="s">
        <v>1187</v>
      </c>
      <c r="G216" s="23" t="s">
        <v>1047</v>
      </c>
      <c r="H216" s="23" t="s">
        <v>1048</v>
      </c>
      <c r="I216" s="23" t="s">
        <v>1197</v>
      </c>
      <c r="J216" s="23" t="s">
        <v>1050</v>
      </c>
      <c r="K216" s="23" t="s">
        <v>1051</v>
      </c>
      <c r="L216" s="23" t="s">
        <v>1052</v>
      </c>
      <c r="M216" s="23">
        <v>1</v>
      </c>
      <c r="N216" s="23" t="s">
        <v>1021</v>
      </c>
      <c r="O216" s="23" t="s">
        <v>1188</v>
      </c>
    </row>
    <row r="217" spans="1:15">
      <c r="A217" s="23" t="s">
        <v>1133</v>
      </c>
      <c r="B217" s="23" t="s">
        <v>974</v>
      </c>
      <c r="C217" s="23" t="s">
        <v>71</v>
      </c>
      <c r="D217" s="23" t="s">
        <v>72</v>
      </c>
      <c r="E217" s="23"/>
      <c r="F217" s="23" t="s">
        <v>1187</v>
      </c>
      <c r="G217" s="23" t="s">
        <v>1047</v>
      </c>
      <c r="H217" s="23" t="s">
        <v>1048</v>
      </c>
      <c r="I217" s="23" t="s">
        <v>1091</v>
      </c>
      <c r="J217" s="23" t="s">
        <v>1050</v>
      </c>
      <c r="K217" s="23" t="s">
        <v>1051</v>
      </c>
      <c r="L217" s="23" t="s">
        <v>1052</v>
      </c>
      <c r="M217" s="23">
        <v>1</v>
      </c>
      <c r="N217" s="23" t="s">
        <v>1021</v>
      </c>
      <c r="O217" s="23" t="s">
        <v>1188</v>
      </c>
    </row>
    <row r="218" spans="1:15">
      <c r="A218" s="23" t="s">
        <v>1134</v>
      </c>
      <c r="B218" s="23" t="s">
        <v>974</v>
      </c>
      <c r="C218" s="23" t="s">
        <v>71</v>
      </c>
      <c r="D218" s="23" t="s">
        <v>72</v>
      </c>
      <c r="E218" s="23"/>
      <c r="F218" s="23" t="s">
        <v>1187</v>
      </c>
      <c r="G218" s="23" t="s">
        <v>1047</v>
      </c>
      <c r="H218" s="23" t="s">
        <v>1048</v>
      </c>
      <c r="I218" s="23" t="s">
        <v>1135</v>
      </c>
      <c r="J218" s="23" t="s">
        <v>1050</v>
      </c>
      <c r="K218" s="23" t="s">
        <v>1051</v>
      </c>
      <c r="L218" s="23" t="s">
        <v>1052</v>
      </c>
      <c r="M218" s="23">
        <v>1</v>
      </c>
      <c r="N218" s="23" t="s">
        <v>1021</v>
      </c>
      <c r="O218" s="23" t="s">
        <v>1188</v>
      </c>
    </row>
    <row r="219" spans="1:15">
      <c r="A219" s="23" t="s">
        <v>1136</v>
      </c>
      <c r="B219" s="23" t="s">
        <v>974</v>
      </c>
      <c r="C219" s="23" t="s">
        <v>71</v>
      </c>
      <c r="D219" s="23" t="s">
        <v>72</v>
      </c>
      <c r="E219" s="23"/>
      <c r="F219" s="23" t="s">
        <v>1187</v>
      </c>
      <c r="G219" s="23" t="s">
        <v>1047</v>
      </c>
      <c r="H219" s="23" t="s">
        <v>1048</v>
      </c>
      <c r="I219" s="23" t="s">
        <v>1137</v>
      </c>
      <c r="J219" s="23" t="s">
        <v>1050</v>
      </c>
      <c r="K219" s="23" t="s">
        <v>1051</v>
      </c>
      <c r="L219" s="23" t="s">
        <v>1052</v>
      </c>
      <c r="M219" s="23">
        <v>1</v>
      </c>
      <c r="N219" s="23" t="s">
        <v>1021</v>
      </c>
      <c r="O219" s="23" t="s">
        <v>1188</v>
      </c>
    </row>
    <row r="220" spans="1:15">
      <c r="A220" s="23" t="s">
        <v>1127</v>
      </c>
      <c r="B220" s="23" t="s">
        <v>974</v>
      </c>
      <c r="C220" s="23" t="s">
        <v>71</v>
      </c>
      <c r="D220" s="23" t="s">
        <v>72</v>
      </c>
      <c r="E220" s="23"/>
      <c r="F220" s="23" t="s">
        <v>1187</v>
      </c>
      <c r="G220" s="23" t="s">
        <v>1047</v>
      </c>
      <c r="H220" s="23" t="s">
        <v>1048</v>
      </c>
      <c r="I220" s="23" t="s">
        <v>1128</v>
      </c>
      <c r="J220" s="23" t="s">
        <v>1050</v>
      </c>
      <c r="K220" s="23" t="s">
        <v>1051</v>
      </c>
      <c r="L220" s="23" t="s">
        <v>1052</v>
      </c>
      <c r="M220" s="23">
        <v>1</v>
      </c>
      <c r="N220" s="23" t="s">
        <v>1021</v>
      </c>
      <c r="O220" s="23" t="s">
        <v>1188</v>
      </c>
    </row>
    <row r="221" spans="1:15">
      <c r="A221" s="23" t="s">
        <v>1062</v>
      </c>
      <c r="B221" s="23" t="s">
        <v>974</v>
      </c>
      <c r="C221" s="23" t="s">
        <v>102</v>
      </c>
      <c r="D221" s="23" t="s">
        <v>103</v>
      </c>
      <c r="E221" s="23"/>
      <c r="F221" s="23" t="s">
        <v>1187</v>
      </c>
      <c r="G221" s="23" t="s">
        <v>1047</v>
      </c>
      <c r="H221" s="23" t="s">
        <v>1048</v>
      </c>
      <c r="I221" s="23" t="s">
        <v>1063</v>
      </c>
      <c r="J221" s="23" t="s">
        <v>1050</v>
      </c>
      <c r="K221" s="23" t="s">
        <v>1051</v>
      </c>
      <c r="L221" s="23" t="s">
        <v>1052</v>
      </c>
      <c r="M221" s="23">
        <v>1</v>
      </c>
      <c r="N221" s="23" t="s">
        <v>1021</v>
      </c>
      <c r="O221" s="23" t="s">
        <v>1188</v>
      </c>
    </row>
    <row r="222" spans="1:15">
      <c r="A222" s="23" t="s">
        <v>1129</v>
      </c>
      <c r="B222" s="23" t="s">
        <v>974</v>
      </c>
      <c r="C222" s="23" t="s">
        <v>71</v>
      </c>
      <c r="D222" s="23" t="s">
        <v>72</v>
      </c>
      <c r="E222" s="23"/>
      <c r="F222" s="23" t="s">
        <v>1187</v>
      </c>
      <c r="G222" s="23" t="s">
        <v>1047</v>
      </c>
      <c r="H222" s="23" t="s">
        <v>1048</v>
      </c>
      <c r="I222" s="23" t="s">
        <v>1130</v>
      </c>
      <c r="J222" s="23" t="s">
        <v>1050</v>
      </c>
      <c r="K222" s="23" t="s">
        <v>1051</v>
      </c>
      <c r="L222" s="23" t="s">
        <v>1052</v>
      </c>
      <c r="M222" s="23">
        <v>1</v>
      </c>
      <c r="N222" s="23" t="s">
        <v>1021</v>
      </c>
      <c r="O222" s="23" t="s">
        <v>1188</v>
      </c>
    </row>
    <row r="223" spans="1:15">
      <c r="A223" s="23" t="s">
        <v>1131</v>
      </c>
      <c r="B223" s="23" t="s">
        <v>974</v>
      </c>
      <c r="C223" s="23" t="s">
        <v>71</v>
      </c>
      <c r="D223" s="23" t="s">
        <v>72</v>
      </c>
      <c r="E223" s="23"/>
      <c r="F223" s="23" t="s">
        <v>1187</v>
      </c>
      <c r="G223" s="23" t="s">
        <v>1047</v>
      </c>
      <c r="H223" s="23" t="s">
        <v>1048</v>
      </c>
      <c r="I223" s="23" t="s">
        <v>1132</v>
      </c>
      <c r="J223" s="23" t="s">
        <v>1050</v>
      </c>
      <c r="K223" s="23" t="s">
        <v>1051</v>
      </c>
      <c r="L223" s="23" t="s">
        <v>1052</v>
      </c>
      <c r="M223" s="23">
        <v>1</v>
      </c>
      <c r="N223" s="23" t="s">
        <v>1021</v>
      </c>
      <c r="O223" s="23" t="s">
        <v>1188</v>
      </c>
    </row>
    <row r="224" spans="1:15">
      <c r="A224" s="23" t="s">
        <v>1196</v>
      </c>
      <c r="B224" s="23" t="s">
        <v>974</v>
      </c>
      <c r="C224" s="23" t="s">
        <v>102</v>
      </c>
      <c r="D224" s="23" t="s">
        <v>103</v>
      </c>
      <c r="E224" s="23"/>
      <c r="F224" s="23" t="s">
        <v>1187</v>
      </c>
      <c r="G224" s="23" t="s">
        <v>1047</v>
      </c>
      <c r="H224" s="23" t="s">
        <v>1048</v>
      </c>
      <c r="I224" s="23" t="s">
        <v>1197</v>
      </c>
      <c r="J224" s="23" t="s">
        <v>1050</v>
      </c>
      <c r="K224" s="23" t="s">
        <v>1051</v>
      </c>
      <c r="L224" s="23" t="s">
        <v>1052</v>
      </c>
      <c r="M224" s="23">
        <v>1</v>
      </c>
      <c r="N224" s="23" t="s">
        <v>1021</v>
      </c>
      <c r="O224" s="23" t="s">
        <v>1188</v>
      </c>
    </row>
    <row r="225" spans="1:15">
      <c r="A225" s="23" t="s">
        <v>1133</v>
      </c>
      <c r="B225" s="23" t="s">
        <v>974</v>
      </c>
      <c r="C225" s="23" t="s">
        <v>71</v>
      </c>
      <c r="D225" s="23" t="s">
        <v>72</v>
      </c>
      <c r="E225" s="23"/>
      <c r="F225" s="23" t="s">
        <v>1187</v>
      </c>
      <c r="G225" s="23" t="s">
        <v>1047</v>
      </c>
      <c r="H225" s="23" t="s">
        <v>1048</v>
      </c>
      <c r="I225" s="23" t="s">
        <v>1091</v>
      </c>
      <c r="J225" s="23" t="s">
        <v>1050</v>
      </c>
      <c r="K225" s="23" t="s">
        <v>1051</v>
      </c>
      <c r="L225" s="23" t="s">
        <v>1052</v>
      </c>
      <c r="M225" s="23">
        <v>1</v>
      </c>
      <c r="N225" s="23" t="s">
        <v>1021</v>
      </c>
      <c r="O225" s="23" t="s">
        <v>1188</v>
      </c>
    </row>
    <row r="226" spans="1:15">
      <c r="A226" s="23" t="s">
        <v>1134</v>
      </c>
      <c r="B226" s="23" t="s">
        <v>974</v>
      </c>
      <c r="C226" s="23" t="s">
        <v>71</v>
      </c>
      <c r="D226" s="23" t="s">
        <v>72</v>
      </c>
      <c r="E226" s="23"/>
      <c r="F226" s="23" t="s">
        <v>1187</v>
      </c>
      <c r="G226" s="23" t="s">
        <v>1047</v>
      </c>
      <c r="H226" s="23" t="s">
        <v>1048</v>
      </c>
      <c r="I226" s="23" t="s">
        <v>1135</v>
      </c>
      <c r="J226" s="23" t="s">
        <v>1050</v>
      </c>
      <c r="K226" s="23" t="s">
        <v>1051</v>
      </c>
      <c r="L226" s="23" t="s">
        <v>1052</v>
      </c>
      <c r="M226" s="23">
        <v>1</v>
      </c>
      <c r="N226" s="23" t="s">
        <v>1021</v>
      </c>
      <c r="O226" s="23" t="s">
        <v>1188</v>
      </c>
    </row>
    <row r="227" spans="1:15">
      <c r="A227" s="23" t="s">
        <v>1136</v>
      </c>
      <c r="B227" s="23" t="s">
        <v>974</v>
      </c>
      <c r="C227" s="23" t="s">
        <v>71</v>
      </c>
      <c r="D227" s="23" t="s">
        <v>72</v>
      </c>
      <c r="E227" s="23"/>
      <c r="F227" s="23" t="s">
        <v>1187</v>
      </c>
      <c r="G227" s="23" t="s">
        <v>1047</v>
      </c>
      <c r="H227" s="23" t="s">
        <v>1048</v>
      </c>
      <c r="I227" s="23" t="s">
        <v>1137</v>
      </c>
      <c r="J227" s="23" t="s">
        <v>1050</v>
      </c>
      <c r="K227" s="23" t="s">
        <v>1051</v>
      </c>
      <c r="L227" s="23" t="s">
        <v>1052</v>
      </c>
      <c r="M227" s="23">
        <v>1</v>
      </c>
      <c r="N227" s="23" t="s">
        <v>1021</v>
      </c>
      <c r="O227" s="23" t="s">
        <v>1188</v>
      </c>
    </row>
    <row r="228" spans="1:15">
      <c r="A228" s="23" t="s">
        <v>1138</v>
      </c>
      <c r="B228" s="23" t="s">
        <v>974</v>
      </c>
      <c r="C228" s="23" t="s">
        <v>71</v>
      </c>
      <c r="D228" s="23" t="s">
        <v>72</v>
      </c>
      <c r="E228" s="23"/>
      <c r="F228" s="23" t="s">
        <v>1187</v>
      </c>
      <c r="G228" s="23" t="s">
        <v>1047</v>
      </c>
      <c r="H228" s="23" t="s">
        <v>1048</v>
      </c>
      <c r="I228" s="23" t="s">
        <v>1091</v>
      </c>
      <c r="J228" s="23" t="s">
        <v>1050</v>
      </c>
      <c r="K228" s="23" t="s">
        <v>1051</v>
      </c>
      <c r="L228" s="23" t="s">
        <v>1052</v>
      </c>
      <c r="M228" s="23">
        <v>1</v>
      </c>
      <c r="N228" s="23" t="s">
        <v>1021</v>
      </c>
      <c r="O228" s="23" t="s">
        <v>1188</v>
      </c>
    </row>
    <row r="229" spans="1:15">
      <c r="A229" s="23" t="s">
        <v>1139</v>
      </c>
      <c r="B229" s="23" t="s">
        <v>974</v>
      </c>
      <c r="C229" s="23" t="s">
        <v>71</v>
      </c>
      <c r="D229" s="23" t="s">
        <v>72</v>
      </c>
      <c r="E229" s="23"/>
      <c r="F229" s="23" t="s">
        <v>1187</v>
      </c>
      <c r="G229" s="23" t="s">
        <v>1047</v>
      </c>
      <c r="H229" s="23" t="s">
        <v>1048</v>
      </c>
      <c r="I229" s="23" t="s">
        <v>1093</v>
      </c>
      <c r="J229" s="23" t="s">
        <v>1050</v>
      </c>
      <c r="K229" s="23" t="s">
        <v>1051</v>
      </c>
      <c r="L229" s="23" t="s">
        <v>1052</v>
      </c>
      <c r="M229" s="23">
        <v>1</v>
      </c>
      <c r="N229" s="23" t="s">
        <v>1021</v>
      </c>
      <c r="O229" s="23" t="s">
        <v>1188</v>
      </c>
    </row>
    <row r="230" spans="1:15">
      <c r="A230" s="23" t="s">
        <v>1138</v>
      </c>
      <c r="B230" s="23" t="s">
        <v>974</v>
      </c>
      <c r="C230" s="23" t="s">
        <v>71</v>
      </c>
      <c r="D230" s="23" t="s">
        <v>72</v>
      </c>
      <c r="E230" s="23"/>
      <c r="F230" s="23" t="s">
        <v>1187</v>
      </c>
      <c r="G230" s="23" t="s">
        <v>1047</v>
      </c>
      <c r="H230" s="23" t="s">
        <v>1048</v>
      </c>
      <c r="I230" s="23" t="s">
        <v>1091</v>
      </c>
      <c r="J230" s="23" t="s">
        <v>1050</v>
      </c>
      <c r="K230" s="23" t="s">
        <v>1051</v>
      </c>
      <c r="L230" s="23" t="s">
        <v>1052</v>
      </c>
      <c r="M230" s="23">
        <v>1</v>
      </c>
      <c r="N230" s="23" t="s">
        <v>1021</v>
      </c>
      <c r="O230" s="23" t="s">
        <v>1188</v>
      </c>
    </row>
    <row r="231" spans="1:15">
      <c r="A231" s="23" t="s">
        <v>1139</v>
      </c>
      <c r="B231" s="23" t="s">
        <v>974</v>
      </c>
      <c r="C231" s="23" t="s">
        <v>71</v>
      </c>
      <c r="D231" s="23" t="s">
        <v>72</v>
      </c>
      <c r="E231" s="23"/>
      <c r="F231" s="23" t="s">
        <v>1187</v>
      </c>
      <c r="G231" s="23" t="s">
        <v>1047</v>
      </c>
      <c r="H231" s="23" t="s">
        <v>1048</v>
      </c>
      <c r="I231" s="23" t="s">
        <v>1093</v>
      </c>
      <c r="J231" s="23" t="s">
        <v>1050</v>
      </c>
      <c r="K231" s="23" t="s">
        <v>1051</v>
      </c>
      <c r="L231" s="23" t="s">
        <v>1052</v>
      </c>
      <c r="M231" s="23">
        <v>1</v>
      </c>
      <c r="N231" s="23" t="s">
        <v>1021</v>
      </c>
      <c r="O231" s="23" t="s">
        <v>1188</v>
      </c>
    </row>
    <row r="232" spans="1:15">
      <c r="A232" s="23" t="s">
        <v>1140</v>
      </c>
      <c r="B232" s="23" t="s">
        <v>974</v>
      </c>
      <c r="C232" s="23" t="s">
        <v>71</v>
      </c>
      <c r="D232" s="23" t="s">
        <v>72</v>
      </c>
      <c r="E232" s="23"/>
      <c r="F232" s="23" t="s">
        <v>1187</v>
      </c>
      <c r="G232" s="23" t="s">
        <v>1047</v>
      </c>
      <c r="H232" s="23" t="s">
        <v>1048</v>
      </c>
      <c r="I232" s="23" t="s">
        <v>1141</v>
      </c>
      <c r="J232" s="23" t="s">
        <v>1050</v>
      </c>
      <c r="K232" s="23" t="s">
        <v>1051</v>
      </c>
      <c r="L232" s="23" t="s">
        <v>1052</v>
      </c>
      <c r="M232" s="23">
        <v>1</v>
      </c>
      <c r="N232" s="23" t="s">
        <v>1021</v>
      </c>
      <c r="O232" s="23" t="s">
        <v>1188</v>
      </c>
    </row>
    <row r="233" spans="1:15">
      <c r="A233" s="23" t="s">
        <v>1071</v>
      </c>
      <c r="B233" s="23" t="s">
        <v>974</v>
      </c>
      <c r="C233" s="23" t="s">
        <v>115</v>
      </c>
      <c r="D233" s="23" t="s">
        <v>1198</v>
      </c>
      <c r="E233" s="23"/>
      <c r="F233" s="23" t="s">
        <v>1187</v>
      </c>
      <c r="G233" s="23" t="s">
        <v>1047</v>
      </c>
      <c r="H233" s="23" t="s">
        <v>1048</v>
      </c>
      <c r="I233" s="23" t="s">
        <v>1072</v>
      </c>
      <c r="J233" s="23" t="s">
        <v>1050</v>
      </c>
      <c r="K233" s="23" t="s">
        <v>1051</v>
      </c>
      <c r="L233" s="23" t="s">
        <v>1052</v>
      </c>
      <c r="M233" s="23">
        <v>1</v>
      </c>
      <c r="N233" s="23" t="s">
        <v>1021</v>
      </c>
      <c r="O233" s="23" t="s">
        <v>1188</v>
      </c>
    </row>
    <row r="234" spans="1:15">
      <c r="A234" s="23" t="s">
        <v>1142</v>
      </c>
      <c r="B234" s="23" t="s">
        <v>974</v>
      </c>
      <c r="C234" s="23" t="s">
        <v>71</v>
      </c>
      <c r="D234" s="23" t="s">
        <v>72</v>
      </c>
      <c r="E234" s="23"/>
      <c r="F234" s="23" t="s">
        <v>1187</v>
      </c>
      <c r="G234" s="23" t="s">
        <v>1047</v>
      </c>
      <c r="H234" s="23" t="s">
        <v>1048</v>
      </c>
      <c r="I234" s="23" t="s">
        <v>1093</v>
      </c>
      <c r="J234" s="23" t="s">
        <v>1050</v>
      </c>
      <c r="K234" s="23" t="s">
        <v>1051</v>
      </c>
      <c r="L234" s="23" t="s">
        <v>1052</v>
      </c>
      <c r="M234" s="23">
        <v>1</v>
      </c>
      <c r="N234" s="23" t="s">
        <v>1021</v>
      </c>
      <c r="O234" s="23" t="s">
        <v>1188</v>
      </c>
    </row>
    <row r="235" spans="1:15">
      <c r="A235" s="23" t="s">
        <v>1143</v>
      </c>
      <c r="B235" s="23" t="s">
        <v>974</v>
      </c>
      <c r="C235" s="23" t="s">
        <v>71</v>
      </c>
      <c r="D235" s="23" t="s">
        <v>72</v>
      </c>
      <c r="E235" s="23"/>
      <c r="F235" s="23" t="s">
        <v>1187</v>
      </c>
      <c r="G235" s="23" t="s">
        <v>1047</v>
      </c>
      <c r="H235" s="23" t="s">
        <v>1048</v>
      </c>
      <c r="I235" s="23" t="s">
        <v>1095</v>
      </c>
      <c r="J235" s="23" t="s">
        <v>1050</v>
      </c>
      <c r="K235" s="23" t="s">
        <v>1051</v>
      </c>
      <c r="L235" s="23" t="s">
        <v>1052</v>
      </c>
      <c r="M235" s="23">
        <v>1</v>
      </c>
      <c r="N235" s="23" t="s">
        <v>1021</v>
      </c>
      <c r="O235" s="23" t="s">
        <v>1188</v>
      </c>
    </row>
    <row r="236" spans="1:15">
      <c r="A236" s="23" t="s">
        <v>1140</v>
      </c>
      <c r="B236" s="23" t="s">
        <v>974</v>
      </c>
      <c r="C236" s="23" t="s">
        <v>71</v>
      </c>
      <c r="D236" s="23" t="s">
        <v>72</v>
      </c>
      <c r="E236" s="23"/>
      <c r="F236" s="23" t="s">
        <v>1187</v>
      </c>
      <c r="G236" s="23" t="s">
        <v>1047</v>
      </c>
      <c r="H236" s="23" t="s">
        <v>1048</v>
      </c>
      <c r="I236" s="23" t="s">
        <v>1141</v>
      </c>
      <c r="J236" s="23" t="s">
        <v>1050</v>
      </c>
      <c r="K236" s="23" t="s">
        <v>1051</v>
      </c>
      <c r="L236" s="23" t="s">
        <v>1052</v>
      </c>
      <c r="M236" s="23">
        <v>1</v>
      </c>
      <c r="N236" s="23" t="s">
        <v>1021</v>
      </c>
      <c r="O236" s="23" t="s">
        <v>1188</v>
      </c>
    </row>
    <row r="237" spans="1:15">
      <c r="A237" s="23" t="s">
        <v>1071</v>
      </c>
      <c r="B237" s="23" t="s">
        <v>974</v>
      </c>
      <c r="C237" s="23" t="s">
        <v>115</v>
      </c>
      <c r="D237" s="23" t="s">
        <v>1198</v>
      </c>
      <c r="E237" s="23"/>
      <c r="F237" s="23" t="s">
        <v>1187</v>
      </c>
      <c r="G237" s="23" t="s">
        <v>1047</v>
      </c>
      <c r="H237" s="23" t="s">
        <v>1048</v>
      </c>
      <c r="I237" s="23" t="s">
        <v>1072</v>
      </c>
      <c r="J237" s="23" t="s">
        <v>1050</v>
      </c>
      <c r="K237" s="23" t="s">
        <v>1051</v>
      </c>
      <c r="L237" s="23" t="s">
        <v>1052</v>
      </c>
      <c r="M237" s="23">
        <v>1</v>
      </c>
      <c r="N237" s="23" t="s">
        <v>1021</v>
      </c>
      <c r="O237" s="23" t="s">
        <v>1188</v>
      </c>
    </row>
    <row r="238" spans="1:15">
      <c r="A238" s="23" t="s">
        <v>1142</v>
      </c>
      <c r="B238" s="23" t="s">
        <v>974</v>
      </c>
      <c r="C238" s="23" t="s">
        <v>71</v>
      </c>
      <c r="D238" s="23" t="s">
        <v>72</v>
      </c>
      <c r="E238" s="23"/>
      <c r="F238" s="23" t="s">
        <v>1187</v>
      </c>
      <c r="G238" s="23" t="s">
        <v>1047</v>
      </c>
      <c r="H238" s="23" t="s">
        <v>1048</v>
      </c>
      <c r="I238" s="23" t="s">
        <v>1093</v>
      </c>
      <c r="J238" s="23" t="s">
        <v>1050</v>
      </c>
      <c r="K238" s="23" t="s">
        <v>1051</v>
      </c>
      <c r="L238" s="23" t="s">
        <v>1052</v>
      </c>
      <c r="M238" s="23">
        <v>1</v>
      </c>
      <c r="N238" s="23" t="s">
        <v>1021</v>
      </c>
      <c r="O238" s="23" t="s">
        <v>1188</v>
      </c>
    </row>
    <row r="239" spans="1:15">
      <c r="A239" s="23" t="s">
        <v>1143</v>
      </c>
      <c r="B239" s="23" t="s">
        <v>974</v>
      </c>
      <c r="C239" s="23" t="s">
        <v>71</v>
      </c>
      <c r="D239" s="23" t="s">
        <v>72</v>
      </c>
      <c r="E239" s="23"/>
      <c r="F239" s="23" t="s">
        <v>1187</v>
      </c>
      <c r="G239" s="23" t="s">
        <v>1047</v>
      </c>
      <c r="H239" s="23" t="s">
        <v>1048</v>
      </c>
      <c r="I239" s="23" t="s">
        <v>1095</v>
      </c>
      <c r="J239" s="23" t="s">
        <v>1050</v>
      </c>
      <c r="K239" s="23" t="s">
        <v>1051</v>
      </c>
      <c r="L239" s="23" t="s">
        <v>1052</v>
      </c>
      <c r="M239" s="23">
        <v>1</v>
      </c>
      <c r="N239" s="23" t="s">
        <v>1021</v>
      </c>
      <c r="O239" s="23" t="s">
        <v>1188</v>
      </c>
    </row>
    <row r="240" spans="1:15">
      <c r="A240" s="23" t="s">
        <v>1144</v>
      </c>
      <c r="B240" s="23" t="s">
        <v>974</v>
      </c>
      <c r="C240" s="23" t="s">
        <v>71</v>
      </c>
      <c r="D240" s="23" t="s">
        <v>72</v>
      </c>
      <c r="E240" s="23"/>
      <c r="F240" s="23" t="s">
        <v>1187</v>
      </c>
      <c r="G240" s="23" t="s">
        <v>1047</v>
      </c>
      <c r="H240" s="23" t="s">
        <v>1048</v>
      </c>
      <c r="I240" s="23" t="s">
        <v>1145</v>
      </c>
      <c r="J240" s="23" t="s">
        <v>1050</v>
      </c>
      <c r="K240" s="23" t="s">
        <v>1051</v>
      </c>
      <c r="L240" s="23" t="s">
        <v>1052</v>
      </c>
      <c r="M240" s="23">
        <v>1</v>
      </c>
      <c r="N240" s="23" t="s">
        <v>1021</v>
      </c>
      <c r="O240" s="23" t="s">
        <v>1188</v>
      </c>
    </row>
    <row r="241" spans="1:15">
      <c r="A241" s="23" t="s">
        <v>1144</v>
      </c>
      <c r="B241" s="23" t="s">
        <v>974</v>
      </c>
      <c r="C241" s="23" t="s">
        <v>71</v>
      </c>
      <c r="D241" s="23" t="s">
        <v>72</v>
      </c>
      <c r="E241" s="23"/>
      <c r="F241" s="23" t="s">
        <v>1187</v>
      </c>
      <c r="G241" s="23" t="s">
        <v>1047</v>
      </c>
      <c r="H241" s="23" t="s">
        <v>1048</v>
      </c>
      <c r="I241" s="23" t="s">
        <v>1145</v>
      </c>
      <c r="J241" s="23" t="s">
        <v>1050</v>
      </c>
      <c r="K241" s="23" t="s">
        <v>1051</v>
      </c>
      <c r="L241" s="23" t="s">
        <v>1052</v>
      </c>
      <c r="M241" s="23">
        <v>1</v>
      </c>
      <c r="N241" s="23" t="s">
        <v>1021</v>
      </c>
      <c r="O241" s="23" t="s">
        <v>1188</v>
      </c>
    </row>
    <row r="242" spans="1:15">
      <c r="A242" s="23" t="s">
        <v>1146</v>
      </c>
      <c r="B242" s="23" t="s">
        <v>974</v>
      </c>
      <c r="C242" s="23" t="s">
        <v>71</v>
      </c>
      <c r="D242" s="23" t="s">
        <v>72</v>
      </c>
      <c r="E242" s="23"/>
      <c r="F242" s="23" t="s">
        <v>1187</v>
      </c>
      <c r="G242" s="23" t="s">
        <v>1047</v>
      </c>
      <c r="H242" s="23" t="s">
        <v>1048</v>
      </c>
      <c r="I242" s="23" t="s">
        <v>1095</v>
      </c>
      <c r="J242" s="23" t="s">
        <v>1050</v>
      </c>
      <c r="K242" s="23" t="s">
        <v>1051</v>
      </c>
      <c r="L242" s="23" t="s">
        <v>1052</v>
      </c>
      <c r="M242" s="23">
        <v>1</v>
      </c>
      <c r="N242" s="23" t="s">
        <v>1021</v>
      </c>
      <c r="O242" s="23" t="s">
        <v>1188</v>
      </c>
    </row>
    <row r="243" spans="1:15">
      <c r="A243" s="23" t="s">
        <v>1146</v>
      </c>
      <c r="B243" s="23" t="s">
        <v>974</v>
      </c>
      <c r="C243" s="23" t="s">
        <v>71</v>
      </c>
      <c r="D243" s="23" t="s">
        <v>72</v>
      </c>
      <c r="E243" s="23"/>
      <c r="F243" s="23" t="s">
        <v>1187</v>
      </c>
      <c r="G243" s="23" t="s">
        <v>1047</v>
      </c>
      <c r="H243" s="23" t="s">
        <v>1048</v>
      </c>
      <c r="I243" s="23" t="s">
        <v>1095</v>
      </c>
      <c r="J243" s="23" t="s">
        <v>1050</v>
      </c>
      <c r="K243" s="23" t="s">
        <v>1051</v>
      </c>
      <c r="L243" s="23" t="s">
        <v>1052</v>
      </c>
      <c r="M243" s="23">
        <v>1</v>
      </c>
      <c r="N243" s="23" t="s">
        <v>1021</v>
      </c>
      <c r="O243" s="23" t="s">
        <v>1188</v>
      </c>
    </row>
    <row r="244" spans="1:15">
      <c r="A244" s="23" t="s">
        <v>1147</v>
      </c>
      <c r="B244" s="23" t="s">
        <v>974</v>
      </c>
      <c r="C244" s="23" t="s">
        <v>71</v>
      </c>
      <c r="D244" s="23" t="s">
        <v>72</v>
      </c>
      <c r="E244" s="23"/>
      <c r="F244" s="23" t="s">
        <v>1187</v>
      </c>
      <c r="G244" s="23" t="s">
        <v>1047</v>
      </c>
      <c r="H244" s="23" t="s">
        <v>1048</v>
      </c>
      <c r="I244" s="23" t="s">
        <v>1091</v>
      </c>
      <c r="J244" s="23" t="s">
        <v>1050</v>
      </c>
      <c r="K244" s="23" t="s">
        <v>1051</v>
      </c>
      <c r="L244" s="23" t="s">
        <v>1052</v>
      </c>
      <c r="M244" s="23">
        <v>1</v>
      </c>
      <c r="N244" s="23" t="s">
        <v>1021</v>
      </c>
      <c r="O244" s="23" t="s">
        <v>1188</v>
      </c>
    </row>
    <row r="245" spans="1:15">
      <c r="A245" s="23" t="s">
        <v>1148</v>
      </c>
      <c r="B245" s="23" t="s">
        <v>974</v>
      </c>
      <c r="C245" s="23" t="s">
        <v>71</v>
      </c>
      <c r="D245" s="23" t="s">
        <v>72</v>
      </c>
      <c r="E245" s="23"/>
      <c r="F245" s="23" t="s">
        <v>1187</v>
      </c>
      <c r="G245" s="23" t="s">
        <v>1047</v>
      </c>
      <c r="H245" s="23" t="s">
        <v>1048</v>
      </c>
      <c r="I245" s="23" t="s">
        <v>1093</v>
      </c>
      <c r="J245" s="23" t="s">
        <v>1050</v>
      </c>
      <c r="K245" s="23" t="s">
        <v>1051</v>
      </c>
      <c r="L245" s="23" t="s">
        <v>1052</v>
      </c>
      <c r="M245" s="23">
        <v>1</v>
      </c>
      <c r="N245" s="23" t="s">
        <v>1021</v>
      </c>
      <c r="O245" s="23" t="s">
        <v>1188</v>
      </c>
    </row>
    <row r="246" spans="1:15">
      <c r="A246" s="23" t="s">
        <v>1147</v>
      </c>
      <c r="B246" s="23" t="s">
        <v>974</v>
      </c>
      <c r="C246" s="23" t="s">
        <v>71</v>
      </c>
      <c r="D246" s="23" t="s">
        <v>72</v>
      </c>
      <c r="E246" s="23"/>
      <c r="F246" s="23" t="s">
        <v>1187</v>
      </c>
      <c r="G246" s="23" t="s">
        <v>1047</v>
      </c>
      <c r="H246" s="23" t="s">
        <v>1048</v>
      </c>
      <c r="I246" s="23" t="s">
        <v>1091</v>
      </c>
      <c r="J246" s="23" t="s">
        <v>1050</v>
      </c>
      <c r="K246" s="23" t="s">
        <v>1051</v>
      </c>
      <c r="L246" s="23" t="s">
        <v>1052</v>
      </c>
      <c r="M246" s="23">
        <v>1</v>
      </c>
      <c r="N246" s="23" t="s">
        <v>1021</v>
      </c>
      <c r="O246" s="23" t="s">
        <v>1188</v>
      </c>
    </row>
    <row r="247" spans="1:15">
      <c r="A247" s="23" t="s">
        <v>1148</v>
      </c>
      <c r="B247" s="23" t="s">
        <v>974</v>
      </c>
      <c r="C247" s="23" t="s">
        <v>71</v>
      </c>
      <c r="D247" s="23" t="s">
        <v>72</v>
      </c>
      <c r="E247" s="23"/>
      <c r="F247" s="23" t="s">
        <v>1187</v>
      </c>
      <c r="G247" s="23" t="s">
        <v>1047</v>
      </c>
      <c r="H247" s="23" t="s">
        <v>1048</v>
      </c>
      <c r="I247" s="23" t="s">
        <v>1093</v>
      </c>
      <c r="J247" s="23" t="s">
        <v>1050</v>
      </c>
      <c r="K247" s="23" t="s">
        <v>1051</v>
      </c>
      <c r="L247" s="23" t="s">
        <v>1052</v>
      </c>
      <c r="M247" s="23">
        <v>1</v>
      </c>
      <c r="N247" s="23" t="s">
        <v>1021</v>
      </c>
      <c r="O247" s="23" t="s">
        <v>1188</v>
      </c>
    </row>
    <row r="248" spans="1:15">
      <c r="A248" s="23" t="s">
        <v>1149</v>
      </c>
      <c r="B248" s="23" t="s">
        <v>974</v>
      </c>
      <c r="C248" s="23" t="s">
        <v>71</v>
      </c>
      <c r="D248" s="23" t="s">
        <v>72</v>
      </c>
      <c r="E248" s="23"/>
      <c r="F248" s="23" t="s">
        <v>1187</v>
      </c>
      <c r="G248" s="23" t="s">
        <v>1047</v>
      </c>
      <c r="H248" s="23" t="s">
        <v>1048</v>
      </c>
      <c r="I248" s="23" t="s">
        <v>1095</v>
      </c>
      <c r="J248" s="23" t="s">
        <v>1050</v>
      </c>
      <c r="K248" s="23" t="s">
        <v>1051</v>
      </c>
      <c r="L248" s="23" t="s">
        <v>1052</v>
      </c>
      <c r="M248" s="23">
        <v>1</v>
      </c>
      <c r="N248" s="23" t="s">
        <v>1021</v>
      </c>
      <c r="O248" s="23" t="s">
        <v>1188</v>
      </c>
    </row>
    <row r="249" spans="1:15">
      <c r="A249" s="23" t="s">
        <v>1149</v>
      </c>
      <c r="B249" s="23" t="s">
        <v>974</v>
      </c>
      <c r="C249" s="23" t="s">
        <v>71</v>
      </c>
      <c r="D249" s="23" t="s">
        <v>72</v>
      </c>
      <c r="E249" s="23"/>
      <c r="F249" s="23" t="s">
        <v>1187</v>
      </c>
      <c r="G249" s="23" t="s">
        <v>1047</v>
      </c>
      <c r="H249" s="23" t="s">
        <v>1048</v>
      </c>
      <c r="I249" s="23" t="s">
        <v>1095</v>
      </c>
      <c r="J249" s="23" t="s">
        <v>1050</v>
      </c>
      <c r="K249" s="23" t="s">
        <v>1051</v>
      </c>
      <c r="L249" s="23" t="s">
        <v>1052</v>
      </c>
      <c r="M249" s="23">
        <v>1</v>
      </c>
      <c r="N249" s="23" t="s">
        <v>1021</v>
      </c>
      <c r="O249" s="23" t="s">
        <v>1188</v>
      </c>
    </row>
    <row r="250" spans="1:15">
      <c r="A250" s="23" t="s">
        <v>1199</v>
      </c>
      <c r="B250" s="23" t="s">
        <v>974</v>
      </c>
      <c r="C250" s="23" t="s">
        <v>86</v>
      </c>
      <c r="D250" s="23" t="s">
        <v>1200</v>
      </c>
      <c r="E250" s="23"/>
      <c r="F250" s="23" t="s">
        <v>1201</v>
      </c>
      <c r="G250" s="23"/>
      <c r="H250" s="23" t="s">
        <v>1048</v>
      </c>
      <c r="I250" s="23" t="s">
        <v>1202</v>
      </c>
      <c r="J250" s="23" t="s">
        <v>1050</v>
      </c>
      <c r="K250" s="23" t="s">
        <v>1051</v>
      </c>
      <c r="L250" s="23" t="s">
        <v>1052</v>
      </c>
      <c r="M250" s="23">
        <v>13</v>
      </c>
      <c r="N250" s="23" t="s">
        <v>1203</v>
      </c>
      <c r="O250" s="23" t="s">
        <v>1204</v>
      </c>
    </row>
    <row r="251" spans="1:15">
      <c r="A251" s="23" t="s">
        <v>1199</v>
      </c>
      <c r="B251" s="23" t="s">
        <v>974</v>
      </c>
      <c r="C251" s="23" t="s">
        <v>86</v>
      </c>
      <c r="D251" s="23" t="s">
        <v>1200</v>
      </c>
      <c r="E251" s="23"/>
      <c r="F251" s="23" t="s">
        <v>1201</v>
      </c>
      <c r="G251" s="23"/>
      <c r="H251" s="23" t="s">
        <v>1048</v>
      </c>
      <c r="I251" s="23" t="s">
        <v>1205</v>
      </c>
      <c r="J251" s="23" t="s">
        <v>1050</v>
      </c>
      <c r="K251" s="23" t="s">
        <v>1051</v>
      </c>
      <c r="L251" s="23" t="s">
        <v>1052</v>
      </c>
      <c r="M251" s="23">
        <v>12</v>
      </c>
      <c r="N251" s="23" t="s">
        <v>1203</v>
      </c>
      <c r="O251" s="23" t="s">
        <v>1204</v>
      </c>
    </row>
    <row r="252" spans="1:15">
      <c r="A252" s="23" t="s">
        <v>1199</v>
      </c>
      <c r="B252" s="23" t="s">
        <v>974</v>
      </c>
      <c r="C252" s="23" t="s">
        <v>86</v>
      </c>
      <c r="D252" s="23" t="s">
        <v>1200</v>
      </c>
      <c r="E252" s="23"/>
      <c r="F252" s="23" t="s">
        <v>1201</v>
      </c>
      <c r="G252" s="23"/>
      <c r="H252" s="23" t="s">
        <v>1048</v>
      </c>
      <c r="I252" s="23" t="s">
        <v>1202</v>
      </c>
      <c r="J252" s="23" t="s">
        <v>1050</v>
      </c>
      <c r="K252" s="23" t="s">
        <v>1051</v>
      </c>
      <c r="L252" s="23" t="s">
        <v>1052</v>
      </c>
      <c r="M252" s="23">
        <v>13</v>
      </c>
      <c r="N252" s="23" t="s">
        <v>1203</v>
      </c>
      <c r="O252" s="23" t="s">
        <v>1204</v>
      </c>
    </row>
    <row r="253" spans="1:15">
      <c r="A253" s="23" t="s">
        <v>1199</v>
      </c>
      <c r="B253" s="23" t="s">
        <v>974</v>
      </c>
      <c r="C253" s="23" t="s">
        <v>86</v>
      </c>
      <c r="D253" s="23" t="s">
        <v>1200</v>
      </c>
      <c r="E253" s="23"/>
      <c r="F253" s="23" t="s">
        <v>1201</v>
      </c>
      <c r="G253" s="23"/>
      <c r="H253" s="23" t="s">
        <v>1048</v>
      </c>
      <c r="I253" s="23" t="s">
        <v>1205</v>
      </c>
      <c r="J253" s="23" t="s">
        <v>1050</v>
      </c>
      <c r="K253" s="23" t="s">
        <v>1051</v>
      </c>
      <c r="L253" s="23" t="s">
        <v>1052</v>
      </c>
      <c r="M253" s="23">
        <v>12</v>
      </c>
      <c r="N253" s="23" t="s">
        <v>1203</v>
      </c>
      <c r="O253" s="23" t="s">
        <v>1204</v>
      </c>
    </row>
    <row r="254" spans="1:15">
      <c r="A254" s="23" t="s">
        <v>1199</v>
      </c>
      <c r="B254" s="23" t="s">
        <v>974</v>
      </c>
      <c r="C254" s="23" t="s">
        <v>86</v>
      </c>
      <c r="D254" s="23" t="s">
        <v>1200</v>
      </c>
      <c r="E254" s="23"/>
      <c r="F254" s="23" t="s">
        <v>1201</v>
      </c>
      <c r="G254" s="23"/>
      <c r="H254" s="23" t="s">
        <v>1048</v>
      </c>
      <c r="I254" s="23" t="s">
        <v>1205</v>
      </c>
      <c r="J254" s="23" t="s">
        <v>1050</v>
      </c>
      <c r="K254" s="23" t="s">
        <v>1051</v>
      </c>
      <c r="L254" s="23" t="s">
        <v>1052</v>
      </c>
      <c r="M254" s="23">
        <v>12</v>
      </c>
      <c r="N254" s="23" t="s">
        <v>1203</v>
      </c>
      <c r="O254" s="23" t="s">
        <v>1204</v>
      </c>
    </row>
    <row r="255" spans="1:15">
      <c r="A255" s="23" t="s">
        <v>1170</v>
      </c>
      <c r="B255" s="23" t="s">
        <v>974</v>
      </c>
      <c r="C255" s="23" t="s">
        <v>95</v>
      </c>
      <c r="D255" s="23" t="s">
        <v>96</v>
      </c>
      <c r="E255" s="23"/>
      <c r="F255" s="23" t="s">
        <v>1206</v>
      </c>
      <c r="G255" s="23" t="s">
        <v>1047</v>
      </c>
      <c r="H255" s="23" t="s">
        <v>1173</v>
      </c>
      <c r="I255" s="23" t="s">
        <v>1207</v>
      </c>
      <c r="J255" s="23" t="s">
        <v>1050</v>
      </c>
      <c r="K255" s="23" t="s">
        <v>1051</v>
      </c>
      <c r="L255" s="23" t="s">
        <v>1052</v>
      </c>
      <c r="M255" s="23">
        <v>7045</v>
      </c>
      <c r="N255" s="23" t="s">
        <v>1028</v>
      </c>
      <c r="O255" s="23" t="s">
        <v>1208</v>
      </c>
    </row>
    <row r="256" spans="1:15">
      <c r="A256" s="23" t="s">
        <v>1209</v>
      </c>
      <c r="B256" s="23" t="s">
        <v>991</v>
      </c>
      <c r="C256" s="23" t="s">
        <v>108</v>
      </c>
      <c r="D256" s="23" t="s">
        <v>109</v>
      </c>
      <c r="E256" s="23" t="s">
        <v>1210</v>
      </c>
      <c r="F256" s="23" t="s">
        <v>1211</v>
      </c>
      <c r="G256" s="23" t="s">
        <v>1047</v>
      </c>
      <c r="H256" s="23" t="s">
        <v>1178</v>
      </c>
      <c r="I256" s="23" t="s">
        <v>1212</v>
      </c>
      <c r="J256" s="23" t="s">
        <v>1050</v>
      </c>
      <c r="K256" s="23" t="s">
        <v>1051</v>
      </c>
      <c r="L256" s="23" t="s">
        <v>1052</v>
      </c>
      <c r="M256" s="23">
        <v>4104</v>
      </c>
      <c r="N256" s="23" t="s">
        <v>1027</v>
      </c>
      <c r="O256" s="23" t="s">
        <v>1213</v>
      </c>
    </row>
    <row r="257" spans="1:15">
      <c r="A257" s="23" t="s">
        <v>1214</v>
      </c>
      <c r="B257" s="23" t="s">
        <v>991</v>
      </c>
      <c r="C257" s="23" t="s">
        <v>115</v>
      </c>
      <c r="D257" s="23" t="s">
        <v>116</v>
      </c>
      <c r="E257" s="23" t="s">
        <v>1215</v>
      </c>
      <c r="F257" s="23" t="s">
        <v>1211</v>
      </c>
      <c r="G257" s="23" t="s">
        <v>1047</v>
      </c>
      <c r="H257" s="23" t="s">
        <v>1178</v>
      </c>
      <c r="I257" s="23" t="s">
        <v>1216</v>
      </c>
      <c r="J257" s="23" t="s">
        <v>1050</v>
      </c>
      <c r="K257" s="23" t="s">
        <v>1051</v>
      </c>
      <c r="L257" s="23" t="s">
        <v>1052</v>
      </c>
      <c r="M257" s="23">
        <v>4104</v>
      </c>
      <c r="N257" s="23" t="s">
        <v>1027</v>
      </c>
      <c r="O257" s="23" t="s">
        <v>1213</v>
      </c>
    </row>
    <row r="258" spans="1:15">
      <c r="A258" s="23" t="s">
        <v>1113</v>
      </c>
      <c r="B258" s="23" t="s">
        <v>991</v>
      </c>
      <c r="C258" s="23" t="s">
        <v>86</v>
      </c>
      <c r="D258" s="23" t="s">
        <v>87</v>
      </c>
      <c r="E258" s="23" t="s">
        <v>1217</v>
      </c>
      <c r="F258" s="23" t="s">
        <v>1218</v>
      </c>
      <c r="G258" s="23" t="s">
        <v>1047</v>
      </c>
      <c r="H258" s="23" t="s">
        <v>1048</v>
      </c>
      <c r="I258" s="23" t="s">
        <v>1114</v>
      </c>
      <c r="J258" s="23" t="s">
        <v>1050</v>
      </c>
      <c r="K258" s="23" t="s">
        <v>1051</v>
      </c>
      <c r="L258" s="23" t="s">
        <v>1052</v>
      </c>
      <c r="M258" s="23">
        <v>1</v>
      </c>
      <c r="N258" s="23" t="s">
        <v>1021</v>
      </c>
      <c r="O258" s="23" t="s">
        <v>1219</v>
      </c>
    </row>
    <row r="259" spans="1:15">
      <c r="A259" s="23" t="s">
        <v>1165</v>
      </c>
      <c r="B259" s="23" t="s">
        <v>991</v>
      </c>
      <c r="C259" s="23" t="s">
        <v>86</v>
      </c>
      <c r="D259" s="23" t="s">
        <v>87</v>
      </c>
      <c r="E259" s="23" t="s">
        <v>1217</v>
      </c>
      <c r="F259" s="23" t="s">
        <v>1218</v>
      </c>
      <c r="G259" s="23" t="s">
        <v>1047</v>
      </c>
      <c r="H259" s="23" t="s">
        <v>1048</v>
      </c>
      <c r="I259" s="23" t="s">
        <v>1166</v>
      </c>
      <c r="J259" s="23" t="s">
        <v>1050</v>
      </c>
      <c r="K259" s="23" t="s">
        <v>1051</v>
      </c>
      <c r="L259" s="23" t="s">
        <v>1052</v>
      </c>
      <c r="M259" s="23">
        <v>1</v>
      </c>
      <c r="N259" s="23" t="s">
        <v>1021</v>
      </c>
      <c r="O259" s="23" t="s">
        <v>1219</v>
      </c>
    </row>
    <row r="260" spans="1:15">
      <c r="A260" s="23" t="s">
        <v>1113</v>
      </c>
      <c r="B260" s="23" t="s">
        <v>991</v>
      </c>
      <c r="C260" s="23" t="s">
        <v>86</v>
      </c>
      <c r="D260" s="23" t="s">
        <v>87</v>
      </c>
      <c r="E260" s="23" t="s">
        <v>1217</v>
      </c>
      <c r="F260" s="23" t="s">
        <v>1218</v>
      </c>
      <c r="G260" s="23" t="s">
        <v>1047</v>
      </c>
      <c r="H260" s="23" t="s">
        <v>1048</v>
      </c>
      <c r="I260" s="23" t="s">
        <v>1114</v>
      </c>
      <c r="J260" s="23" t="s">
        <v>1050</v>
      </c>
      <c r="K260" s="23" t="s">
        <v>1051</v>
      </c>
      <c r="L260" s="23" t="s">
        <v>1052</v>
      </c>
      <c r="M260" s="23">
        <v>1</v>
      </c>
      <c r="N260" s="23" t="s">
        <v>1021</v>
      </c>
      <c r="O260" s="23" t="s">
        <v>1219</v>
      </c>
    </row>
    <row r="261" spans="1:15">
      <c r="A261" s="23" t="s">
        <v>1165</v>
      </c>
      <c r="B261" s="23" t="s">
        <v>991</v>
      </c>
      <c r="C261" s="23" t="s">
        <v>86</v>
      </c>
      <c r="D261" s="23" t="s">
        <v>87</v>
      </c>
      <c r="E261" s="23" t="s">
        <v>1217</v>
      </c>
      <c r="F261" s="23" t="s">
        <v>1218</v>
      </c>
      <c r="G261" s="23" t="s">
        <v>1047</v>
      </c>
      <c r="H261" s="23" t="s">
        <v>1048</v>
      </c>
      <c r="I261" s="23" t="s">
        <v>1166</v>
      </c>
      <c r="J261" s="23" t="s">
        <v>1050</v>
      </c>
      <c r="K261" s="23" t="s">
        <v>1051</v>
      </c>
      <c r="L261" s="23" t="s">
        <v>1052</v>
      </c>
      <c r="M261" s="23">
        <v>1</v>
      </c>
      <c r="N261" s="23" t="s">
        <v>1021</v>
      </c>
      <c r="O261" s="23" t="s">
        <v>1219</v>
      </c>
    </row>
    <row r="262" spans="1:15">
      <c r="A262" s="23" t="s">
        <v>1118</v>
      </c>
      <c r="B262" s="23" t="s">
        <v>991</v>
      </c>
      <c r="C262" s="23" t="s">
        <v>95</v>
      </c>
      <c r="D262" s="23" t="s">
        <v>96</v>
      </c>
      <c r="E262" s="23" t="s">
        <v>1220</v>
      </c>
      <c r="F262" s="23" t="s">
        <v>1218</v>
      </c>
      <c r="G262" s="23" t="s">
        <v>1047</v>
      </c>
      <c r="H262" s="23" t="s">
        <v>1048</v>
      </c>
      <c r="I262" s="23" t="s">
        <v>1119</v>
      </c>
      <c r="J262" s="23" t="s">
        <v>1050</v>
      </c>
      <c r="K262" s="23" t="s">
        <v>1051</v>
      </c>
      <c r="L262" s="23" t="s">
        <v>1052</v>
      </c>
      <c r="M262" s="23">
        <v>1</v>
      </c>
      <c r="N262" s="23" t="s">
        <v>1021</v>
      </c>
      <c r="O262" s="23" t="s">
        <v>1219</v>
      </c>
    </row>
    <row r="263" spans="1:15">
      <c r="A263" s="23" t="s">
        <v>1191</v>
      </c>
      <c r="B263" s="23" t="s">
        <v>991</v>
      </c>
      <c r="C263" s="23" t="s">
        <v>95</v>
      </c>
      <c r="D263" s="23" t="s">
        <v>96</v>
      </c>
      <c r="E263" s="23" t="s">
        <v>1220</v>
      </c>
      <c r="F263" s="23" t="s">
        <v>1218</v>
      </c>
      <c r="G263" s="23" t="s">
        <v>1047</v>
      </c>
      <c r="H263" s="23" t="s">
        <v>1048</v>
      </c>
      <c r="I263" s="23" t="s">
        <v>1192</v>
      </c>
      <c r="J263" s="23" t="s">
        <v>1050</v>
      </c>
      <c r="K263" s="23" t="s">
        <v>1051</v>
      </c>
      <c r="L263" s="23" t="s">
        <v>1052</v>
      </c>
      <c r="M263" s="23">
        <v>1</v>
      </c>
      <c r="N263" s="23" t="s">
        <v>1021</v>
      </c>
      <c r="O263" s="23" t="s">
        <v>1219</v>
      </c>
    </row>
    <row r="264" spans="1:15">
      <c r="A264" s="23" t="s">
        <v>1118</v>
      </c>
      <c r="B264" s="23" t="s">
        <v>991</v>
      </c>
      <c r="C264" s="23" t="s">
        <v>95</v>
      </c>
      <c r="D264" s="23" t="s">
        <v>96</v>
      </c>
      <c r="E264" s="23" t="s">
        <v>1220</v>
      </c>
      <c r="F264" s="23" t="s">
        <v>1218</v>
      </c>
      <c r="G264" s="23" t="s">
        <v>1047</v>
      </c>
      <c r="H264" s="23" t="s">
        <v>1048</v>
      </c>
      <c r="I264" s="23" t="s">
        <v>1119</v>
      </c>
      <c r="J264" s="23" t="s">
        <v>1050</v>
      </c>
      <c r="K264" s="23" t="s">
        <v>1051</v>
      </c>
      <c r="L264" s="23" t="s">
        <v>1052</v>
      </c>
      <c r="M264" s="23">
        <v>1</v>
      </c>
      <c r="N264" s="23" t="s">
        <v>1021</v>
      </c>
      <c r="O264" s="23" t="s">
        <v>1219</v>
      </c>
    </row>
    <row r="265" spans="1:15">
      <c r="A265" s="23" t="s">
        <v>1191</v>
      </c>
      <c r="B265" s="23" t="s">
        <v>991</v>
      </c>
      <c r="C265" s="23" t="s">
        <v>95</v>
      </c>
      <c r="D265" s="23" t="s">
        <v>96</v>
      </c>
      <c r="E265" s="23" t="s">
        <v>1220</v>
      </c>
      <c r="F265" s="23" t="s">
        <v>1218</v>
      </c>
      <c r="G265" s="23" t="s">
        <v>1047</v>
      </c>
      <c r="H265" s="23" t="s">
        <v>1048</v>
      </c>
      <c r="I265" s="23" t="s">
        <v>1192</v>
      </c>
      <c r="J265" s="23" t="s">
        <v>1050</v>
      </c>
      <c r="K265" s="23" t="s">
        <v>1051</v>
      </c>
      <c r="L265" s="23" t="s">
        <v>1052</v>
      </c>
      <c r="M265" s="23">
        <v>1</v>
      </c>
      <c r="N265" s="23" t="s">
        <v>1021</v>
      </c>
      <c r="O265" s="23" t="s">
        <v>1219</v>
      </c>
    </row>
    <row r="266" spans="1:15">
      <c r="A266" s="23" t="s">
        <v>1144</v>
      </c>
      <c r="B266" s="23" t="s">
        <v>991</v>
      </c>
      <c r="C266" s="23" t="s">
        <v>48</v>
      </c>
      <c r="D266" s="23" t="s">
        <v>1221</v>
      </c>
      <c r="E266" s="23" t="s">
        <v>1222</v>
      </c>
      <c r="F266" s="23" t="s">
        <v>1218</v>
      </c>
      <c r="G266" s="23" t="s">
        <v>1047</v>
      </c>
      <c r="H266" s="23" t="s">
        <v>1048</v>
      </c>
      <c r="I266" s="23" t="s">
        <v>1145</v>
      </c>
      <c r="J266" s="23" t="s">
        <v>1050</v>
      </c>
      <c r="K266" s="23" t="s">
        <v>1051</v>
      </c>
      <c r="L266" s="23" t="s">
        <v>1052</v>
      </c>
      <c r="M266" s="23">
        <v>1</v>
      </c>
      <c r="N266" s="23" t="s">
        <v>1021</v>
      </c>
      <c r="O266" s="23" t="s">
        <v>1219</v>
      </c>
    </row>
    <row r="267" spans="1:15">
      <c r="A267" s="23" t="s">
        <v>1075</v>
      </c>
      <c r="B267" s="23" t="s">
        <v>991</v>
      </c>
      <c r="C267" s="23" t="s">
        <v>48</v>
      </c>
      <c r="D267" s="23" t="s">
        <v>1221</v>
      </c>
      <c r="E267" s="23" t="s">
        <v>1222</v>
      </c>
      <c r="F267" s="23" t="s">
        <v>1218</v>
      </c>
      <c r="G267" s="23" t="s">
        <v>1047</v>
      </c>
      <c r="H267" s="23" t="s">
        <v>1048</v>
      </c>
      <c r="I267" s="23" t="s">
        <v>1076</v>
      </c>
      <c r="J267" s="23" t="s">
        <v>1050</v>
      </c>
      <c r="K267" s="23" t="s">
        <v>1051</v>
      </c>
      <c r="L267" s="23" t="s">
        <v>1052</v>
      </c>
      <c r="M267" s="23">
        <v>1</v>
      </c>
      <c r="N267" s="23" t="s">
        <v>1021</v>
      </c>
      <c r="O267" s="23" t="s">
        <v>1219</v>
      </c>
    </row>
    <row r="268" spans="1:15">
      <c r="A268" s="23" t="s">
        <v>1144</v>
      </c>
      <c r="B268" s="23" t="s">
        <v>991</v>
      </c>
      <c r="C268" s="23" t="s">
        <v>48</v>
      </c>
      <c r="D268" s="23" t="s">
        <v>1221</v>
      </c>
      <c r="E268" s="23" t="s">
        <v>1222</v>
      </c>
      <c r="F268" s="23" t="s">
        <v>1218</v>
      </c>
      <c r="G268" s="23" t="s">
        <v>1047</v>
      </c>
      <c r="H268" s="23" t="s">
        <v>1048</v>
      </c>
      <c r="I268" s="23" t="s">
        <v>1145</v>
      </c>
      <c r="J268" s="23" t="s">
        <v>1050</v>
      </c>
      <c r="K268" s="23" t="s">
        <v>1051</v>
      </c>
      <c r="L268" s="23" t="s">
        <v>1052</v>
      </c>
      <c r="M268" s="23">
        <v>1</v>
      </c>
      <c r="N268" s="23" t="s">
        <v>1021</v>
      </c>
      <c r="O268" s="23" t="s">
        <v>1219</v>
      </c>
    </row>
    <row r="269" spans="1:15">
      <c r="A269" s="23" t="s">
        <v>1075</v>
      </c>
      <c r="B269" s="23" t="s">
        <v>991</v>
      </c>
      <c r="C269" s="23" t="s">
        <v>48</v>
      </c>
      <c r="D269" s="23" t="s">
        <v>1221</v>
      </c>
      <c r="E269" s="23" t="s">
        <v>1222</v>
      </c>
      <c r="F269" s="23" t="s">
        <v>1218</v>
      </c>
      <c r="G269" s="23" t="s">
        <v>1047</v>
      </c>
      <c r="H269" s="23" t="s">
        <v>1048</v>
      </c>
      <c r="I269" s="23" t="s">
        <v>1076</v>
      </c>
      <c r="J269" s="23" t="s">
        <v>1050</v>
      </c>
      <c r="K269" s="23" t="s">
        <v>1051</v>
      </c>
      <c r="L269" s="23" t="s">
        <v>1052</v>
      </c>
      <c r="M269" s="23">
        <v>1</v>
      </c>
      <c r="N269" s="23" t="s">
        <v>1021</v>
      </c>
      <c r="O269" s="23" t="s">
        <v>1219</v>
      </c>
    </row>
    <row r="270" spans="1:15">
      <c r="A270" s="23" t="s">
        <v>1170</v>
      </c>
      <c r="B270" s="23" t="s">
        <v>991</v>
      </c>
      <c r="C270" s="23" t="s">
        <v>95</v>
      </c>
      <c r="D270" s="23" t="s">
        <v>96</v>
      </c>
      <c r="E270" s="23" t="s">
        <v>1223</v>
      </c>
      <c r="F270" s="23" t="s">
        <v>1224</v>
      </c>
      <c r="G270" s="23" t="s">
        <v>1047</v>
      </c>
      <c r="H270" s="23" t="s">
        <v>1173</v>
      </c>
      <c r="I270" s="23" t="s">
        <v>1225</v>
      </c>
      <c r="J270" s="23" t="s">
        <v>1050</v>
      </c>
      <c r="K270" s="23" t="s">
        <v>1051</v>
      </c>
      <c r="L270" s="23" t="s">
        <v>1052</v>
      </c>
      <c r="M270" s="23">
        <v>7045</v>
      </c>
      <c r="N270" s="23" t="s">
        <v>1028</v>
      </c>
      <c r="O270" s="23" t="s">
        <v>1226</v>
      </c>
    </row>
    <row r="271" spans="1:15">
      <c r="A271" s="23" t="s">
        <v>1227</v>
      </c>
      <c r="B271" s="23" t="s">
        <v>991</v>
      </c>
      <c r="C271" s="23" t="s">
        <v>48</v>
      </c>
      <c r="D271" s="23" t="s">
        <v>1228</v>
      </c>
      <c r="E271" s="23" t="s">
        <v>1229</v>
      </c>
      <c r="F271" s="23" t="s">
        <v>1230</v>
      </c>
      <c r="G271" s="23" t="s">
        <v>1047</v>
      </c>
      <c r="H271" s="23" t="s">
        <v>1048</v>
      </c>
      <c r="I271" s="23" t="s">
        <v>1231</v>
      </c>
      <c r="J271" s="23" t="s">
        <v>1050</v>
      </c>
      <c r="K271" s="23" t="s">
        <v>1051</v>
      </c>
      <c r="L271" s="23" t="s">
        <v>1052</v>
      </c>
      <c r="M271" s="23">
        <v>3</v>
      </c>
      <c r="N271" s="23" t="s">
        <v>1022</v>
      </c>
      <c r="O271" s="23" t="s">
        <v>1232</v>
      </c>
    </row>
    <row r="272" spans="1:15">
      <c r="A272" s="23" t="s">
        <v>1227</v>
      </c>
      <c r="B272" s="23" t="s">
        <v>991</v>
      </c>
      <c r="C272" s="23" t="s">
        <v>48</v>
      </c>
      <c r="D272" s="23" t="s">
        <v>1228</v>
      </c>
      <c r="E272" s="23" t="s">
        <v>1229</v>
      </c>
      <c r="F272" s="23" t="s">
        <v>1230</v>
      </c>
      <c r="G272" s="23" t="s">
        <v>1047</v>
      </c>
      <c r="H272" s="23" t="s">
        <v>1048</v>
      </c>
      <c r="I272" s="23" t="s">
        <v>1231</v>
      </c>
      <c r="J272" s="23" t="s">
        <v>1050</v>
      </c>
      <c r="K272" s="23" t="s">
        <v>1051</v>
      </c>
      <c r="L272" s="23" t="s">
        <v>1052</v>
      </c>
      <c r="M272" s="23">
        <v>3</v>
      </c>
      <c r="N272" s="23" t="s">
        <v>1022</v>
      </c>
      <c r="O272" s="23" t="s">
        <v>1232</v>
      </c>
    </row>
    <row r="273" spans="1:15">
      <c r="A273" s="23" t="s">
        <v>1227</v>
      </c>
      <c r="B273" s="23" t="s">
        <v>991</v>
      </c>
      <c r="C273" s="23" t="s">
        <v>48</v>
      </c>
      <c r="D273" s="23" t="s">
        <v>1228</v>
      </c>
      <c r="E273" s="23" t="s">
        <v>1229</v>
      </c>
      <c r="F273" s="23" t="s">
        <v>1230</v>
      </c>
      <c r="G273" s="23" t="s">
        <v>1047</v>
      </c>
      <c r="H273" s="23" t="s">
        <v>1048</v>
      </c>
      <c r="I273" s="23" t="s">
        <v>1231</v>
      </c>
      <c r="J273" s="23" t="s">
        <v>1050</v>
      </c>
      <c r="K273" s="23" t="s">
        <v>1051</v>
      </c>
      <c r="L273" s="23" t="s">
        <v>1052</v>
      </c>
      <c r="M273" s="23">
        <v>3</v>
      </c>
      <c r="N273" s="23" t="s">
        <v>1022</v>
      </c>
      <c r="O273" s="23" t="s">
        <v>1232</v>
      </c>
    </row>
    <row r="274" spans="1:15">
      <c r="A274" s="23" t="s">
        <v>1227</v>
      </c>
      <c r="B274" s="23" t="s">
        <v>991</v>
      </c>
      <c r="C274" s="23" t="s">
        <v>48</v>
      </c>
      <c r="D274" s="23" t="s">
        <v>1228</v>
      </c>
      <c r="E274" s="23" t="s">
        <v>1229</v>
      </c>
      <c r="F274" s="23" t="s">
        <v>1230</v>
      </c>
      <c r="G274" s="23" t="s">
        <v>1047</v>
      </c>
      <c r="H274" s="23" t="s">
        <v>1048</v>
      </c>
      <c r="I274" s="23" t="s">
        <v>1231</v>
      </c>
      <c r="J274" s="23" t="s">
        <v>1050</v>
      </c>
      <c r="K274" s="23" t="s">
        <v>1051</v>
      </c>
      <c r="L274" s="23" t="s">
        <v>1052</v>
      </c>
      <c r="M274" s="23">
        <v>3</v>
      </c>
      <c r="N274" s="23" t="s">
        <v>1022</v>
      </c>
      <c r="O274" s="23" t="s">
        <v>1232</v>
      </c>
    </row>
    <row r="275" spans="1:15">
      <c r="A275" s="23" t="s">
        <v>1176</v>
      </c>
      <c r="B275" s="23" t="s">
        <v>599</v>
      </c>
      <c r="C275" s="23" t="s">
        <v>62</v>
      </c>
      <c r="D275" s="23" t="s">
        <v>63</v>
      </c>
      <c r="E275" s="23" t="s">
        <v>1233</v>
      </c>
      <c r="F275" s="23" t="s">
        <v>1234</v>
      </c>
      <c r="G275" s="23" t="s">
        <v>1047</v>
      </c>
      <c r="H275" s="23" t="s">
        <v>1178</v>
      </c>
      <c r="I275" s="23" t="s">
        <v>1179</v>
      </c>
      <c r="J275" s="23" t="s">
        <v>1050</v>
      </c>
      <c r="K275" s="23" t="s">
        <v>1051</v>
      </c>
      <c r="L275" s="23" t="s">
        <v>1052</v>
      </c>
      <c r="M275" s="23">
        <v>4104</v>
      </c>
      <c r="N275" s="23" t="s">
        <v>1027</v>
      </c>
      <c r="O275" s="23" t="s">
        <v>1235</v>
      </c>
    </row>
    <row r="276" spans="1:15">
      <c r="A276" s="23" t="s">
        <v>1185</v>
      </c>
      <c r="B276" s="23" t="s">
        <v>599</v>
      </c>
      <c r="C276" s="23" t="s">
        <v>62</v>
      </c>
      <c r="D276" s="23" t="s">
        <v>63</v>
      </c>
      <c r="E276" s="23" t="s">
        <v>1233</v>
      </c>
      <c r="F276" s="23" t="s">
        <v>1234</v>
      </c>
      <c r="G276" s="23" t="s">
        <v>1047</v>
      </c>
      <c r="H276" s="23" t="s">
        <v>1178</v>
      </c>
      <c r="I276" s="23" t="s">
        <v>1186</v>
      </c>
      <c r="J276" s="23" t="s">
        <v>1050</v>
      </c>
      <c r="K276" s="23" t="s">
        <v>1051</v>
      </c>
      <c r="L276" s="23" t="s">
        <v>1052</v>
      </c>
      <c r="M276" s="23">
        <v>4104</v>
      </c>
      <c r="N276" s="23" t="s">
        <v>1027</v>
      </c>
      <c r="O276" s="23" t="s">
        <v>1235</v>
      </c>
    </row>
    <row r="277" spans="1:15">
      <c r="A277" s="23" t="s">
        <v>1090</v>
      </c>
      <c r="B277" s="23" t="s">
        <v>599</v>
      </c>
      <c r="C277" s="23" t="s">
        <v>71</v>
      </c>
      <c r="D277" s="23" t="s">
        <v>72</v>
      </c>
      <c r="E277" s="23" t="s">
        <v>1236</v>
      </c>
      <c r="F277" s="23" t="s">
        <v>1237</v>
      </c>
      <c r="G277" s="23" t="s">
        <v>1047</v>
      </c>
      <c r="H277" s="23" t="s">
        <v>1048</v>
      </c>
      <c r="I277" s="23" t="s">
        <v>1091</v>
      </c>
      <c r="J277" s="23" t="s">
        <v>1050</v>
      </c>
      <c r="K277" s="23" t="s">
        <v>1051</v>
      </c>
      <c r="L277" s="23" t="s">
        <v>1052</v>
      </c>
      <c r="M277" s="23">
        <v>1</v>
      </c>
      <c r="N277" s="23" t="s">
        <v>1021</v>
      </c>
      <c r="O277" s="23" t="s">
        <v>1238</v>
      </c>
    </row>
    <row r="278" spans="1:15">
      <c r="A278" s="23" t="s">
        <v>1092</v>
      </c>
      <c r="B278" s="23" t="s">
        <v>599</v>
      </c>
      <c r="C278" s="23" t="s">
        <v>71</v>
      </c>
      <c r="D278" s="23" t="s">
        <v>72</v>
      </c>
      <c r="E278" s="23" t="s">
        <v>1236</v>
      </c>
      <c r="F278" s="23" t="s">
        <v>1237</v>
      </c>
      <c r="G278" s="23" t="s">
        <v>1047</v>
      </c>
      <c r="H278" s="23" t="s">
        <v>1048</v>
      </c>
      <c r="I278" s="23" t="s">
        <v>1093</v>
      </c>
      <c r="J278" s="23" t="s">
        <v>1050</v>
      </c>
      <c r="K278" s="23" t="s">
        <v>1051</v>
      </c>
      <c r="L278" s="23" t="s">
        <v>1052</v>
      </c>
      <c r="M278" s="23">
        <v>1</v>
      </c>
      <c r="N278" s="23" t="s">
        <v>1021</v>
      </c>
      <c r="O278" s="23" t="s">
        <v>1238</v>
      </c>
    </row>
    <row r="279" spans="1:15">
      <c r="A279" s="23" t="s">
        <v>1090</v>
      </c>
      <c r="B279" s="23" t="s">
        <v>599</v>
      </c>
      <c r="C279" s="23" t="s">
        <v>71</v>
      </c>
      <c r="D279" s="23" t="s">
        <v>72</v>
      </c>
      <c r="E279" s="23" t="s">
        <v>1236</v>
      </c>
      <c r="F279" s="23" t="s">
        <v>1237</v>
      </c>
      <c r="G279" s="23" t="s">
        <v>1047</v>
      </c>
      <c r="H279" s="23" t="s">
        <v>1048</v>
      </c>
      <c r="I279" s="23" t="s">
        <v>1091</v>
      </c>
      <c r="J279" s="23" t="s">
        <v>1050</v>
      </c>
      <c r="K279" s="23" t="s">
        <v>1051</v>
      </c>
      <c r="L279" s="23" t="s">
        <v>1052</v>
      </c>
      <c r="M279" s="23">
        <v>1</v>
      </c>
      <c r="N279" s="23" t="s">
        <v>1021</v>
      </c>
      <c r="O279" s="23" t="s">
        <v>1238</v>
      </c>
    </row>
    <row r="280" spans="1:15">
      <c r="A280" s="23" t="s">
        <v>1092</v>
      </c>
      <c r="B280" s="23" t="s">
        <v>599</v>
      </c>
      <c r="C280" s="23" t="s">
        <v>71</v>
      </c>
      <c r="D280" s="23" t="s">
        <v>72</v>
      </c>
      <c r="E280" s="23" t="s">
        <v>1236</v>
      </c>
      <c r="F280" s="23" t="s">
        <v>1237</v>
      </c>
      <c r="G280" s="23" t="s">
        <v>1047</v>
      </c>
      <c r="H280" s="23" t="s">
        <v>1048</v>
      </c>
      <c r="I280" s="23" t="s">
        <v>1093</v>
      </c>
      <c r="J280" s="23" t="s">
        <v>1050</v>
      </c>
      <c r="K280" s="23" t="s">
        <v>1051</v>
      </c>
      <c r="L280" s="23" t="s">
        <v>1052</v>
      </c>
      <c r="M280" s="23">
        <v>1</v>
      </c>
      <c r="N280" s="23" t="s">
        <v>1021</v>
      </c>
      <c r="O280" s="23" t="s">
        <v>1238</v>
      </c>
    </row>
    <row r="281" spans="1:15">
      <c r="A281" s="23" t="s">
        <v>1094</v>
      </c>
      <c r="B281" s="23" t="s">
        <v>599</v>
      </c>
      <c r="C281" s="23" t="s">
        <v>71</v>
      </c>
      <c r="D281" s="23" t="s">
        <v>72</v>
      </c>
      <c r="E281" s="23" t="s">
        <v>1236</v>
      </c>
      <c r="F281" s="23" t="s">
        <v>1237</v>
      </c>
      <c r="G281" s="23" t="s">
        <v>1047</v>
      </c>
      <c r="H281" s="23" t="s">
        <v>1048</v>
      </c>
      <c r="I281" s="23" t="s">
        <v>1095</v>
      </c>
      <c r="J281" s="23" t="s">
        <v>1050</v>
      </c>
      <c r="K281" s="23" t="s">
        <v>1051</v>
      </c>
      <c r="L281" s="23" t="s">
        <v>1052</v>
      </c>
      <c r="M281" s="23">
        <v>1</v>
      </c>
      <c r="N281" s="23" t="s">
        <v>1021</v>
      </c>
      <c r="O281" s="23" t="s">
        <v>1238</v>
      </c>
    </row>
    <row r="282" spans="1:15">
      <c r="A282" s="23" t="s">
        <v>1094</v>
      </c>
      <c r="B282" s="23" t="s">
        <v>599</v>
      </c>
      <c r="C282" s="23" t="s">
        <v>71</v>
      </c>
      <c r="D282" s="23" t="s">
        <v>72</v>
      </c>
      <c r="E282" s="23" t="s">
        <v>1236</v>
      </c>
      <c r="F282" s="23" t="s">
        <v>1237</v>
      </c>
      <c r="G282" s="23" t="s">
        <v>1047</v>
      </c>
      <c r="H282" s="23" t="s">
        <v>1048</v>
      </c>
      <c r="I282" s="23" t="s">
        <v>1095</v>
      </c>
      <c r="J282" s="23" t="s">
        <v>1050</v>
      </c>
      <c r="K282" s="23" t="s">
        <v>1051</v>
      </c>
      <c r="L282" s="23" t="s">
        <v>1052</v>
      </c>
      <c r="M282" s="23">
        <v>1</v>
      </c>
      <c r="N282" s="23" t="s">
        <v>1021</v>
      </c>
      <c r="O282" s="23" t="s">
        <v>1238</v>
      </c>
    </row>
    <row r="283" spans="1:15">
      <c r="A283" s="23" t="s">
        <v>1096</v>
      </c>
      <c r="B283" s="23" t="s">
        <v>599</v>
      </c>
      <c r="C283" s="23" t="s">
        <v>71</v>
      </c>
      <c r="D283" s="23" t="s">
        <v>72</v>
      </c>
      <c r="E283" s="23" t="s">
        <v>1236</v>
      </c>
      <c r="F283" s="23" t="s">
        <v>1237</v>
      </c>
      <c r="G283" s="23" t="s">
        <v>1047</v>
      </c>
      <c r="H283" s="23" t="s">
        <v>1048</v>
      </c>
      <c r="I283" s="23" t="s">
        <v>1097</v>
      </c>
      <c r="J283" s="23" t="s">
        <v>1050</v>
      </c>
      <c r="K283" s="23" t="s">
        <v>1051</v>
      </c>
      <c r="L283" s="23" t="s">
        <v>1052</v>
      </c>
      <c r="M283" s="23">
        <v>1</v>
      </c>
      <c r="N283" s="23" t="s">
        <v>1021</v>
      </c>
      <c r="O283" s="23" t="s">
        <v>1238</v>
      </c>
    </row>
    <row r="284" spans="1:15">
      <c r="A284" s="23" t="s">
        <v>1098</v>
      </c>
      <c r="B284" s="23" t="s">
        <v>599</v>
      </c>
      <c r="C284" s="23" t="s">
        <v>71</v>
      </c>
      <c r="D284" s="23" t="s">
        <v>72</v>
      </c>
      <c r="E284" s="23" t="s">
        <v>1236</v>
      </c>
      <c r="F284" s="23" t="s">
        <v>1237</v>
      </c>
      <c r="G284" s="23" t="s">
        <v>1047</v>
      </c>
      <c r="H284" s="23" t="s">
        <v>1048</v>
      </c>
      <c r="I284" s="23" t="s">
        <v>1099</v>
      </c>
      <c r="J284" s="23" t="s">
        <v>1050</v>
      </c>
      <c r="K284" s="23" t="s">
        <v>1051</v>
      </c>
      <c r="L284" s="23" t="s">
        <v>1052</v>
      </c>
      <c r="M284" s="23">
        <v>1</v>
      </c>
      <c r="N284" s="23" t="s">
        <v>1021</v>
      </c>
      <c r="O284" s="23" t="s">
        <v>1238</v>
      </c>
    </row>
    <row r="285" spans="1:15">
      <c r="A285" s="23" t="s">
        <v>1100</v>
      </c>
      <c r="B285" s="23" t="s">
        <v>599</v>
      </c>
      <c r="C285" s="23" t="s">
        <v>71</v>
      </c>
      <c r="D285" s="23" t="s">
        <v>72</v>
      </c>
      <c r="E285" s="23" t="s">
        <v>1236</v>
      </c>
      <c r="F285" s="23" t="s">
        <v>1237</v>
      </c>
      <c r="G285" s="23" t="s">
        <v>1047</v>
      </c>
      <c r="H285" s="23" t="s">
        <v>1048</v>
      </c>
      <c r="I285" s="23" t="s">
        <v>1101</v>
      </c>
      <c r="J285" s="23" t="s">
        <v>1050</v>
      </c>
      <c r="K285" s="23" t="s">
        <v>1051</v>
      </c>
      <c r="L285" s="23" t="s">
        <v>1052</v>
      </c>
      <c r="M285" s="23">
        <v>1</v>
      </c>
      <c r="N285" s="23" t="s">
        <v>1021</v>
      </c>
      <c r="O285" s="23" t="s">
        <v>1238</v>
      </c>
    </row>
    <row r="286" spans="1:15">
      <c r="A286" s="23" t="s">
        <v>1102</v>
      </c>
      <c r="B286" s="23" t="s">
        <v>599</v>
      </c>
      <c r="C286" s="23" t="s">
        <v>71</v>
      </c>
      <c r="D286" s="23" t="s">
        <v>72</v>
      </c>
      <c r="E286" s="23" t="s">
        <v>1236</v>
      </c>
      <c r="F286" s="23" t="s">
        <v>1237</v>
      </c>
      <c r="G286" s="23" t="s">
        <v>1047</v>
      </c>
      <c r="H286" s="23" t="s">
        <v>1048</v>
      </c>
      <c r="I286" s="23" t="s">
        <v>1103</v>
      </c>
      <c r="J286" s="23" t="s">
        <v>1050</v>
      </c>
      <c r="K286" s="23" t="s">
        <v>1051</v>
      </c>
      <c r="L286" s="23" t="s">
        <v>1052</v>
      </c>
      <c r="M286" s="23">
        <v>1</v>
      </c>
      <c r="N286" s="23" t="s">
        <v>1021</v>
      </c>
      <c r="O286" s="23" t="s">
        <v>1238</v>
      </c>
    </row>
    <row r="287" spans="1:15">
      <c r="A287" s="23" t="s">
        <v>1096</v>
      </c>
      <c r="B287" s="23" t="s">
        <v>599</v>
      </c>
      <c r="C287" s="23" t="s">
        <v>71</v>
      </c>
      <c r="D287" s="23" t="s">
        <v>72</v>
      </c>
      <c r="E287" s="23" t="s">
        <v>1236</v>
      </c>
      <c r="F287" s="23" t="s">
        <v>1237</v>
      </c>
      <c r="G287" s="23" t="s">
        <v>1047</v>
      </c>
      <c r="H287" s="23" t="s">
        <v>1048</v>
      </c>
      <c r="I287" s="23" t="s">
        <v>1097</v>
      </c>
      <c r="J287" s="23" t="s">
        <v>1050</v>
      </c>
      <c r="K287" s="23" t="s">
        <v>1051</v>
      </c>
      <c r="L287" s="23" t="s">
        <v>1052</v>
      </c>
      <c r="M287" s="23">
        <v>1</v>
      </c>
      <c r="N287" s="23" t="s">
        <v>1021</v>
      </c>
      <c r="O287" s="23" t="s">
        <v>1238</v>
      </c>
    </row>
    <row r="288" spans="1:15">
      <c r="A288" s="23" t="s">
        <v>1098</v>
      </c>
      <c r="B288" s="23" t="s">
        <v>599</v>
      </c>
      <c r="C288" s="23" t="s">
        <v>71</v>
      </c>
      <c r="D288" s="23" t="s">
        <v>72</v>
      </c>
      <c r="E288" s="23" t="s">
        <v>1236</v>
      </c>
      <c r="F288" s="23" t="s">
        <v>1237</v>
      </c>
      <c r="G288" s="23" t="s">
        <v>1047</v>
      </c>
      <c r="H288" s="23" t="s">
        <v>1048</v>
      </c>
      <c r="I288" s="23" t="s">
        <v>1099</v>
      </c>
      <c r="J288" s="23" t="s">
        <v>1050</v>
      </c>
      <c r="K288" s="23" t="s">
        <v>1051</v>
      </c>
      <c r="L288" s="23" t="s">
        <v>1052</v>
      </c>
      <c r="M288" s="23">
        <v>1</v>
      </c>
      <c r="N288" s="23" t="s">
        <v>1021</v>
      </c>
      <c r="O288" s="23" t="s">
        <v>1238</v>
      </c>
    </row>
    <row r="289" spans="1:15">
      <c r="A289" s="23" t="s">
        <v>1100</v>
      </c>
      <c r="B289" s="23" t="s">
        <v>599</v>
      </c>
      <c r="C289" s="23" t="s">
        <v>71</v>
      </c>
      <c r="D289" s="23" t="s">
        <v>72</v>
      </c>
      <c r="E289" s="23" t="s">
        <v>1236</v>
      </c>
      <c r="F289" s="23" t="s">
        <v>1237</v>
      </c>
      <c r="G289" s="23" t="s">
        <v>1047</v>
      </c>
      <c r="H289" s="23" t="s">
        <v>1048</v>
      </c>
      <c r="I289" s="23" t="s">
        <v>1101</v>
      </c>
      <c r="J289" s="23" t="s">
        <v>1050</v>
      </c>
      <c r="K289" s="23" t="s">
        <v>1051</v>
      </c>
      <c r="L289" s="23" t="s">
        <v>1052</v>
      </c>
      <c r="M289" s="23">
        <v>1</v>
      </c>
      <c r="N289" s="23" t="s">
        <v>1021</v>
      </c>
      <c r="O289" s="23" t="s">
        <v>1238</v>
      </c>
    </row>
    <row r="290" spans="1:15">
      <c r="A290" s="23" t="s">
        <v>1102</v>
      </c>
      <c r="B290" s="23" t="s">
        <v>599</v>
      </c>
      <c r="C290" s="23" t="s">
        <v>71</v>
      </c>
      <c r="D290" s="23" t="s">
        <v>72</v>
      </c>
      <c r="E290" s="23" t="s">
        <v>1236</v>
      </c>
      <c r="F290" s="23" t="s">
        <v>1237</v>
      </c>
      <c r="G290" s="23" t="s">
        <v>1047</v>
      </c>
      <c r="H290" s="23" t="s">
        <v>1048</v>
      </c>
      <c r="I290" s="23" t="s">
        <v>1103</v>
      </c>
      <c r="J290" s="23" t="s">
        <v>1050</v>
      </c>
      <c r="K290" s="23" t="s">
        <v>1051</v>
      </c>
      <c r="L290" s="23" t="s">
        <v>1052</v>
      </c>
      <c r="M290" s="23">
        <v>1</v>
      </c>
      <c r="N290" s="23" t="s">
        <v>1021</v>
      </c>
      <c r="O290" s="23" t="s">
        <v>1238</v>
      </c>
    </row>
    <row r="291" spans="1:15">
      <c r="A291" s="23" t="s">
        <v>1104</v>
      </c>
      <c r="B291" s="23" t="s">
        <v>599</v>
      </c>
      <c r="C291" s="23" t="s">
        <v>71</v>
      </c>
      <c r="D291" s="23" t="s">
        <v>72</v>
      </c>
      <c r="E291" s="23" t="s">
        <v>1236</v>
      </c>
      <c r="F291" s="23" t="s">
        <v>1237</v>
      </c>
      <c r="G291" s="23" t="s">
        <v>1047</v>
      </c>
      <c r="H291" s="23" t="s">
        <v>1048</v>
      </c>
      <c r="I291" s="23" t="s">
        <v>1105</v>
      </c>
      <c r="J291" s="23" t="s">
        <v>1050</v>
      </c>
      <c r="K291" s="23" t="s">
        <v>1051</v>
      </c>
      <c r="L291" s="23" t="s">
        <v>1052</v>
      </c>
      <c r="M291" s="23">
        <v>1</v>
      </c>
      <c r="N291" s="23" t="s">
        <v>1021</v>
      </c>
      <c r="O291" s="23" t="s">
        <v>1238</v>
      </c>
    </row>
    <row r="292" spans="1:15">
      <c r="A292" s="23" t="s">
        <v>1155</v>
      </c>
      <c r="B292" s="23" t="s">
        <v>599</v>
      </c>
      <c r="C292" s="23" t="s">
        <v>71</v>
      </c>
      <c r="D292" s="23" t="s">
        <v>72</v>
      </c>
      <c r="E292" s="23" t="s">
        <v>1236</v>
      </c>
      <c r="F292" s="23" t="s">
        <v>1237</v>
      </c>
      <c r="G292" s="23" t="s">
        <v>1047</v>
      </c>
      <c r="H292" s="23" t="s">
        <v>1048</v>
      </c>
      <c r="I292" s="23" t="s">
        <v>1156</v>
      </c>
      <c r="J292" s="23" t="s">
        <v>1050</v>
      </c>
      <c r="K292" s="23" t="s">
        <v>1051</v>
      </c>
      <c r="L292" s="23" t="s">
        <v>1052</v>
      </c>
      <c r="M292" s="23">
        <v>1</v>
      </c>
      <c r="N292" s="23" t="s">
        <v>1021</v>
      </c>
      <c r="O292" s="23" t="s">
        <v>1238</v>
      </c>
    </row>
    <row r="293" spans="1:15">
      <c r="A293" s="23" t="s">
        <v>1110</v>
      </c>
      <c r="B293" s="23" t="s">
        <v>599</v>
      </c>
      <c r="C293" s="23" t="s">
        <v>71</v>
      </c>
      <c r="D293" s="23" t="s">
        <v>72</v>
      </c>
      <c r="E293" s="23" t="s">
        <v>1236</v>
      </c>
      <c r="F293" s="23" t="s">
        <v>1237</v>
      </c>
      <c r="G293" s="23" t="s">
        <v>1047</v>
      </c>
      <c r="H293" s="23" t="s">
        <v>1048</v>
      </c>
      <c r="I293" s="23" t="s">
        <v>1111</v>
      </c>
      <c r="J293" s="23" t="s">
        <v>1050</v>
      </c>
      <c r="K293" s="23" t="s">
        <v>1051</v>
      </c>
      <c r="L293" s="23" t="s">
        <v>1052</v>
      </c>
      <c r="M293" s="23">
        <v>1</v>
      </c>
      <c r="N293" s="23" t="s">
        <v>1021</v>
      </c>
      <c r="O293" s="23" t="s">
        <v>1238</v>
      </c>
    </row>
    <row r="294" spans="1:15">
      <c r="A294" s="23" t="s">
        <v>1104</v>
      </c>
      <c r="B294" s="23" t="s">
        <v>599</v>
      </c>
      <c r="C294" s="23" t="s">
        <v>71</v>
      </c>
      <c r="D294" s="23" t="s">
        <v>72</v>
      </c>
      <c r="E294" s="23" t="s">
        <v>1236</v>
      </c>
      <c r="F294" s="23" t="s">
        <v>1237</v>
      </c>
      <c r="G294" s="23" t="s">
        <v>1047</v>
      </c>
      <c r="H294" s="23" t="s">
        <v>1048</v>
      </c>
      <c r="I294" s="23" t="s">
        <v>1105</v>
      </c>
      <c r="J294" s="23" t="s">
        <v>1050</v>
      </c>
      <c r="K294" s="23" t="s">
        <v>1051</v>
      </c>
      <c r="L294" s="23" t="s">
        <v>1052</v>
      </c>
      <c r="M294" s="23">
        <v>1</v>
      </c>
      <c r="N294" s="23" t="s">
        <v>1021</v>
      </c>
      <c r="O294" s="23" t="s">
        <v>1238</v>
      </c>
    </row>
    <row r="295" spans="1:15">
      <c r="A295" s="23" t="s">
        <v>1155</v>
      </c>
      <c r="B295" s="23" t="s">
        <v>599</v>
      </c>
      <c r="C295" s="23" t="s">
        <v>71</v>
      </c>
      <c r="D295" s="23" t="s">
        <v>72</v>
      </c>
      <c r="E295" s="23" t="s">
        <v>1236</v>
      </c>
      <c r="F295" s="23" t="s">
        <v>1237</v>
      </c>
      <c r="G295" s="23" t="s">
        <v>1047</v>
      </c>
      <c r="H295" s="23" t="s">
        <v>1048</v>
      </c>
      <c r="I295" s="23" t="s">
        <v>1156</v>
      </c>
      <c r="J295" s="23" t="s">
        <v>1050</v>
      </c>
      <c r="K295" s="23" t="s">
        <v>1051</v>
      </c>
      <c r="L295" s="23" t="s">
        <v>1052</v>
      </c>
      <c r="M295" s="23">
        <v>1</v>
      </c>
      <c r="N295" s="23" t="s">
        <v>1021</v>
      </c>
      <c r="O295" s="23" t="s">
        <v>1238</v>
      </c>
    </row>
    <row r="296" spans="1:15">
      <c r="A296" s="23" t="s">
        <v>1110</v>
      </c>
      <c r="B296" s="23" t="s">
        <v>599</v>
      </c>
      <c r="C296" s="23" t="s">
        <v>71</v>
      </c>
      <c r="D296" s="23" t="s">
        <v>72</v>
      </c>
      <c r="E296" s="23" t="s">
        <v>1236</v>
      </c>
      <c r="F296" s="23" t="s">
        <v>1237</v>
      </c>
      <c r="G296" s="23" t="s">
        <v>1047</v>
      </c>
      <c r="H296" s="23" t="s">
        <v>1048</v>
      </c>
      <c r="I296" s="23" t="s">
        <v>1111</v>
      </c>
      <c r="J296" s="23" t="s">
        <v>1050</v>
      </c>
      <c r="K296" s="23" t="s">
        <v>1051</v>
      </c>
      <c r="L296" s="23" t="s">
        <v>1052</v>
      </c>
      <c r="M296" s="23">
        <v>1</v>
      </c>
      <c r="N296" s="23" t="s">
        <v>1021</v>
      </c>
      <c r="O296" s="23" t="s">
        <v>1238</v>
      </c>
    </row>
    <row r="297" spans="1:15">
      <c r="A297" s="23" t="s">
        <v>1118</v>
      </c>
      <c r="B297" s="23" t="s">
        <v>599</v>
      </c>
      <c r="C297" s="23" t="s">
        <v>71</v>
      </c>
      <c r="D297" s="23" t="s">
        <v>72</v>
      </c>
      <c r="E297" s="23" t="s">
        <v>1236</v>
      </c>
      <c r="F297" s="23" t="s">
        <v>1237</v>
      </c>
      <c r="G297" s="23" t="s">
        <v>1047</v>
      </c>
      <c r="H297" s="23" t="s">
        <v>1048</v>
      </c>
      <c r="I297" s="23" t="s">
        <v>1119</v>
      </c>
      <c r="J297" s="23" t="s">
        <v>1050</v>
      </c>
      <c r="K297" s="23" t="s">
        <v>1051</v>
      </c>
      <c r="L297" s="23" t="s">
        <v>1052</v>
      </c>
      <c r="M297" s="23">
        <v>1</v>
      </c>
      <c r="N297" s="23" t="s">
        <v>1021</v>
      </c>
      <c r="O297" s="23" t="s">
        <v>1238</v>
      </c>
    </row>
    <row r="298" spans="1:15">
      <c r="A298" s="23" t="s">
        <v>1191</v>
      </c>
      <c r="B298" s="23" t="s">
        <v>599</v>
      </c>
      <c r="C298" s="23" t="s">
        <v>71</v>
      </c>
      <c r="D298" s="23" t="s">
        <v>72</v>
      </c>
      <c r="E298" s="23" t="s">
        <v>1236</v>
      </c>
      <c r="F298" s="23" t="s">
        <v>1237</v>
      </c>
      <c r="G298" s="23" t="s">
        <v>1047</v>
      </c>
      <c r="H298" s="23" t="s">
        <v>1048</v>
      </c>
      <c r="I298" s="23" t="s">
        <v>1192</v>
      </c>
      <c r="J298" s="23" t="s">
        <v>1050</v>
      </c>
      <c r="K298" s="23" t="s">
        <v>1051</v>
      </c>
      <c r="L298" s="23" t="s">
        <v>1052</v>
      </c>
      <c r="M298" s="23">
        <v>1</v>
      </c>
      <c r="N298" s="23" t="s">
        <v>1021</v>
      </c>
      <c r="O298" s="23" t="s">
        <v>1238</v>
      </c>
    </row>
    <row r="299" spans="1:15">
      <c r="A299" s="23" t="s">
        <v>1118</v>
      </c>
      <c r="B299" s="23" t="s">
        <v>599</v>
      </c>
      <c r="C299" s="23" t="s">
        <v>71</v>
      </c>
      <c r="D299" s="23" t="s">
        <v>72</v>
      </c>
      <c r="E299" s="23" t="s">
        <v>1236</v>
      </c>
      <c r="F299" s="23" t="s">
        <v>1237</v>
      </c>
      <c r="G299" s="23" t="s">
        <v>1047</v>
      </c>
      <c r="H299" s="23" t="s">
        <v>1048</v>
      </c>
      <c r="I299" s="23" t="s">
        <v>1119</v>
      </c>
      <c r="J299" s="23" t="s">
        <v>1050</v>
      </c>
      <c r="K299" s="23" t="s">
        <v>1051</v>
      </c>
      <c r="L299" s="23" t="s">
        <v>1052</v>
      </c>
      <c r="M299" s="23">
        <v>1</v>
      </c>
      <c r="N299" s="23" t="s">
        <v>1021</v>
      </c>
      <c r="O299" s="23" t="s">
        <v>1238</v>
      </c>
    </row>
    <row r="300" spans="1:15">
      <c r="A300" s="23" t="s">
        <v>1191</v>
      </c>
      <c r="B300" s="23" t="s">
        <v>599</v>
      </c>
      <c r="C300" s="23" t="s">
        <v>71</v>
      </c>
      <c r="D300" s="23" t="s">
        <v>72</v>
      </c>
      <c r="E300" s="23" t="s">
        <v>1236</v>
      </c>
      <c r="F300" s="23" t="s">
        <v>1237</v>
      </c>
      <c r="G300" s="23" t="s">
        <v>1047</v>
      </c>
      <c r="H300" s="23" t="s">
        <v>1048</v>
      </c>
      <c r="I300" s="23" t="s">
        <v>1192</v>
      </c>
      <c r="J300" s="23" t="s">
        <v>1050</v>
      </c>
      <c r="K300" s="23" t="s">
        <v>1051</v>
      </c>
      <c r="L300" s="23" t="s">
        <v>1052</v>
      </c>
      <c r="M300" s="23">
        <v>1</v>
      </c>
      <c r="N300" s="23" t="s">
        <v>1021</v>
      </c>
      <c r="O300" s="23" t="s">
        <v>1238</v>
      </c>
    </row>
    <row r="301" spans="1:15">
      <c r="A301" s="23" t="s">
        <v>1124</v>
      </c>
      <c r="B301" s="23" t="s">
        <v>599</v>
      </c>
      <c r="C301" s="23" t="s">
        <v>71</v>
      </c>
      <c r="D301" s="23" t="s">
        <v>72</v>
      </c>
      <c r="E301" s="23" t="s">
        <v>1236</v>
      </c>
      <c r="F301" s="23" t="s">
        <v>1237</v>
      </c>
      <c r="G301" s="23" t="s">
        <v>1047</v>
      </c>
      <c r="H301" s="23" t="s">
        <v>1048</v>
      </c>
      <c r="I301" s="23" t="s">
        <v>1125</v>
      </c>
      <c r="J301" s="23" t="s">
        <v>1050</v>
      </c>
      <c r="K301" s="23" t="s">
        <v>1051</v>
      </c>
      <c r="L301" s="23" t="s">
        <v>1052</v>
      </c>
      <c r="M301" s="23">
        <v>1</v>
      </c>
      <c r="N301" s="23" t="s">
        <v>1021</v>
      </c>
      <c r="O301" s="23" t="s">
        <v>1238</v>
      </c>
    </row>
    <row r="302" spans="1:15">
      <c r="A302" s="23" t="s">
        <v>1124</v>
      </c>
      <c r="B302" s="23" t="s">
        <v>599</v>
      </c>
      <c r="C302" s="23" t="s">
        <v>71</v>
      </c>
      <c r="D302" s="23" t="s">
        <v>72</v>
      </c>
      <c r="E302" s="23" t="s">
        <v>1236</v>
      </c>
      <c r="F302" s="23" t="s">
        <v>1237</v>
      </c>
      <c r="G302" s="23" t="s">
        <v>1047</v>
      </c>
      <c r="H302" s="23" t="s">
        <v>1048</v>
      </c>
      <c r="I302" s="23" t="s">
        <v>1125</v>
      </c>
      <c r="J302" s="23" t="s">
        <v>1050</v>
      </c>
      <c r="K302" s="23" t="s">
        <v>1051</v>
      </c>
      <c r="L302" s="23" t="s">
        <v>1052</v>
      </c>
      <c r="M302" s="23">
        <v>1</v>
      </c>
      <c r="N302" s="23" t="s">
        <v>1021</v>
      </c>
      <c r="O302" s="23" t="s">
        <v>1238</v>
      </c>
    </row>
    <row r="303" spans="1:15">
      <c r="A303" s="23" t="s">
        <v>1127</v>
      </c>
      <c r="B303" s="23" t="s">
        <v>599</v>
      </c>
      <c r="C303" s="23" t="s">
        <v>71</v>
      </c>
      <c r="D303" s="23" t="s">
        <v>72</v>
      </c>
      <c r="E303" s="23" t="s">
        <v>1236</v>
      </c>
      <c r="F303" s="23" t="s">
        <v>1237</v>
      </c>
      <c r="G303" s="23" t="s">
        <v>1047</v>
      </c>
      <c r="H303" s="23" t="s">
        <v>1048</v>
      </c>
      <c r="I303" s="23" t="s">
        <v>1128</v>
      </c>
      <c r="J303" s="23" t="s">
        <v>1050</v>
      </c>
      <c r="K303" s="23" t="s">
        <v>1051</v>
      </c>
      <c r="L303" s="23" t="s">
        <v>1052</v>
      </c>
      <c r="M303" s="23">
        <v>1</v>
      </c>
      <c r="N303" s="23" t="s">
        <v>1021</v>
      </c>
      <c r="O303" s="23" t="s">
        <v>1238</v>
      </c>
    </row>
    <row r="304" spans="1:15">
      <c r="A304" s="23" t="s">
        <v>1133</v>
      </c>
      <c r="B304" s="23" t="s">
        <v>599</v>
      </c>
      <c r="C304" s="23" t="s">
        <v>71</v>
      </c>
      <c r="D304" s="23" t="s">
        <v>72</v>
      </c>
      <c r="E304" s="23" t="s">
        <v>1236</v>
      </c>
      <c r="F304" s="23" t="s">
        <v>1237</v>
      </c>
      <c r="G304" s="23" t="s">
        <v>1047</v>
      </c>
      <c r="H304" s="23" t="s">
        <v>1048</v>
      </c>
      <c r="I304" s="23" t="s">
        <v>1091</v>
      </c>
      <c r="J304" s="23" t="s">
        <v>1050</v>
      </c>
      <c r="K304" s="23" t="s">
        <v>1051</v>
      </c>
      <c r="L304" s="23" t="s">
        <v>1052</v>
      </c>
      <c r="M304" s="23">
        <v>1</v>
      </c>
      <c r="N304" s="23" t="s">
        <v>1021</v>
      </c>
      <c r="O304" s="23" t="s">
        <v>1238</v>
      </c>
    </row>
    <row r="305" spans="1:15">
      <c r="A305" s="23" t="s">
        <v>1134</v>
      </c>
      <c r="B305" s="23" t="s">
        <v>599</v>
      </c>
      <c r="C305" s="23" t="s">
        <v>71</v>
      </c>
      <c r="D305" s="23" t="s">
        <v>72</v>
      </c>
      <c r="E305" s="23" t="s">
        <v>1236</v>
      </c>
      <c r="F305" s="23" t="s">
        <v>1237</v>
      </c>
      <c r="G305" s="23" t="s">
        <v>1047</v>
      </c>
      <c r="H305" s="23" t="s">
        <v>1048</v>
      </c>
      <c r="I305" s="23" t="s">
        <v>1135</v>
      </c>
      <c r="J305" s="23" t="s">
        <v>1050</v>
      </c>
      <c r="K305" s="23" t="s">
        <v>1051</v>
      </c>
      <c r="L305" s="23" t="s">
        <v>1052</v>
      </c>
      <c r="M305" s="23">
        <v>1</v>
      </c>
      <c r="N305" s="23" t="s">
        <v>1021</v>
      </c>
      <c r="O305" s="23" t="s">
        <v>1238</v>
      </c>
    </row>
    <row r="306" spans="1:15">
      <c r="A306" s="23" t="s">
        <v>1136</v>
      </c>
      <c r="B306" s="23" t="s">
        <v>599</v>
      </c>
      <c r="C306" s="23" t="s">
        <v>71</v>
      </c>
      <c r="D306" s="23" t="s">
        <v>72</v>
      </c>
      <c r="E306" s="23" t="s">
        <v>1236</v>
      </c>
      <c r="F306" s="23" t="s">
        <v>1237</v>
      </c>
      <c r="G306" s="23" t="s">
        <v>1047</v>
      </c>
      <c r="H306" s="23" t="s">
        <v>1048</v>
      </c>
      <c r="I306" s="23" t="s">
        <v>1137</v>
      </c>
      <c r="J306" s="23" t="s">
        <v>1050</v>
      </c>
      <c r="K306" s="23" t="s">
        <v>1051</v>
      </c>
      <c r="L306" s="23" t="s">
        <v>1052</v>
      </c>
      <c r="M306" s="23">
        <v>1</v>
      </c>
      <c r="N306" s="23" t="s">
        <v>1021</v>
      </c>
      <c r="O306" s="23" t="s">
        <v>1238</v>
      </c>
    </row>
    <row r="307" spans="1:15">
      <c r="A307" s="23" t="s">
        <v>1127</v>
      </c>
      <c r="B307" s="23" t="s">
        <v>599</v>
      </c>
      <c r="C307" s="23" t="s">
        <v>71</v>
      </c>
      <c r="D307" s="23" t="s">
        <v>72</v>
      </c>
      <c r="E307" s="23" t="s">
        <v>1236</v>
      </c>
      <c r="F307" s="23" t="s">
        <v>1237</v>
      </c>
      <c r="G307" s="23" t="s">
        <v>1047</v>
      </c>
      <c r="H307" s="23" t="s">
        <v>1048</v>
      </c>
      <c r="I307" s="23" t="s">
        <v>1128</v>
      </c>
      <c r="J307" s="23" t="s">
        <v>1050</v>
      </c>
      <c r="K307" s="23" t="s">
        <v>1051</v>
      </c>
      <c r="L307" s="23" t="s">
        <v>1052</v>
      </c>
      <c r="M307" s="23">
        <v>1</v>
      </c>
      <c r="N307" s="23" t="s">
        <v>1021</v>
      </c>
      <c r="O307" s="23" t="s">
        <v>1238</v>
      </c>
    </row>
    <row r="308" spans="1:15">
      <c r="A308" s="23" t="s">
        <v>1133</v>
      </c>
      <c r="B308" s="23" t="s">
        <v>599</v>
      </c>
      <c r="C308" s="23" t="s">
        <v>71</v>
      </c>
      <c r="D308" s="23" t="s">
        <v>72</v>
      </c>
      <c r="E308" s="23" t="s">
        <v>1236</v>
      </c>
      <c r="F308" s="23" t="s">
        <v>1237</v>
      </c>
      <c r="G308" s="23" t="s">
        <v>1047</v>
      </c>
      <c r="H308" s="23" t="s">
        <v>1048</v>
      </c>
      <c r="I308" s="23" t="s">
        <v>1091</v>
      </c>
      <c r="J308" s="23" t="s">
        <v>1050</v>
      </c>
      <c r="K308" s="23" t="s">
        <v>1051</v>
      </c>
      <c r="L308" s="23" t="s">
        <v>1052</v>
      </c>
      <c r="M308" s="23">
        <v>1</v>
      </c>
      <c r="N308" s="23" t="s">
        <v>1021</v>
      </c>
      <c r="O308" s="23" t="s">
        <v>1238</v>
      </c>
    </row>
    <row r="309" spans="1:15">
      <c r="A309" s="23" t="s">
        <v>1134</v>
      </c>
      <c r="B309" s="23" t="s">
        <v>599</v>
      </c>
      <c r="C309" s="23" t="s">
        <v>71</v>
      </c>
      <c r="D309" s="23" t="s">
        <v>72</v>
      </c>
      <c r="E309" s="23" t="s">
        <v>1236</v>
      </c>
      <c r="F309" s="23" t="s">
        <v>1237</v>
      </c>
      <c r="G309" s="23" t="s">
        <v>1047</v>
      </c>
      <c r="H309" s="23" t="s">
        <v>1048</v>
      </c>
      <c r="I309" s="23" t="s">
        <v>1135</v>
      </c>
      <c r="J309" s="23" t="s">
        <v>1050</v>
      </c>
      <c r="K309" s="23" t="s">
        <v>1051</v>
      </c>
      <c r="L309" s="23" t="s">
        <v>1052</v>
      </c>
      <c r="M309" s="23">
        <v>1</v>
      </c>
      <c r="N309" s="23" t="s">
        <v>1021</v>
      </c>
      <c r="O309" s="23" t="s">
        <v>1238</v>
      </c>
    </row>
    <row r="310" spans="1:15">
      <c r="A310" s="23" t="s">
        <v>1136</v>
      </c>
      <c r="B310" s="23" t="s">
        <v>599</v>
      </c>
      <c r="C310" s="23" t="s">
        <v>71</v>
      </c>
      <c r="D310" s="23" t="s">
        <v>72</v>
      </c>
      <c r="E310" s="23" t="s">
        <v>1236</v>
      </c>
      <c r="F310" s="23" t="s">
        <v>1237</v>
      </c>
      <c r="G310" s="23" t="s">
        <v>1047</v>
      </c>
      <c r="H310" s="23" t="s">
        <v>1048</v>
      </c>
      <c r="I310" s="23" t="s">
        <v>1137</v>
      </c>
      <c r="J310" s="23" t="s">
        <v>1050</v>
      </c>
      <c r="K310" s="23" t="s">
        <v>1051</v>
      </c>
      <c r="L310" s="23" t="s">
        <v>1052</v>
      </c>
      <c r="M310" s="23">
        <v>1</v>
      </c>
      <c r="N310" s="23" t="s">
        <v>1021</v>
      </c>
      <c r="O310" s="23" t="s">
        <v>1238</v>
      </c>
    </row>
    <row r="311" spans="1:15">
      <c r="A311" s="23" t="s">
        <v>1138</v>
      </c>
      <c r="B311" s="23" t="s">
        <v>599</v>
      </c>
      <c r="C311" s="23" t="s">
        <v>71</v>
      </c>
      <c r="D311" s="23" t="s">
        <v>72</v>
      </c>
      <c r="E311" s="23" t="s">
        <v>1236</v>
      </c>
      <c r="F311" s="23" t="s">
        <v>1237</v>
      </c>
      <c r="G311" s="23" t="s">
        <v>1047</v>
      </c>
      <c r="H311" s="23" t="s">
        <v>1048</v>
      </c>
      <c r="I311" s="23" t="s">
        <v>1091</v>
      </c>
      <c r="J311" s="23" t="s">
        <v>1050</v>
      </c>
      <c r="K311" s="23" t="s">
        <v>1051</v>
      </c>
      <c r="L311" s="23" t="s">
        <v>1052</v>
      </c>
      <c r="M311" s="23">
        <v>1</v>
      </c>
      <c r="N311" s="23" t="s">
        <v>1021</v>
      </c>
      <c r="O311" s="23" t="s">
        <v>1238</v>
      </c>
    </row>
    <row r="312" spans="1:15">
      <c r="A312" s="23" t="s">
        <v>1139</v>
      </c>
      <c r="B312" s="23" t="s">
        <v>599</v>
      </c>
      <c r="C312" s="23" t="s">
        <v>71</v>
      </c>
      <c r="D312" s="23" t="s">
        <v>72</v>
      </c>
      <c r="E312" s="23" t="s">
        <v>1236</v>
      </c>
      <c r="F312" s="23" t="s">
        <v>1237</v>
      </c>
      <c r="G312" s="23" t="s">
        <v>1047</v>
      </c>
      <c r="H312" s="23" t="s">
        <v>1048</v>
      </c>
      <c r="I312" s="23" t="s">
        <v>1093</v>
      </c>
      <c r="J312" s="23" t="s">
        <v>1050</v>
      </c>
      <c r="K312" s="23" t="s">
        <v>1051</v>
      </c>
      <c r="L312" s="23" t="s">
        <v>1052</v>
      </c>
      <c r="M312" s="23">
        <v>1</v>
      </c>
      <c r="N312" s="23" t="s">
        <v>1021</v>
      </c>
      <c r="O312" s="23" t="s">
        <v>1238</v>
      </c>
    </row>
    <row r="313" spans="1:15">
      <c r="A313" s="23" t="s">
        <v>1138</v>
      </c>
      <c r="B313" s="23" t="s">
        <v>599</v>
      </c>
      <c r="C313" s="23" t="s">
        <v>71</v>
      </c>
      <c r="D313" s="23" t="s">
        <v>72</v>
      </c>
      <c r="E313" s="23" t="s">
        <v>1236</v>
      </c>
      <c r="F313" s="23" t="s">
        <v>1237</v>
      </c>
      <c r="G313" s="23" t="s">
        <v>1047</v>
      </c>
      <c r="H313" s="23" t="s">
        <v>1048</v>
      </c>
      <c r="I313" s="23" t="s">
        <v>1091</v>
      </c>
      <c r="J313" s="23" t="s">
        <v>1050</v>
      </c>
      <c r="K313" s="23" t="s">
        <v>1051</v>
      </c>
      <c r="L313" s="23" t="s">
        <v>1052</v>
      </c>
      <c r="M313" s="23">
        <v>1</v>
      </c>
      <c r="N313" s="23" t="s">
        <v>1021</v>
      </c>
      <c r="O313" s="23" t="s">
        <v>1238</v>
      </c>
    </row>
    <row r="314" spans="1:15">
      <c r="A314" s="23" t="s">
        <v>1139</v>
      </c>
      <c r="B314" s="23" t="s">
        <v>599</v>
      </c>
      <c r="C314" s="23" t="s">
        <v>71</v>
      </c>
      <c r="D314" s="23" t="s">
        <v>72</v>
      </c>
      <c r="E314" s="23" t="s">
        <v>1236</v>
      </c>
      <c r="F314" s="23" t="s">
        <v>1237</v>
      </c>
      <c r="G314" s="23" t="s">
        <v>1047</v>
      </c>
      <c r="H314" s="23" t="s">
        <v>1048</v>
      </c>
      <c r="I314" s="23" t="s">
        <v>1093</v>
      </c>
      <c r="J314" s="23" t="s">
        <v>1050</v>
      </c>
      <c r="K314" s="23" t="s">
        <v>1051</v>
      </c>
      <c r="L314" s="23" t="s">
        <v>1052</v>
      </c>
      <c r="M314" s="23">
        <v>1</v>
      </c>
      <c r="N314" s="23" t="s">
        <v>1021</v>
      </c>
      <c r="O314" s="23" t="s">
        <v>1238</v>
      </c>
    </row>
    <row r="315" spans="1:15">
      <c r="A315" s="23" t="s">
        <v>1140</v>
      </c>
      <c r="B315" s="23" t="s">
        <v>599</v>
      </c>
      <c r="C315" s="23" t="s">
        <v>71</v>
      </c>
      <c r="D315" s="23" t="s">
        <v>72</v>
      </c>
      <c r="E315" s="23" t="s">
        <v>1236</v>
      </c>
      <c r="F315" s="23" t="s">
        <v>1237</v>
      </c>
      <c r="G315" s="23" t="s">
        <v>1047</v>
      </c>
      <c r="H315" s="23" t="s">
        <v>1048</v>
      </c>
      <c r="I315" s="23" t="s">
        <v>1141</v>
      </c>
      <c r="J315" s="23" t="s">
        <v>1050</v>
      </c>
      <c r="K315" s="23" t="s">
        <v>1051</v>
      </c>
      <c r="L315" s="23" t="s">
        <v>1052</v>
      </c>
      <c r="M315" s="23">
        <v>1</v>
      </c>
      <c r="N315" s="23" t="s">
        <v>1021</v>
      </c>
      <c r="O315" s="23" t="s">
        <v>1238</v>
      </c>
    </row>
    <row r="316" spans="1:15">
      <c r="A316" s="23" t="s">
        <v>1142</v>
      </c>
      <c r="B316" s="23" t="s">
        <v>599</v>
      </c>
      <c r="C316" s="23" t="s">
        <v>71</v>
      </c>
      <c r="D316" s="23" t="s">
        <v>72</v>
      </c>
      <c r="E316" s="23" t="s">
        <v>1236</v>
      </c>
      <c r="F316" s="23" t="s">
        <v>1237</v>
      </c>
      <c r="G316" s="23" t="s">
        <v>1047</v>
      </c>
      <c r="H316" s="23" t="s">
        <v>1048</v>
      </c>
      <c r="I316" s="23" t="s">
        <v>1093</v>
      </c>
      <c r="J316" s="23" t="s">
        <v>1050</v>
      </c>
      <c r="K316" s="23" t="s">
        <v>1051</v>
      </c>
      <c r="L316" s="23" t="s">
        <v>1052</v>
      </c>
      <c r="M316" s="23">
        <v>1</v>
      </c>
      <c r="N316" s="23" t="s">
        <v>1021</v>
      </c>
      <c r="O316" s="23" t="s">
        <v>1238</v>
      </c>
    </row>
    <row r="317" spans="1:15">
      <c r="A317" s="23" t="s">
        <v>1143</v>
      </c>
      <c r="B317" s="23" t="s">
        <v>599</v>
      </c>
      <c r="C317" s="23" t="s">
        <v>71</v>
      </c>
      <c r="D317" s="23" t="s">
        <v>72</v>
      </c>
      <c r="E317" s="23" t="s">
        <v>1236</v>
      </c>
      <c r="F317" s="23" t="s">
        <v>1237</v>
      </c>
      <c r="G317" s="23" t="s">
        <v>1047</v>
      </c>
      <c r="H317" s="23" t="s">
        <v>1048</v>
      </c>
      <c r="I317" s="23" t="s">
        <v>1095</v>
      </c>
      <c r="J317" s="23" t="s">
        <v>1050</v>
      </c>
      <c r="K317" s="23" t="s">
        <v>1051</v>
      </c>
      <c r="L317" s="23" t="s">
        <v>1052</v>
      </c>
      <c r="M317" s="23">
        <v>1</v>
      </c>
      <c r="N317" s="23" t="s">
        <v>1021</v>
      </c>
      <c r="O317" s="23" t="s">
        <v>1238</v>
      </c>
    </row>
    <row r="318" spans="1:15">
      <c r="A318" s="23" t="s">
        <v>1140</v>
      </c>
      <c r="B318" s="23" t="s">
        <v>599</v>
      </c>
      <c r="C318" s="23" t="s">
        <v>71</v>
      </c>
      <c r="D318" s="23" t="s">
        <v>72</v>
      </c>
      <c r="E318" s="23" t="s">
        <v>1236</v>
      </c>
      <c r="F318" s="23" t="s">
        <v>1237</v>
      </c>
      <c r="G318" s="23" t="s">
        <v>1047</v>
      </c>
      <c r="H318" s="23" t="s">
        <v>1048</v>
      </c>
      <c r="I318" s="23" t="s">
        <v>1141</v>
      </c>
      <c r="J318" s="23" t="s">
        <v>1050</v>
      </c>
      <c r="K318" s="23" t="s">
        <v>1051</v>
      </c>
      <c r="L318" s="23" t="s">
        <v>1052</v>
      </c>
      <c r="M318" s="23">
        <v>1</v>
      </c>
      <c r="N318" s="23" t="s">
        <v>1021</v>
      </c>
      <c r="O318" s="23" t="s">
        <v>1238</v>
      </c>
    </row>
    <row r="319" spans="1:15">
      <c r="A319" s="23" t="s">
        <v>1142</v>
      </c>
      <c r="B319" s="23" t="s">
        <v>599</v>
      </c>
      <c r="C319" s="23" t="s">
        <v>71</v>
      </c>
      <c r="D319" s="23" t="s">
        <v>72</v>
      </c>
      <c r="E319" s="23" t="s">
        <v>1236</v>
      </c>
      <c r="F319" s="23" t="s">
        <v>1237</v>
      </c>
      <c r="G319" s="23" t="s">
        <v>1047</v>
      </c>
      <c r="H319" s="23" t="s">
        <v>1048</v>
      </c>
      <c r="I319" s="23" t="s">
        <v>1093</v>
      </c>
      <c r="J319" s="23" t="s">
        <v>1050</v>
      </c>
      <c r="K319" s="23" t="s">
        <v>1051</v>
      </c>
      <c r="L319" s="23" t="s">
        <v>1052</v>
      </c>
      <c r="M319" s="23">
        <v>1</v>
      </c>
      <c r="N319" s="23" t="s">
        <v>1021</v>
      </c>
      <c r="O319" s="23" t="s">
        <v>1238</v>
      </c>
    </row>
    <row r="320" spans="1:15">
      <c r="A320" s="23" t="s">
        <v>1143</v>
      </c>
      <c r="B320" s="23" t="s">
        <v>599</v>
      </c>
      <c r="C320" s="23" t="s">
        <v>71</v>
      </c>
      <c r="D320" s="23" t="s">
        <v>72</v>
      </c>
      <c r="E320" s="23" t="s">
        <v>1236</v>
      </c>
      <c r="F320" s="23" t="s">
        <v>1237</v>
      </c>
      <c r="G320" s="23" t="s">
        <v>1047</v>
      </c>
      <c r="H320" s="23" t="s">
        <v>1048</v>
      </c>
      <c r="I320" s="23" t="s">
        <v>1095</v>
      </c>
      <c r="J320" s="23" t="s">
        <v>1050</v>
      </c>
      <c r="K320" s="23" t="s">
        <v>1051</v>
      </c>
      <c r="L320" s="23" t="s">
        <v>1052</v>
      </c>
      <c r="M320" s="23">
        <v>1</v>
      </c>
      <c r="N320" s="23" t="s">
        <v>1021</v>
      </c>
      <c r="O320" s="23" t="s">
        <v>1238</v>
      </c>
    </row>
    <row r="321" spans="1:15">
      <c r="A321" s="23" t="s">
        <v>1144</v>
      </c>
      <c r="B321" s="23" t="s">
        <v>599</v>
      </c>
      <c r="C321" s="23" t="s">
        <v>71</v>
      </c>
      <c r="D321" s="23" t="s">
        <v>72</v>
      </c>
      <c r="E321" s="23" t="s">
        <v>1236</v>
      </c>
      <c r="F321" s="23" t="s">
        <v>1237</v>
      </c>
      <c r="G321" s="23" t="s">
        <v>1047</v>
      </c>
      <c r="H321" s="23" t="s">
        <v>1048</v>
      </c>
      <c r="I321" s="23" t="s">
        <v>1145</v>
      </c>
      <c r="J321" s="23" t="s">
        <v>1050</v>
      </c>
      <c r="K321" s="23" t="s">
        <v>1051</v>
      </c>
      <c r="L321" s="23" t="s">
        <v>1052</v>
      </c>
      <c r="M321" s="23">
        <v>1</v>
      </c>
      <c r="N321" s="23" t="s">
        <v>1021</v>
      </c>
      <c r="O321" s="23" t="s">
        <v>1238</v>
      </c>
    </row>
    <row r="322" spans="1:15">
      <c r="A322" s="23" t="s">
        <v>1144</v>
      </c>
      <c r="B322" s="23" t="s">
        <v>599</v>
      </c>
      <c r="C322" s="23" t="s">
        <v>71</v>
      </c>
      <c r="D322" s="23" t="s">
        <v>72</v>
      </c>
      <c r="E322" s="23" t="s">
        <v>1236</v>
      </c>
      <c r="F322" s="23" t="s">
        <v>1237</v>
      </c>
      <c r="G322" s="23" t="s">
        <v>1047</v>
      </c>
      <c r="H322" s="23" t="s">
        <v>1048</v>
      </c>
      <c r="I322" s="23" t="s">
        <v>1145</v>
      </c>
      <c r="J322" s="23" t="s">
        <v>1050</v>
      </c>
      <c r="K322" s="23" t="s">
        <v>1051</v>
      </c>
      <c r="L322" s="23" t="s">
        <v>1052</v>
      </c>
      <c r="M322" s="23">
        <v>1</v>
      </c>
      <c r="N322" s="23" t="s">
        <v>1021</v>
      </c>
      <c r="O322" s="23" t="s">
        <v>1238</v>
      </c>
    </row>
    <row r="323" spans="1:15">
      <c r="A323" s="23" t="s">
        <v>1146</v>
      </c>
      <c r="B323" s="23" t="s">
        <v>599</v>
      </c>
      <c r="C323" s="23" t="s">
        <v>71</v>
      </c>
      <c r="D323" s="23" t="s">
        <v>72</v>
      </c>
      <c r="E323" s="23" t="s">
        <v>1236</v>
      </c>
      <c r="F323" s="23" t="s">
        <v>1237</v>
      </c>
      <c r="G323" s="23" t="s">
        <v>1047</v>
      </c>
      <c r="H323" s="23" t="s">
        <v>1048</v>
      </c>
      <c r="I323" s="23" t="s">
        <v>1095</v>
      </c>
      <c r="J323" s="23" t="s">
        <v>1050</v>
      </c>
      <c r="K323" s="23" t="s">
        <v>1051</v>
      </c>
      <c r="L323" s="23" t="s">
        <v>1052</v>
      </c>
      <c r="M323" s="23">
        <v>1</v>
      </c>
      <c r="N323" s="23" t="s">
        <v>1021</v>
      </c>
      <c r="O323" s="23" t="s">
        <v>1238</v>
      </c>
    </row>
    <row r="324" spans="1:15">
      <c r="A324" s="23" t="s">
        <v>1146</v>
      </c>
      <c r="B324" s="23" t="s">
        <v>599</v>
      </c>
      <c r="C324" s="23" t="s">
        <v>71</v>
      </c>
      <c r="D324" s="23" t="s">
        <v>72</v>
      </c>
      <c r="E324" s="23" t="s">
        <v>1236</v>
      </c>
      <c r="F324" s="23" t="s">
        <v>1237</v>
      </c>
      <c r="G324" s="23" t="s">
        <v>1047</v>
      </c>
      <c r="H324" s="23" t="s">
        <v>1048</v>
      </c>
      <c r="I324" s="23" t="s">
        <v>1095</v>
      </c>
      <c r="J324" s="23" t="s">
        <v>1050</v>
      </c>
      <c r="K324" s="23" t="s">
        <v>1051</v>
      </c>
      <c r="L324" s="23" t="s">
        <v>1052</v>
      </c>
      <c r="M324" s="23">
        <v>1</v>
      </c>
      <c r="N324" s="23" t="s">
        <v>1021</v>
      </c>
      <c r="O324" s="23" t="s">
        <v>1238</v>
      </c>
    </row>
    <row r="325" spans="1:15">
      <c r="A325" s="23" t="s">
        <v>1147</v>
      </c>
      <c r="B325" s="23" t="s">
        <v>599</v>
      </c>
      <c r="C325" s="23" t="s">
        <v>71</v>
      </c>
      <c r="D325" s="23" t="s">
        <v>72</v>
      </c>
      <c r="E325" s="23" t="s">
        <v>1236</v>
      </c>
      <c r="F325" s="23" t="s">
        <v>1237</v>
      </c>
      <c r="G325" s="23" t="s">
        <v>1047</v>
      </c>
      <c r="H325" s="23" t="s">
        <v>1048</v>
      </c>
      <c r="I325" s="23" t="s">
        <v>1091</v>
      </c>
      <c r="J325" s="23" t="s">
        <v>1050</v>
      </c>
      <c r="K325" s="23" t="s">
        <v>1051</v>
      </c>
      <c r="L325" s="23" t="s">
        <v>1052</v>
      </c>
      <c r="M325" s="23">
        <v>1</v>
      </c>
      <c r="N325" s="23" t="s">
        <v>1021</v>
      </c>
      <c r="O325" s="23" t="s">
        <v>1238</v>
      </c>
    </row>
    <row r="326" spans="1:15">
      <c r="A326" s="23" t="s">
        <v>1148</v>
      </c>
      <c r="B326" s="23" t="s">
        <v>599</v>
      </c>
      <c r="C326" s="23" t="s">
        <v>71</v>
      </c>
      <c r="D326" s="23" t="s">
        <v>72</v>
      </c>
      <c r="E326" s="23" t="s">
        <v>1236</v>
      </c>
      <c r="F326" s="23" t="s">
        <v>1237</v>
      </c>
      <c r="G326" s="23" t="s">
        <v>1047</v>
      </c>
      <c r="H326" s="23" t="s">
        <v>1048</v>
      </c>
      <c r="I326" s="23" t="s">
        <v>1093</v>
      </c>
      <c r="J326" s="23" t="s">
        <v>1050</v>
      </c>
      <c r="K326" s="23" t="s">
        <v>1051</v>
      </c>
      <c r="L326" s="23" t="s">
        <v>1052</v>
      </c>
      <c r="M326" s="23">
        <v>1</v>
      </c>
      <c r="N326" s="23" t="s">
        <v>1021</v>
      </c>
      <c r="O326" s="23" t="s">
        <v>1238</v>
      </c>
    </row>
    <row r="327" spans="1:15">
      <c r="A327" s="23" t="s">
        <v>1147</v>
      </c>
      <c r="B327" s="23" t="s">
        <v>599</v>
      </c>
      <c r="C327" s="23" t="s">
        <v>71</v>
      </c>
      <c r="D327" s="23" t="s">
        <v>72</v>
      </c>
      <c r="E327" s="23" t="s">
        <v>1236</v>
      </c>
      <c r="F327" s="23" t="s">
        <v>1237</v>
      </c>
      <c r="G327" s="23" t="s">
        <v>1047</v>
      </c>
      <c r="H327" s="23" t="s">
        <v>1048</v>
      </c>
      <c r="I327" s="23" t="s">
        <v>1091</v>
      </c>
      <c r="J327" s="23" t="s">
        <v>1050</v>
      </c>
      <c r="K327" s="23" t="s">
        <v>1051</v>
      </c>
      <c r="L327" s="23" t="s">
        <v>1052</v>
      </c>
      <c r="M327" s="23">
        <v>1</v>
      </c>
      <c r="N327" s="23" t="s">
        <v>1021</v>
      </c>
      <c r="O327" s="23" t="s">
        <v>1238</v>
      </c>
    </row>
    <row r="328" spans="1:15">
      <c r="A328" s="23" t="s">
        <v>1148</v>
      </c>
      <c r="B328" s="23" t="s">
        <v>599</v>
      </c>
      <c r="C328" s="23" t="s">
        <v>71</v>
      </c>
      <c r="D328" s="23" t="s">
        <v>72</v>
      </c>
      <c r="E328" s="23" t="s">
        <v>1236</v>
      </c>
      <c r="F328" s="23" t="s">
        <v>1237</v>
      </c>
      <c r="G328" s="23" t="s">
        <v>1047</v>
      </c>
      <c r="H328" s="23" t="s">
        <v>1048</v>
      </c>
      <c r="I328" s="23" t="s">
        <v>1093</v>
      </c>
      <c r="J328" s="23" t="s">
        <v>1050</v>
      </c>
      <c r="K328" s="23" t="s">
        <v>1051</v>
      </c>
      <c r="L328" s="23" t="s">
        <v>1052</v>
      </c>
      <c r="M328" s="23">
        <v>1</v>
      </c>
      <c r="N328" s="23" t="s">
        <v>1021</v>
      </c>
      <c r="O328" s="23" t="s">
        <v>1238</v>
      </c>
    </row>
    <row r="329" spans="1:15">
      <c r="A329" s="23" t="s">
        <v>1149</v>
      </c>
      <c r="B329" s="23" t="s">
        <v>599</v>
      </c>
      <c r="C329" s="23" t="s">
        <v>71</v>
      </c>
      <c r="D329" s="23" t="s">
        <v>72</v>
      </c>
      <c r="E329" s="23" t="s">
        <v>1236</v>
      </c>
      <c r="F329" s="23" t="s">
        <v>1237</v>
      </c>
      <c r="G329" s="23" t="s">
        <v>1047</v>
      </c>
      <c r="H329" s="23" t="s">
        <v>1048</v>
      </c>
      <c r="I329" s="23" t="s">
        <v>1095</v>
      </c>
      <c r="J329" s="23" t="s">
        <v>1050</v>
      </c>
      <c r="K329" s="23" t="s">
        <v>1051</v>
      </c>
      <c r="L329" s="23" t="s">
        <v>1052</v>
      </c>
      <c r="M329" s="23">
        <v>1</v>
      </c>
      <c r="N329" s="23" t="s">
        <v>1021</v>
      </c>
      <c r="O329" s="23" t="s">
        <v>1238</v>
      </c>
    </row>
    <row r="330" spans="1:15">
      <c r="A330" s="23" t="s">
        <v>1149</v>
      </c>
      <c r="B330" s="23" t="s">
        <v>599</v>
      </c>
      <c r="C330" s="23" t="s">
        <v>71</v>
      </c>
      <c r="D330" s="23" t="s">
        <v>72</v>
      </c>
      <c r="E330" s="23" t="s">
        <v>1236</v>
      </c>
      <c r="F330" s="23" t="s">
        <v>1237</v>
      </c>
      <c r="G330" s="23" t="s">
        <v>1047</v>
      </c>
      <c r="H330" s="23" t="s">
        <v>1048</v>
      </c>
      <c r="I330" s="23" t="s">
        <v>1095</v>
      </c>
      <c r="J330" s="23" t="s">
        <v>1050</v>
      </c>
      <c r="K330" s="23" t="s">
        <v>1051</v>
      </c>
      <c r="L330" s="23" t="s">
        <v>1052</v>
      </c>
      <c r="M330" s="23">
        <v>1</v>
      </c>
      <c r="N330" s="23" t="s">
        <v>1021</v>
      </c>
      <c r="O330" s="23" t="s">
        <v>1238</v>
      </c>
    </row>
    <row r="331" spans="1:15">
      <c r="A331" s="23" t="s">
        <v>1081</v>
      </c>
      <c r="B331" s="23" t="s">
        <v>599</v>
      </c>
      <c r="C331" s="23" t="s">
        <v>78</v>
      </c>
      <c r="D331" s="23" t="s">
        <v>79</v>
      </c>
      <c r="E331" s="23" t="s">
        <v>1239</v>
      </c>
      <c r="F331" s="23" t="s">
        <v>1240</v>
      </c>
      <c r="G331" s="23" t="s">
        <v>1047</v>
      </c>
      <c r="H331" s="23" t="s">
        <v>1048</v>
      </c>
      <c r="I331" s="23" t="s">
        <v>1084</v>
      </c>
      <c r="J331" s="23" t="s">
        <v>1050</v>
      </c>
      <c r="K331" s="23" t="s">
        <v>1051</v>
      </c>
      <c r="L331" s="23" t="s">
        <v>1052</v>
      </c>
      <c r="M331" s="23">
        <v>1</v>
      </c>
      <c r="N331" s="23" t="s">
        <v>1021</v>
      </c>
      <c r="O331" s="23" t="s">
        <v>1241</v>
      </c>
    </row>
    <row r="332" spans="1:15">
      <c r="A332" s="23" t="s">
        <v>1150</v>
      </c>
      <c r="B332" s="23" t="s">
        <v>599</v>
      </c>
      <c r="C332" s="23" t="s">
        <v>78</v>
      </c>
      <c r="D332" s="23" t="s">
        <v>79</v>
      </c>
      <c r="E332" s="23" t="s">
        <v>1239</v>
      </c>
      <c r="F332" s="23" t="s">
        <v>1240</v>
      </c>
      <c r="G332" s="23" t="s">
        <v>1047</v>
      </c>
      <c r="H332" s="23" t="s">
        <v>1048</v>
      </c>
      <c r="I332" s="23" t="s">
        <v>1153</v>
      </c>
      <c r="J332" s="23" t="s">
        <v>1050</v>
      </c>
      <c r="K332" s="23" t="s">
        <v>1051</v>
      </c>
      <c r="L332" s="23" t="s">
        <v>1052</v>
      </c>
      <c r="M332" s="23">
        <v>1</v>
      </c>
      <c r="N332" s="23" t="s">
        <v>1021</v>
      </c>
      <c r="O332" s="23" t="s">
        <v>1241</v>
      </c>
    </row>
    <row r="333" spans="1:15">
      <c r="A333" s="23" t="s">
        <v>1081</v>
      </c>
      <c r="B333" s="23" t="s">
        <v>599</v>
      </c>
      <c r="C333" s="23" t="s">
        <v>78</v>
      </c>
      <c r="D333" s="23" t="s">
        <v>79</v>
      </c>
      <c r="E333" s="23" t="s">
        <v>1239</v>
      </c>
      <c r="F333" s="23" t="s">
        <v>1240</v>
      </c>
      <c r="G333" s="23" t="s">
        <v>1047</v>
      </c>
      <c r="H333" s="23" t="s">
        <v>1048</v>
      </c>
      <c r="I333" s="23" t="s">
        <v>1084</v>
      </c>
      <c r="J333" s="23" t="s">
        <v>1050</v>
      </c>
      <c r="K333" s="23" t="s">
        <v>1051</v>
      </c>
      <c r="L333" s="23" t="s">
        <v>1052</v>
      </c>
      <c r="M333" s="23">
        <v>1</v>
      </c>
      <c r="N333" s="23" t="s">
        <v>1021</v>
      </c>
      <c r="O333" s="23" t="s">
        <v>1241</v>
      </c>
    </row>
    <row r="334" spans="1:15">
      <c r="A334" s="23" t="s">
        <v>1150</v>
      </c>
      <c r="B334" s="23" t="s">
        <v>599</v>
      </c>
      <c r="C334" s="23" t="s">
        <v>78</v>
      </c>
      <c r="D334" s="23" t="s">
        <v>79</v>
      </c>
      <c r="E334" s="23" t="s">
        <v>1239</v>
      </c>
      <c r="F334" s="23" t="s">
        <v>1240</v>
      </c>
      <c r="G334" s="23" t="s">
        <v>1047</v>
      </c>
      <c r="H334" s="23" t="s">
        <v>1048</v>
      </c>
      <c r="I334" s="23" t="s">
        <v>1153</v>
      </c>
      <c r="J334" s="23" t="s">
        <v>1050</v>
      </c>
      <c r="K334" s="23" t="s">
        <v>1051</v>
      </c>
      <c r="L334" s="23" t="s">
        <v>1052</v>
      </c>
      <c r="M334" s="23">
        <v>1</v>
      </c>
      <c r="N334" s="23" t="s">
        <v>1021</v>
      </c>
      <c r="O334" s="23" t="s">
        <v>1241</v>
      </c>
    </row>
    <row r="335" spans="1:15">
      <c r="A335" s="23" t="s">
        <v>1104</v>
      </c>
      <c r="B335" s="23" t="s">
        <v>599</v>
      </c>
      <c r="C335" s="23" t="s">
        <v>78</v>
      </c>
      <c r="D335" s="23" t="s">
        <v>79</v>
      </c>
      <c r="E335" s="23" t="s">
        <v>1239</v>
      </c>
      <c r="F335" s="23" t="s">
        <v>1240</v>
      </c>
      <c r="G335" s="23" t="s">
        <v>1047</v>
      </c>
      <c r="H335" s="23" t="s">
        <v>1048</v>
      </c>
      <c r="I335" s="23" t="s">
        <v>1105</v>
      </c>
      <c r="J335" s="23" t="s">
        <v>1050</v>
      </c>
      <c r="K335" s="23" t="s">
        <v>1051</v>
      </c>
      <c r="L335" s="23" t="s">
        <v>1052</v>
      </c>
      <c r="M335" s="23">
        <v>1</v>
      </c>
      <c r="N335" s="23" t="s">
        <v>1021</v>
      </c>
      <c r="O335" s="23" t="s">
        <v>1241</v>
      </c>
    </row>
    <row r="336" spans="1:15">
      <c r="A336" s="23" t="s">
        <v>1155</v>
      </c>
      <c r="B336" s="23" t="s">
        <v>599</v>
      </c>
      <c r="C336" s="23" t="s">
        <v>78</v>
      </c>
      <c r="D336" s="23" t="s">
        <v>79</v>
      </c>
      <c r="E336" s="23" t="s">
        <v>1239</v>
      </c>
      <c r="F336" s="23" t="s">
        <v>1240</v>
      </c>
      <c r="G336" s="23" t="s">
        <v>1047</v>
      </c>
      <c r="H336" s="23" t="s">
        <v>1048</v>
      </c>
      <c r="I336" s="23" t="s">
        <v>1156</v>
      </c>
      <c r="J336" s="23" t="s">
        <v>1050</v>
      </c>
      <c r="K336" s="23" t="s">
        <v>1051</v>
      </c>
      <c r="L336" s="23" t="s">
        <v>1052</v>
      </c>
      <c r="M336" s="23">
        <v>1</v>
      </c>
      <c r="N336" s="23" t="s">
        <v>1021</v>
      </c>
      <c r="O336" s="23" t="s">
        <v>1241</v>
      </c>
    </row>
    <row r="337" spans="1:15">
      <c r="A337" s="23" t="s">
        <v>1108</v>
      </c>
      <c r="B337" s="23" t="s">
        <v>599</v>
      </c>
      <c r="C337" s="23" t="s">
        <v>78</v>
      </c>
      <c r="D337" s="23" t="s">
        <v>79</v>
      </c>
      <c r="E337" s="23" t="s">
        <v>1239</v>
      </c>
      <c r="F337" s="23" t="s">
        <v>1240</v>
      </c>
      <c r="G337" s="23" t="s">
        <v>1047</v>
      </c>
      <c r="H337" s="23" t="s">
        <v>1048</v>
      </c>
      <c r="I337" s="23" t="s">
        <v>1109</v>
      </c>
      <c r="J337" s="23" t="s">
        <v>1050</v>
      </c>
      <c r="K337" s="23" t="s">
        <v>1051</v>
      </c>
      <c r="L337" s="23" t="s">
        <v>1052</v>
      </c>
      <c r="M337" s="23">
        <v>1</v>
      </c>
      <c r="N337" s="23" t="s">
        <v>1021</v>
      </c>
      <c r="O337" s="23" t="s">
        <v>1241</v>
      </c>
    </row>
    <row r="338" spans="1:15">
      <c r="A338" s="23" t="s">
        <v>1157</v>
      </c>
      <c r="B338" s="23" t="s">
        <v>599</v>
      </c>
      <c r="C338" s="23" t="s">
        <v>78</v>
      </c>
      <c r="D338" s="23" t="s">
        <v>79</v>
      </c>
      <c r="E338" s="23" t="s">
        <v>1239</v>
      </c>
      <c r="F338" s="23" t="s">
        <v>1240</v>
      </c>
      <c r="G338" s="23" t="s">
        <v>1047</v>
      </c>
      <c r="H338" s="23" t="s">
        <v>1048</v>
      </c>
      <c r="I338" s="23" t="s">
        <v>1158</v>
      </c>
      <c r="J338" s="23" t="s">
        <v>1050</v>
      </c>
      <c r="K338" s="23" t="s">
        <v>1051</v>
      </c>
      <c r="L338" s="23" t="s">
        <v>1052</v>
      </c>
      <c r="M338" s="23">
        <v>1</v>
      </c>
      <c r="N338" s="23" t="s">
        <v>1021</v>
      </c>
      <c r="O338" s="23" t="s">
        <v>1241</v>
      </c>
    </row>
    <row r="339" spans="1:15">
      <c r="A339" s="23" t="s">
        <v>1112</v>
      </c>
      <c r="B339" s="23" t="s">
        <v>599</v>
      </c>
      <c r="C339" s="23" t="s">
        <v>78</v>
      </c>
      <c r="D339" s="23" t="s">
        <v>79</v>
      </c>
      <c r="E339" s="23" t="s">
        <v>1239</v>
      </c>
      <c r="F339" s="23" t="s">
        <v>1240</v>
      </c>
      <c r="G339" s="23" t="s">
        <v>1047</v>
      </c>
      <c r="H339" s="23" t="s">
        <v>1048</v>
      </c>
      <c r="I339" s="23" t="s">
        <v>1084</v>
      </c>
      <c r="J339" s="23" t="s">
        <v>1050</v>
      </c>
      <c r="K339" s="23" t="s">
        <v>1051</v>
      </c>
      <c r="L339" s="23" t="s">
        <v>1052</v>
      </c>
      <c r="M339" s="23">
        <v>1</v>
      </c>
      <c r="N339" s="23" t="s">
        <v>1021</v>
      </c>
      <c r="O339" s="23" t="s">
        <v>1241</v>
      </c>
    </row>
    <row r="340" spans="1:15">
      <c r="A340" s="23" t="s">
        <v>1159</v>
      </c>
      <c r="B340" s="23" t="s">
        <v>599</v>
      </c>
      <c r="C340" s="23" t="s">
        <v>78</v>
      </c>
      <c r="D340" s="23" t="s">
        <v>79</v>
      </c>
      <c r="E340" s="23" t="s">
        <v>1239</v>
      </c>
      <c r="F340" s="23" t="s">
        <v>1240</v>
      </c>
      <c r="G340" s="23" t="s">
        <v>1047</v>
      </c>
      <c r="H340" s="23" t="s">
        <v>1048</v>
      </c>
      <c r="I340" s="23" t="s">
        <v>1153</v>
      </c>
      <c r="J340" s="23" t="s">
        <v>1050</v>
      </c>
      <c r="K340" s="23" t="s">
        <v>1051</v>
      </c>
      <c r="L340" s="23" t="s">
        <v>1052</v>
      </c>
      <c r="M340" s="23">
        <v>1</v>
      </c>
      <c r="N340" s="23" t="s">
        <v>1021</v>
      </c>
      <c r="O340" s="23" t="s">
        <v>1241</v>
      </c>
    </row>
    <row r="341" spans="1:15">
      <c r="A341" s="23" t="s">
        <v>1104</v>
      </c>
      <c r="B341" s="23" t="s">
        <v>599</v>
      </c>
      <c r="C341" s="23" t="s">
        <v>78</v>
      </c>
      <c r="D341" s="23" t="s">
        <v>79</v>
      </c>
      <c r="E341" s="23" t="s">
        <v>1239</v>
      </c>
      <c r="F341" s="23" t="s">
        <v>1240</v>
      </c>
      <c r="G341" s="23" t="s">
        <v>1047</v>
      </c>
      <c r="H341" s="23" t="s">
        <v>1048</v>
      </c>
      <c r="I341" s="23" t="s">
        <v>1105</v>
      </c>
      <c r="J341" s="23" t="s">
        <v>1050</v>
      </c>
      <c r="K341" s="23" t="s">
        <v>1051</v>
      </c>
      <c r="L341" s="23" t="s">
        <v>1052</v>
      </c>
      <c r="M341" s="23">
        <v>1</v>
      </c>
      <c r="N341" s="23" t="s">
        <v>1021</v>
      </c>
      <c r="O341" s="23" t="s">
        <v>1241</v>
      </c>
    </row>
    <row r="342" spans="1:15">
      <c r="A342" s="23" t="s">
        <v>1155</v>
      </c>
      <c r="B342" s="23" t="s">
        <v>599</v>
      </c>
      <c r="C342" s="23" t="s">
        <v>78</v>
      </c>
      <c r="D342" s="23" t="s">
        <v>79</v>
      </c>
      <c r="E342" s="23" t="s">
        <v>1239</v>
      </c>
      <c r="F342" s="23" t="s">
        <v>1240</v>
      </c>
      <c r="G342" s="23" t="s">
        <v>1047</v>
      </c>
      <c r="H342" s="23" t="s">
        <v>1048</v>
      </c>
      <c r="I342" s="23" t="s">
        <v>1156</v>
      </c>
      <c r="J342" s="23" t="s">
        <v>1050</v>
      </c>
      <c r="K342" s="23" t="s">
        <v>1051</v>
      </c>
      <c r="L342" s="23" t="s">
        <v>1052</v>
      </c>
      <c r="M342" s="23">
        <v>1</v>
      </c>
      <c r="N342" s="23" t="s">
        <v>1021</v>
      </c>
      <c r="O342" s="23" t="s">
        <v>1241</v>
      </c>
    </row>
    <row r="343" spans="1:15">
      <c r="A343" s="23" t="s">
        <v>1108</v>
      </c>
      <c r="B343" s="23" t="s">
        <v>599</v>
      </c>
      <c r="C343" s="23" t="s">
        <v>78</v>
      </c>
      <c r="D343" s="23" t="s">
        <v>79</v>
      </c>
      <c r="E343" s="23" t="s">
        <v>1239</v>
      </c>
      <c r="F343" s="23" t="s">
        <v>1240</v>
      </c>
      <c r="G343" s="23" t="s">
        <v>1047</v>
      </c>
      <c r="H343" s="23" t="s">
        <v>1048</v>
      </c>
      <c r="I343" s="23" t="s">
        <v>1109</v>
      </c>
      <c r="J343" s="23" t="s">
        <v>1050</v>
      </c>
      <c r="K343" s="23" t="s">
        <v>1051</v>
      </c>
      <c r="L343" s="23" t="s">
        <v>1052</v>
      </c>
      <c r="M343" s="23">
        <v>1</v>
      </c>
      <c r="N343" s="23" t="s">
        <v>1021</v>
      </c>
      <c r="O343" s="23" t="s">
        <v>1241</v>
      </c>
    </row>
    <row r="344" spans="1:15">
      <c r="A344" s="23" t="s">
        <v>1157</v>
      </c>
      <c r="B344" s="23" t="s">
        <v>599</v>
      </c>
      <c r="C344" s="23" t="s">
        <v>78</v>
      </c>
      <c r="D344" s="23" t="s">
        <v>79</v>
      </c>
      <c r="E344" s="23" t="s">
        <v>1239</v>
      </c>
      <c r="F344" s="23" t="s">
        <v>1240</v>
      </c>
      <c r="G344" s="23" t="s">
        <v>1047</v>
      </c>
      <c r="H344" s="23" t="s">
        <v>1048</v>
      </c>
      <c r="I344" s="23" t="s">
        <v>1158</v>
      </c>
      <c r="J344" s="23" t="s">
        <v>1050</v>
      </c>
      <c r="K344" s="23" t="s">
        <v>1051</v>
      </c>
      <c r="L344" s="23" t="s">
        <v>1052</v>
      </c>
      <c r="M344" s="23">
        <v>1</v>
      </c>
      <c r="N344" s="23" t="s">
        <v>1021</v>
      </c>
      <c r="O344" s="23" t="s">
        <v>1241</v>
      </c>
    </row>
    <row r="345" spans="1:15">
      <c r="A345" s="23" t="s">
        <v>1112</v>
      </c>
      <c r="B345" s="23" t="s">
        <v>599</v>
      </c>
      <c r="C345" s="23" t="s">
        <v>78</v>
      </c>
      <c r="D345" s="23" t="s">
        <v>79</v>
      </c>
      <c r="E345" s="23" t="s">
        <v>1239</v>
      </c>
      <c r="F345" s="23" t="s">
        <v>1240</v>
      </c>
      <c r="G345" s="23" t="s">
        <v>1047</v>
      </c>
      <c r="H345" s="23" t="s">
        <v>1048</v>
      </c>
      <c r="I345" s="23" t="s">
        <v>1084</v>
      </c>
      <c r="J345" s="23" t="s">
        <v>1050</v>
      </c>
      <c r="K345" s="23" t="s">
        <v>1051</v>
      </c>
      <c r="L345" s="23" t="s">
        <v>1052</v>
      </c>
      <c r="M345" s="23">
        <v>1</v>
      </c>
      <c r="N345" s="23" t="s">
        <v>1021</v>
      </c>
      <c r="O345" s="23" t="s">
        <v>1241</v>
      </c>
    </row>
    <row r="346" spans="1:15">
      <c r="A346" s="23" t="s">
        <v>1159</v>
      </c>
      <c r="B346" s="23" t="s">
        <v>599</v>
      </c>
      <c r="C346" s="23" t="s">
        <v>78</v>
      </c>
      <c r="D346" s="23" t="s">
        <v>79</v>
      </c>
      <c r="E346" s="23" t="s">
        <v>1239</v>
      </c>
      <c r="F346" s="23" t="s">
        <v>1240</v>
      </c>
      <c r="G346" s="23" t="s">
        <v>1047</v>
      </c>
      <c r="H346" s="23" t="s">
        <v>1048</v>
      </c>
      <c r="I346" s="23" t="s">
        <v>1153</v>
      </c>
      <c r="J346" s="23" t="s">
        <v>1050</v>
      </c>
      <c r="K346" s="23" t="s">
        <v>1051</v>
      </c>
      <c r="L346" s="23" t="s">
        <v>1052</v>
      </c>
      <c r="M346" s="23">
        <v>1</v>
      </c>
      <c r="N346" s="23" t="s">
        <v>1021</v>
      </c>
      <c r="O346" s="23" t="s">
        <v>1241</v>
      </c>
    </row>
    <row r="347" spans="1:15">
      <c r="A347" s="23" t="s">
        <v>1088</v>
      </c>
      <c r="B347" s="23" t="s">
        <v>599</v>
      </c>
      <c r="C347" s="23" t="s">
        <v>86</v>
      </c>
      <c r="D347" s="23" t="s">
        <v>87</v>
      </c>
      <c r="E347" s="23" t="s">
        <v>1242</v>
      </c>
      <c r="F347" s="23" t="s">
        <v>1243</v>
      </c>
      <c r="G347" s="23" t="s">
        <v>1047</v>
      </c>
      <c r="H347" s="23" t="s">
        <v>1048</v>
      </c>
      <c r="I347" s="23" t="s">
        <v>1089</v>
      </c>
      <c r="J347" s="23" t="s">
        <v>1050</v>
      </c>
      <c r="K347" s="23" t="s">
        <v>1051</v>
      </c>
      <c r="L347" s="23" t="s">
        <v>1052</v>
      </c>
      <c r="M347" s="23">
        <v>1</v>
      </c>
      <c r="N347" s="23" t="s">
        <v>1021</v>
      </c>
      <c r="O347" s="23" t="s">
        <v>1244</v>
      </c>
    </row>
    <row r="348" spans="1:15">
      <c r="A348" s="23" t="s">
        <v>1160</v>
      </c>
      <c r="B348" s="23" t="s">
        <v>599</v>
      </c>
      <c r="C348" s="23" t="s">
        <v>86</v>
      </c>
      <c r="D348" s="23" t="s">
        <v>87</v>
      </c>
      <c r="E348" s="23" t="s">
        <v>1242</v>
      </c>
      <c r="F348" s="23" t="s">
        <v>1243</v>
      </c>
      <c r="G348" s="23" t="s">
        <v>1047</v>
      </c>
      <c r="H348" s="23" t="s">
        <v>1048</v>
      </c>
      <c r="I348" s="23" t="s">
        <v>1163</v>
      </c>
      <c r="J348" s="23" t="s">
        <v>1050</v>
      </c>
      <c r="K348" s="23" t="s">
        <v>1051</v>
      </c>
      <c r="L348" s="23" t="s">
        <v>1052</v>
      </c>
      <c r="M348" s="23">
        <v>1</v>
      </c>
      <c r="N348" s="23" t="s">
        <v>1021</v>
      </c>
      <c r="O348" s="23" t="s">
        <v>1244</v>
      </c>
    </row>
    <row r="349" spans="1:15">
      <c r="A349" s="23" t="s">
        <v>1088</v>
      </c>
      <c r="B349" s="23" t="s">
        <v>599</v>
      </c>
      <c r="C349" s="23" t="s">
        <v>86</v>
      </c>
      <c r="D349" s="23" t="s">
        <v>87</v>
      </c>
      <c r="E349" s="23" t="s">
        <v>1242</v>
      </c>
      <c r="F349" s="23" t="s">
        <v>1243</v>
      </c>
      <c r="G349" s="23" t="s">
        <v>1047</v>
      </c>
      <c r="H349" s="23" t="s">
        <v>1048</v>
      </c>
      <c r="I349" s="23" t="s">
        <v>1089</v>
      </c>
      <c r="J349" s="23" t="s">
        <v>1050</v>
      </c>
      <c r="K349" s="23" t="s">
        <v>1051</v>
      </c>
      <c r="L349" s="23" t="s">
        <v>1052</v>
      </c>
      <c r="M349" s="23">
        <v>1</v>
      </c>
      <c r="N349" s="23" t="s">
        <v>1021</v>
      </c>
      <c r="O349" s="23" t="s">
        <v>1244</v>
      </c>
    </row>
    <row r="350" spans="1:15">
      <c r="A350" s="23" t="s">
        <v>1160</v>
      </c>
      <c r="B350" s="23" t="s">
        <v>599</v>
      </c>
      <c r="C350" s="23" t="s">
        <v>86</v>
      </c>
      <c r="D350" s="23" t="s">
        <v>87</v>
      </c>
      <c r="E350" s="23" t="s">
        <v>1242</v>
      </c>
      <c r="F350" s="23" t="s">
        <v>1243</v>
      </c>
      <c r="G350" s="23" t="s">
        <v>1047</v>
      </c>
      <c r="H350" s="23" t="s">
        <v>1048</v>
      </c>
      <c r="I350" s="23" t="s">
        <v>1163</v>
      </c>
      <c r="J350" s="23" t="s">
        <v>1050</v>
      </c>
      <c r="K350" s="23" t="s">
        <v>1051</v>
      </c>
      <c r="L350" s="23" t="s">
        <v>1052</v>
      </c>
      <c r="M350" s="23">
        <v>1</v>
      </c>
      <c r="N350" s="23" t="s">
        <v>1021</v>
      </c>
      <c r="O350" s="23" t="s">
        <v>1244</v>
      </c>
    </row>
    <row r="351" spans="1:15">
      <c r="A351" s="23" t="s">
        <v>1113</v>
      </c>
      <c r="B351" s="23" t="s">
        <v>599</v>
      </c>
      <c r="C351" s="23" t="s">
        <v>86</v>
      </c>
      <c r="D351" s="23" t="s">
        <v>87</v>
      </c>
      <c r="E351" s="23" t="s">
        <v>1242</v>
      </c>
      <c r="F351" s="23" t="s">
        <v>1243</v>
      </c>
      <c r="G351" s="23" t="s">
        <v>1047</v>
      </c>
      <c r="H351" s="23" t="s">
        <v>1048</v>
      </c>
      <c r="I351" s="23" t="s">
        <v>1114</v>
      </c>
      <c r="J351" s="23" t="s">
        <v>1050</v>
      </c>
      <c r="K351" s="23" t="s">
        <v>1051</v>
      </c>
      <c r="L351" s="23" t="s">
        <v>1052</v>
      </c>
      <c r="M351" s="23">
        <v>1</v>
      </c>
      <c r="N351" s="23" t="s">
        <v>1021</v>
      </c>
      <c r="O351" s="23" t="s">
        <v>1244</v>
      </c>
    </row>
    <row r="352" spans="1:15">
      <c r="A352" s="23" t="s">
        <v>1165</v>
      </c>
      <c r="B352" s="23" t="s">
        <v>599</v>
      </c>
      <c r="C352" s="23" t="s">
        <v>86</v>
      </c>
      <c r="D352" s="23" t="s">
        <v>87</v>
      </c>
      <c r="E352" s="23" t="s">
        <v>1242</v>
      </c>
      <c r="F352" s="23" t="s">
        <v>1243</v>
      </c>
      <c r="G352" s="23" t="s">
        <v>1047</v>
      </c>
      <c r="H352" s="23" t="s">
        <v>1048</v>
      </c>
      <c r="I352" s="23" t="s">
        <v>1166</v>
      </c>
      <c r="J352" s="23" t="s">
        <v>1050</v>
      </c>
      <c r="K352" s="23" t="s">
        <v>1051</v>
      </c>
      <c r="L352" s="23" t="s">
        <v>1052</v>
      </c>
      <c r="M352" s="23">
        <v>1</v>
      </c>
      <c r="N352" s="23" t="s">
        <v>1021</v>
      </c>
      <c r="O352" s="23" t="s">
        <v>1244</v>
      </c>
    </row>
    <row r="353" spans="1:15">
      <c r="A353" s="23" t="s">
        <v>1117</v>
      </c>
      <c r="B353" s="23" t="s">
        <v>599</v>
      </c>
      <c r="C353" s="23" t="s">
        <v>86</v>
      </c>
      <c r="D353" s="23" t="s">
        <v>87</v>
      </c>
      <c r="E353" s="23" t="s">
        <v>1242</v>
      </c>
      <c r="F353" s="23" t="s">
        <v>1243</v>
      </c>
      <c r="G353" s="23" t="s">
        <v>1047</v>
      </c>
      <c r="H353" s="23" t="s">
        <v>1048</v>
      </c>
      <c r="I353" s="23" t="s">
        <v>1089</v>
      </c>
      <c r="J353" s="23" t="s">
        <v>1050</v>
      </c>
      <c r="K353" s="23" t="s">
        <v>1051</v>
      </c>
      <c r="L353" s="23" t="s">
        <v>1052</v>
      </c>
      <c r="M353" s="23">
        <v>1</v>
      </c>
      <c r="N353" s="23" t="s">
        <v>1021</v>
      </c>
      <c r="O353" s="23" t="s">
        <v>1244</v>
      </c>
    </row>
    <row r="354" spans="1:15">
      <c r="A354" s="23" t="s">
        <v>1169</v>
      </c>
      <c r="B354" s="23" t="s">
        <v>599</v>
      </c>
      <c r="C354" s="23" t="s">
        <v>86</v>
      </c>
      <c r="D354" s="23" t="s">
        <v>87</v>
      </c>
      <c r="E354" s="23" t="s">
        <v>1242</v>
      </c>
      <c r="F354" s="23" t="s">
        <v>1243</v>
      </c>
      <c r="G354" s="23" t="s">
        <v>1047</v>
      </c>
      <c r="H354" s="23" t="s">
        <v>1048</v>
      </c>
      <c r="I354" s="23" t="s">
        <v>1163</v>
      </c>
      <c r="J354" s="23" t="s">
        <v>1050</v>
      </c>
      <c r="K354" s="23" t="s">
        <v>1051</v>
      </c>
      <c r="L354" s="23" t="s">
        <v>1052</v>
      </c>
      <c r="M354" s="23">
        <v>1</v>
      </c>
      <c r="N354" s="23" t="s">
        <v>1021</v>
      </c>
      <c r="O354" s="23" t="s">
        <v>1244</v>
      </c>
    </row>
    <row r="355" spans="1:15">
      <c r="A355" s="23" t="s">
        <v>1113</v>
      </c>
      <c r="B355" s="23" t="s">
        <v>599</v>
      </c>
      <c r="C355" s="23" t="s">
        <v>86</v>
      </c>
      <c r="D355" s="23" t="s">
        <v>87</v>
      </c>
      <c r="E355" s="23" t="s">
        <v>1242</v>
      </c>
      <c r="F355" s="23" t="s">
        <v>1243</v>
      </c>
      <c r="G355" s="23" t="s">
        <v>1047</v>
      </c>
      <c r="H355" s="23" t="s">
        <v>1048</v>
      </c>
      <c r="I355" s="23" t="s">
        <v>1114</v>
      </c>
      <c r="J355" s="23" t="s">
        <v>1050</v>
      </c>
      <c r="K355" s="23" t="s">
        <v>1051</v>
      </c>
      <c r="L355" s="23" t="s">
        <v>1052</v>
      </c>
      <c r="M355" s="23">
        <v>1</v>
      </c>
      <c r="N355" s="23" t="s">
        <v>1021</v>
      </c>
      <c r="O355" s="23" t="s">
        <v>1244</v>
      </c>
    </row>
    <row r="356" spans="1:15">
      <c r="A356" s="23" t="s">
        <v>1165</v>
      </c>
      <c r="B356" s="23" t="s">
        <v>599</v>
      </c>
      <c r="C356" s="23" t="s">
        <v>86</v>
      </c>
      <c r="D356" s="23" t="s">
        <v>87</v>
      </c>
      <c r="E356" s="23" t="s">
        <v>1242</v>
      </c>
      <c r="F356" s="23" t="s">
        <v>1243</v>
      </c>
      <c r="G356" s="23" t="s">
        <v>1047</v>
      </c>
      <c r="H356" s="23" t="s">
        <v>1048</v>
      </c>
      <c r="I356" s="23" t="s">
        <v>1166</v>
      </c>
      <c r="J356" s="23" t="s">
        <v>1050</v>
      </c>
      <c r="K356" s="23" t="s">
        <v>1051</v>
      </c>
      <c r="L356" s="23" t="s">
        <v>1052</v>
      </c>
      <c r="M356" s="23">
        <v>1</v>
      </c>
      <c r="N356" s="23" t="s">
        <v>1021</v>
      </c>
      <c r="O356" s="23" t="s">
        <v>1244</v>
      </c>
    </row>
    <row r="357" spans="1:15">
      <c r="A357" s="23" t="s">
        <v>1117</v>
      </c>
      <c r="B357" s="23" t="s">
        <v>599</v>
      </c>
      <c r="C357" s="23" t="s">
        <v>86</v>
      </c>
      <c r="D357" s="23" t="s">
        <v>87</v>
      </c>
      <c r="E357" s="23" t="s">
        <v>1242</v>
      </c>
      <c r="F357" s="23" t="s">
        <v>1243</v>
      </c>
      <c r="G357" s="23" t="s">
        <v>1047</v>
      </c>
      <c r="H357" s="23" t="s">
        <v>1048</v>
      </c>
      <c r="I357" s="23" t="s">
        <v>1089</v>
      </c>
      <c r="J357" s="23" t="s">
        <v>1050</v>
      </c>
      <c r="K357" s="23" t="s">
        <v>1051</v>
      </c>
      <c r="L357" s="23" t="s">
        <v>1052</v>
      </c>
      <c r="M357" s="23">
        <v>1</v>
      </c>
      <c r="N357" s="23" t="s">
        <v>1021</v>
      </c>
      <c r="O357" s="23" t="s">
        <v>1244</v>
      </c>
    </row>
    <row r="358" spans="1:15">
      <c r="A358" s="23" t="s">
        <v>1169</v>
      </c>
      <c r="B358" s="23" t="s">
        <v>599</v>
      </c>
      <c r="C358" s="23" t="s">
        <v>86</v>
      </c>
      <c r="D358" s="23" t="s">
        <v>87</v>
      </c>
      <c r="E358" s="23" t="s">
        <v>1242</v>
      </c>
      <c r="F358" s="23" t="s">
        <v>1243</v>
      </c>
      <c r="G358" s="23" t="s">
        <v>1047</v>
      </c>
      <c r="H358" s="23" t="s">
        <v>1048</v>
      </c>
      <c r="I358" s="23" t="s">
        <v>1163</v>
      </c>
      <c r="J358" s="23" t="s">
        <v>1050</v>
      </c>
      <c r="K358" s="23" t="s">
        <v>1051</v>
      </c>
      <c r="L358" s="23" t="s">
        <v>1052</v>
      </c>
      <c r="M358" s="23">
        <v>1</v>
      </c>
      <c r="N358" s="23" t="s">
        <v>1021</v>
      </c>
      <c r="O358" s="23" t="s">
        <v>1244</v>
      </c>
    </row>
    <row r="359" spans="1:15">
      <c r="A359" s="23" t="s">
        <v>1170</v>
      </c>
      <c r="B359" s="23" t="s">
        <v>599</v>
      </c>
      <c r="C359" s="23" t="s">
        <v>95</v>
      </c>
      <c r="D359" s="23" t="s">
        <v>96</v>
      </c>
      <c r="E359" s="23" t="s">
        <v>1245</v>
      </c>
      <c r="F359" s="23" t="s">
        <v>1246</v>
      </c>
      <c r="G359" s="23" t="s">
        <v>1047</v>
      </c>
      <c r="H359" s="23" t="s">
        <v>1173</v>
      </c>
      <c r="I359" s="23" t="s">
        <v>1207</v>
      </c>
      <c r="J359" s="23" t="s">
        <v>1050</v>
      </c>
      <c r="K359" s="23" t="s">
        <v>1051</v>
      </c>
      <c r="L359" s="23" t="s">
        <v>1052</v>
      </c>
      <c r="M359" s="23">
        <v>7045</v>
      </c>
      <c r="N359" s="23" t="s">
        <v>1028</v>
      </c>
      <c r="O359" s="23" t="s">
        <v>1247</v>
      </c>
    </row>
    <row r="360" spans="1:15">
      <c r="A360" s="23" t="s">
        <v>1181</v>
      </c>
      <c r="B360" s="23" t="s">
        <v>599</v>
      </c>
      <c r="C360" s="23" t="s">
        <v>102</v>
      </c>
      <c r="D360" s="23" t="s">
        <v>103</v>
      </c>
      <c r="E360" s="23" t="s">
        <v>1248</v>
      </c>
      <c r="F360" s="23" t="s">
        <v>1249</v>
      </c>
      <c r="G360" s="23" t="s">
        <v>1047</v>
      </c>
      <c r="H360" s="23" t="s">
        <v>1178</v>
      </c>
      <c r="I360" s="23" t="s">
        <v>1182</v>
      </c>
      <c r="J360" s="23" t="s">
        <v>1050</v>
      </c>
      <c r="K360" s="23" t="s">
        <v>1051</v>
      </c>
      <c r="L360" s="23" t="s">
        <v>1052</v>
      </c>
      <c r="M360" s="23">
        <v>4104</v>
      </c>
      <c r="N360" s="23" t="s">
        <v>1027</v>
      </c>
      <c r="O360" s="23" t="s">
        <v>1250</v>
      </c>
    </row>
    <row r="361" spans="1:15">
      <c r="A361" s="23" t="s">
        <v>1183</v>
      </c>
      <c r="B361" s="23" t="s">
        <v>599</v>
      </c>
      <c r="C361" s="23" t="s">
        <v>102</v>
      </c>
      <c r="D361" s="23" t="s">
        <v>103</v>
      </c>
      <c r="E361" s="23" t="s">
        <v>1248</v>
      </c>
      <c r="F361" s="23" t="s">
        <v>1249</v>
      </c>
      <c r="G361" s="23" t="s">
        <v>1047</v>
      </c>
      <c r="H361" s="23" t="s">
        <v>1178</v>
      </c>
      <c r="I361" s="23" t="s">
        <v>1184</v>
      </c>
      <c r="J361" s="23" t="s">
        <v>1050</v>
      </c>
      <c r="K361" s="23" t="s">
        <v>1051</v>
      </c>
      <c r="L361" s="23" t="s">
        <v>1052</v>
      </c>
      <c r="M361" s="23">
        <v>4104</v>
      </c>
      <c r="N361" s="23" t="s">
        <v>1027</v>
      </c>
      <c r="O361" s="23" t="s">
        <v>1250</v>
      </c>
    </row>
    <row r="362" spans="1:15">
      <c r="A362" s="23" t="s">
        <v>1127</v>
      </c>
      <c r="B362" s="23" t="s">
        <v>599</v>
      </c>
      <c r="C362" s="23" t="s">
        <v>102</v>
      </c>
      <c r="D362" s="23" t="s">
        <v>1251</v>
      </c>
      <c r="E362" s="23" t="s">
        <v>1252</v>
      </c>
      <c r="F362" s="23" t="s">
        <v>1253</v>
      </c>
      <c r="G362" s="23" t="s">
        <v>1047</v>
      </c>
      <c r="H362" s="23" t="s">
        <v>1048</v>
      </c>
      <c r="I362" s="23" t="s">
        <v>1128</v>
      </c>
      <c r="J362" s="23" t="s">
        <v>1050</v>
      </c>
      <c r="K362" s="23" t="s">
        <v>1051</v>
      </c>
      <c r="L362" s="23" t="s">
        <v>1052</v>
      </c>
      <c r="M362" s="23">
        <v>1</v>
      </c>
      <c r="N362" s="23" t="s">
        <v>1021</v>
      </c>
      <c r="O362" s="23" t="s">
        <v>1254</v>
      </c>
    </row>
    <row r="363" spans="1:15">
      <c r="A363" s="23" t="s">
        <v>1062</v>
      </c>
      <c r="B363" s="23" t="s">
        <v>599</v>
      </c>
      <c r="C363" s="23" t="s">
        <v>102</v>
      </c>
      <c r="D363" s="23" t="s">
        <v>1251</v>
      </c>
      <c r="E363" s="23" t="s">
        <v>1252</v>
      </c>
      <c r="F363" s="23" t="s">
        <v>1253</v>
      </c>
      <c r="G363" s="23" t="s">
        <v>1047</v>
      </c>
      <c r="H363" s="23" t="s">
        <v>1048</v>
      </c>
      <c r="I363" s="23" t="s">
        <v>1063</v>
      </c>
      <c r="J363" s="23" t="s">
        <v>1050</v>
      </c>
      <c r="K363" s="23" t="s">
        <v>1051</v>
      </c>
      <c r="L363" s="23" t="s">
        <v>1052</v>
      </c>
      <c r="M363" s="23">
        <v>1</v>
      </c>
      <c r="N363" s="23" t="s">
        <v>1021</v>
      </c>
      <c r="O363" s="23" t="s">
        <v>1254</v>
      </c>
    </row>
    <row r="364" spans="1:15">
      <c r="A364" s="23" t="s">
        <v>1129</v>
      </c>
      <c r="B364" s="23" t="s">
        <v>599</v>
      </c>
      <c r="C364" s="23" t="s">
        <v>102</v>
      </c>
      <c r="D364" s="23" t="s">
        <v>1251</v>
      </c>
      <c r="E364" s="23" t="s">
        <v>1252</v>
      </c>
      <c r="F364" s="23" t="s">
        <v>1253</v>
      </c>
      <c r="G364" s="23" t="s">
        <v>1047</v>
      </c>
      <c r="H364" s="23" t="s">
        <v>1048</v>
      </c>
      <c r="I364" s="23" t="s">
        <v>1130</v>
      </c>
      <c r="J364" s="23" t="s">
        <v>1050</v>
      </c>
      <c r="K364" s="23" t="s">
        <v>1051</v>
      </c>
      <c r="L364" s="23" t="s">
        <v>1052</v>
      </c>
      <c r="M364" s="23">
        <v>1</v>
      </c>
      <c r="N364" s="23" t="s">
        <v>1021</v>
      </c>
      <c r="O364" s="23" t="s">
        <v>1254</v>
      </c>
    </row>
    <row r="365" spans="1:15">
      <c r="A365" s="23" t="s">
        <v>1131</v>
      </c>
      <c r="B365" s="23" t="s">
        <v>599</v>
      </c>
      <c r="C365" s="23" t="s">
        <v>102</v>
      </c>
      <c r="D365" s="23" t="s">
        <v>1251</v>
      </c>
      <c r="E365" s="23" t="s">
        <v>1252</v>
      </c>
      <c r="F365" s="23" t="s">
        <v>1253</v>
      </c>
      <c r="G365" s="23" t="s">
        <v>1047</v>
      </c>
      <c r="H365" s="23" t="s">
        <v>1048</v>
      </c>
      <c r="I365" s="23" t="s">
        <v>1132</v>
      </c>
      <c r="J365" s="23" t="s">
        <v>1050</v>
      </c>
      <c r="K365" s="23" t="s">
        <v>1051</v>
      </c>
      <c r="L365" s="23" t="s">
        <v>1052</v>
      </c>
      <c r="M365" s="23">
        <v>1</v>
      </c>
      <c r="N365" s="23" t="s">
        <v>1021</v>
      </c>
      <c r="O365" s="23" t="s">
        <v>1254</v>
      </c>
    </row>
    <row r="366" spans="1:15">
      <c r="A366" s="23" t="s">
        <v>1196</v>
      </c>
      <c r="B366" s="23" t="s">
        <v>599</v>
      </c>
      <c r="C366" s="23" t="s">
        <v>102</v>
      </c>
      <c r="D366" s="23" t="s">
        <v>1251</v>
      </c>
      <c r="E366" s="23" t="s">
        <v>1252</v>
      </c>
      <c r="F366" s="23" t="s">
        <v>1253</v>
      </c>
      <c r="G366" s="23" t="s">
        <v>1047</v>
      </c>
      <c r="H366" s="23" t="s">
        <v>1048</v>
      </c>
      <c r="I366" s="23" t="s">
        <v>1197</v>
      </c>
      <c r="J366" s="23" t="s">
        <v>1050</v>
      </c>
      <c r="K366" s="23" t="s">
        <v>1051</v>
      </c>
      <c r="L366" s="23" t="s">
        <v>1052</v>
      </c>
      <c r="M366" s="23">
        <v>1</v>
      </c>
      <c r="N366" s="23" t="s">
        <v>1021</v>
      </c>
      <c r="O366" s="23" t="s">
        <v>1254</v>
      </c>
    </row>
    <row r="367" spans="1:15">
      <c r="A367" s="23" t="s">
        <v>1127</v>
      </c>
      <c r="B367" s="23" t="s">
        <v>599</v>
      </c>
      <c r="C367" s="23" t="s">
        <v>102</v>
      </c>
      <c r="D367" s="23" t="s">
        <v>1251</v>
      </c>
      <c r="E367" s="23" t="s">
        <v>1252</v>
      </c>
      <c r="F367" s="23" t="s">
        <v>1253</v>
      </c>
      <c r="G367" s="23" t="s">
        <v>1047</v>
      </c>
      <c r="H367" s="23" t="s">
        <v>1048</v>
      </c>
      <c r="I367" s="23" t="s">
        <v>1128</v>
      </c>
      <c r="J367" s="23" t="s">
        <v>1050</v>
      </c>
      <c r="K367" s="23" t="s">
        <v>1051</v>
      </c>
      <c r="L367" s="23" t="s">
        <v>1052</v>
      </c>
      <c r="M367" s="23">
        <v>1</v>
      </c>
      <c r="N367" s="23" t="s">
        <v>1021</v>
      </c>
      <c r="O367" s="23" t="s">
        <v>1254</v>
      </c>
    </row>
    <row r="368" spans="1:15">
      <c r="A368" s="23" t="s">
        <v>1062</v>
      </c>
      <c r="B368" s="23" t="s">
        <v>599</v>
      </c>
      <c r="C368" s="23" t="s">
        <v>102</v>
      </c>
      <c r="D368" s="23" t="s">
        <v>1251</v>
      </c>
      <c r="E368" s="23" t="s">
        <v>1252</v>
      </c>
      <c r="F368" s="23" t="s">
        <v>1253</v>
      </c>
      <c r="G368" s="23" t="s">
        <v>1047</v>
      </c>
      <c r="H368" s="23" t="s">
        <v>1048</v>
      </c>
      <c r="I368" s="23" t="s">
        <v>1063</v>
      </c>
      <c r="J368" s="23" t="s">
        <v>1050</v>
      </c>
      <c r="K368" s="23" t="s">
        <v>1051</v>
      </c>
      <c r="L368" s="23" t="s">
        <v>1052</v>
      </c>
      <c r="M368" s="23">
        <v>1</v>
      </c>
      <c r="N368" s="23" t="s">
        <v>1021</v>
      </c>
      <c r="O368" s="23" t="s">
        <v>1254</v>
      </c>
    </row>
    <row r="369" spans="1:15">
      <c r="A369" s="23" t="s">
        <v>1129</v>
      </c>
      <c r="B369" s="23" t="s">
        <v>599</v>
      </c>
      <c r="C369" s="23" t="s">
        <v>102</v>
      </c>
      <c r="D369" s="23" t="s">
        <v>1251</v>
      </c>
      <c r="E369" s="23" t="s">
        <v>1252</v>
      </c>
      <c r="F369" s="23" t="s">
        <v>1253</v>
      </c>
      <c r="G369" s="23" t="s">
        <v>1047</v>
      </c>
      <c r="H369" s="23" t="s">
        <v>1048</v>
      </c>
      <c r="I369" s="23" t="s">
        <v>1130</v>
      </c>
      <c r="J369" s="23" t="s">
        <v>1050</v>
      </c>
      <c r="K369" s="23" t="s">
        <v>1051</v>
      </c>
      <c r="L369" s="23" t="s">
        <v>1052</v>
      </c>
      <c r="M369" s="23">
        <v>1</v>
      </c>
      <c r="N369" s="23" t="s">
        <v>1021</v>
      </c>
      <c r="O369" s="23" t="s">
        <v>1254</v>
      </c>
    </row>
    <row r="370" spans="1:15">
      <c r="A370" s="23" t="s">
        <v>1131</v>
      </c>
      <c r="B370" s="23" t="s">
        <v>599</v>
      </c>
      <c r="C370" s="23" t="s">
        <v>102</v>
      </c>
      <c r="D370" s="23" t="s">
        <v>1251</v>
      </c>
      <c r="E370" s="23" t="s">
        <v>1252</v>
      </c>
      <c r="F370" s="23" t="s">
        <v>1253</v>
      </c>
      <c r="G370" s="23" t="s">
        <v>1047</v>
      </c>
      <c r="H370" s="23" t="s">
        <v>1048</v>
      </c>
      <c r="I370" s="23" t="s">
        <v>1132</v>
      </c>
      <c r="J370" s="23" t="s">
        <v>1050</v>
      </c>
      <c r="K370" s="23" t="s">
        <v>1051</v>
      </c>
      <c r="L370" s="23" t="s">
        <v>1052</v>
      </c>
      <c r="M370" s="23">
        <v>1</v>
      </c>
      <c r="N370" s="23" t="s">
        <v>1021</v>
      </c>
      <c r="O370" s="23" t="s">
        <v>1254</v>
      </c>
    </row>
    <row r="371" spans="1:15">
      <c r="A371" s="23" t="s">
        <v>1196</v>
      </c>
      <c r="B371" s="23" t="s">
        <v>599</v>
      </c>
      <c r="C371" s="23" t="s">
        <v>102</v>
      </c>
      <c r="D371" s="23" t="s">
        <v>1251</v>
      </c>
      <c r="E371" s="23" t="s">
        <v>1252</v>
      </c>
      <c r="F371" s="23" t="s">
        <v>1253</v>
      </c>
      <c r="G371" s="23" t="s">
        <v>1047</v>
      </c>
      <c r="H371" s="23" t="s">
        <v>1048</v>
      </c>
      <c r="I371" s="23" t="s">
        <v>1197</v>
      </c>
      <c r="J371" s="23" t="s">
        <v>1050</v>
      </c>
      <c r="K371" s="23" t="s">
        <v>1051</v>
      </c>
      <c r="L371" s="23" t="s">
        <v>1052</v>
      </c>
      <c r="M371" s="23">
        <v>1</v>
      </c>
      <c r="N371" s="23" t="s">
        <v>1021</v>
      </c>
      <c r="O371" s="23" t="s">
        <v>1254</v>
      </c>
    </row>
    <row r="372" spans="1:15">
      <c r="A372" s="23" t="s">
        <v>1255</v>
      </c>
      <c r="B372" s="23" t="s">
        <v>599</v>
      </c>
      <c r="C372" s="23" t="s">
        <v>108</v>
      </c>
      <c r="D372" s="23" t="s">
        <v>109</v>
      </c>
      <c r="E372" s="23" t="s">
        <v>1256</v>
      </c>
      <c r="F372" s="23" t="s">
        <v>1257</v>
      </c>
      <c r="G372" s="23" t="s">
        <v>1047</v>
      </c>
      <c r="H372" s="23" t="s">
        <v>1178</v>
      </c>
      <c r="I372" s="23" t="s">
        <v>1258</v>
      </c>
      <c r="J372" s="23" t="s">
        <v>1050</v>
      </c>
      <c r="K372" s="23" t="s">
        <v>1051</v>
      </c>
      <c r="L372" s="23" t="s">
        <v>1052</v>
      </c>
      <c r="M372" s="23">
        <v>4104</v>
      </c>
      <c r="N372" s="23" t="s">
        <v>1027</v>
      </c>
      <c r="O372" s="23" t="s">
        <v>1259</v>
      </c>
    </row>
    <row r="373" spans="1:15">
      <c r="A373" s="23" t="s">
        <v>1260</v>
      </c>
      <c r="B373" s="23" t="s">
        <v>599</v>
      </c>
      <c r="C373" s="23" t="s">
        <v>108</v>
      </c>
      <c r="D373" s="23" t="s">
        <v>109</v>
      </c>
      <c r="E373" s="23" t="s">
        <v>1256</v>
      </c>
      <c r="F373" s="23" t="s">
        <v>1257</v>
      </c>
      <c r="G373" s="23" t="s">
        <v>1047</v>
      </c>
      <c r="H373" s="23" t="s">
        <v>1178</v>
      </c>
      <c r="I373" s="23" t="s">
        <v>1261</v>
      </c>
      <c r="J373" s="23" t="s">
        <v>1050</v>
      </c>
      <c r="K373" s="23" t="s">
        <v>1051</v>
      </c>
      <c r="L373" s="23" t="s">
        <v>1052</v>
      </c>
      <c r="M373" s="23">
        <v>4104</v>
      </c>
      <c r="N373" s="23" t="s">
        <v>1027</v>
      </c>
      <c r="O373" s="23" t="s">
        <v>1259</v>
      </c>
    </row>
    <row r="374" spans="1:15">
      <c r="A374" s="23" t="s">
        <v>1209</v>
      </c>
      <c r="B374" s="23" t="s">
        <v>599</v>
      </c>
      <c r="C374" s="23" t="s">
        <v>108</v>
      </c>
      <c r="D374" s="23" t="s">
        <v>109</v>
      </c>
      <c r="E374" s="23" t="s">
        <v>1256</v>
      </c>
      <c r="F374" s="23" t="s">
        <v>1257</v>
      </c>
      <c r="G374" s="23" t="s">
        <v>1047</v>
      </c>
      <c r="H374" s="23" t="s">
        <v>1178</v>
      </c>
      <c r="I374" s="23" t="s">
        <v>1212</v>
      </c>
      <c r="J374" s="23" t="s">
        <v>1050</v>
      </c>
      <c r="K374" s="23" t="s">
        <v>1051</v>
      </c>
      <c r="L374" s="23" t="s">
        <v>1052</v>
      </c>
      <c r="M374" s="23">
        <v>4104</v>
      </c>
      <c r="N374" s="23" t="s">
        <v>1027</v>
      </c>
      <c r="O374" s="23" t="s">
        <v>1259</v>
      </c>
    </row>
    <row r="375" spans="1:15">
      <c r="A375" s="23" t="s">
        <v>1262</v>
      </c>
      <c r="B375" s="23" t="s">
        <v>599</v>
      </c>
      <c r="C375" s="23" t="s">
        <v>108</v>
      </c>
      <c r="D375" s="23" t="s">
        <v>109</v>
      </c>
      <c r="E375" s="23" t="s">
        <v>1256</v>
      </c>
      <c r="F375" s="23" t="s">
        <v>1257</v>
      </c>
      <c r="G375" s="23" t="s">
        <v>1047</v>
      </c>
      <c r="H375" s="23" t="s">
        <v>1178</v>
      </c>
      <c r="I375" s="23" t="s">
        <v>1263</v>
      </c>
      <c r="J375" s="23" t="s">
        <v>1050</v>
      </c>
      <c r="K375" s="23" t="s">
        <v>1051</v>
      </c>
      <c r="L375" s="23" t="s">
        <v>1052</v>
      </c>
      <c r="M375" s="23">
        <v>4104</v>
      </c>
      <c r="N375" s="23" t="s">
        <v>1027</v>
      </c>
      <c r="O375" s="23" t="s">
        <v>1259</v>
      </c>
    </row>
    <row r="376" spans="1:15">
      <c r="A376" s="23" t="s">
        <v>1214</v>
      </c>
      <c r="B376" s="23" t="s">
        <v>599</v>
      </c>
      <c r="C376" s="23" t="s">
        <v>115</v>
      </c>
      <c r="D376" s="23" t="s">
        <v>116</v>
      </c>
      <c r="E376" s="23" t="s">
        <v>847</v>
      </c>
      <c r="F376" s="23" t="s">
        <v>1264</v>
      </c>
      <c r="G376" s="23" t="s">
        <v>1047</v>
      </c>
      <c r="H376" s="23" t="s">
        <v>1178</v>
      </c>
      <c r="I376" s="23" t="s">
        <v>1216</v>
      </c>
      <c r="J376" s="23" t="s">
        <v>1050</v>
      </c>
      <c r="K376" s="23" t="s">
        <v>1051</v>
      </c>
      <c r="L376" s="23" t="s">
        <v>1052</v>
      </c>
      <c r="M376" s="23">
        <v>4104</v>
      </c>
      <c r="N376" s="23" t="s">
        <v>1027</v>
      </c>
      <c r="O376" s="23" t="s">
        <v>1265</v>
      </c>
    </row>
    <row r="377" spans="1:15">
      <c r="A377" s="23" t="s">
        <v>1227</v>
      </c>
      <c r="B377" s="23" t="s">
        <v>599</v>
      </c>
      <c r="C377" s="23" t="s">
        <v>48</v>
      </c>
      <c r="D377" s="23" t="s">
        <v>1266</v>
      </c>
      <c r="E377" s="23" t="s">
        <v>1267</v>
      </c>
      <c r="F377" s="23" t="s">
        <v>1268</v>
      </c>
      <c r="G377" s="23" t="s">
        <v>1047</v>
      </c>
      <c r="H377" s="23" t="s">
        <v>1048</v>
      </c>
      <c r="I377" s="23" t="s">
        <v>1231</v>
      </c>
      <c r="J377" s="23" t="s">
        <v>1050</v>
      </c>
      <c r="K377" s="23" t="s">
        <v>1051</v>
      </c>
      <c r="L377" s="23" t="s">
        <v>1052</v>
      </c>
      <c r="M377" s="23">
        <v>3</v>
      </c>
      <c r="N377" s="23" t="s">
        <v>1022</v>
      </c>
      <c r="O377" s="23" t="s">
        <v>1269</v>
      </c>
    </row>
    <row r="378" spans="1:15">
      <c r="A378" s="23" t="s">
        <v>1227</v>
      </c>
      <c r="B378" s="23" t="s">
        <v>599</v>
      </c>
      <c r="C378" s="23" t="s">
        <v>48</v>
      </c>
      <c r="D378" s="23" t="s">
        <v>1266</v>
      </c>
      <c r="E378" s="23" t="s">
        <v>1267</v>
      </c>
      <c r="F378" s="23" t="s">
        <v>1268</v>
      </c>
      <c r="G378" s="23" t="s">
        <v>1047</v>
      </c>
      <c r="H378" s="23" t="s">
        <v>1048</v>
      </c>
      <c r="I378" s="23" t="s">
        <v>1231</v>
      </c>
      <c r="J378" s="23" t="s">
        <v>1050</v>
      </c>
      <c r="K378" s="23" t="s">
        <v>1051</v>
      </c>
      <c r="L378" s="23" t="s">
        <v>1052</v>
      </c>
      <c r="M378" s="23">
        <v>3</v>
      </c>
      <c r="N378" s="23" t="s">
        <v>1022</v>
      </c>
      <c r="O378" s="23" t="s">
        <v>1269</v>
      </c>
    </row>
    <row r="379" spans="1:15">
      <c r="A379" s="23" t="s">
        <v>1227</v>
      </c>
      <c r="B379" s="23" t="s">
        <v>599</v>
      </c>
      <c r="C379" s="23" t="s">
        <v>48</v>
      </c>
      <c r="D379" s="23" t="s">
        <v>1266</v>
      </c>
      <c r="E379" s="23" t="s">
        <v>1267</v>
      </c>
      <c r="F379" s="23" t="s">
        <v>1268</v>
      </c>
      <c r="G379" s="23" t="s">
        <v>1047</v>
      </c>
      <c r="H379" s="23" t="s">
        <v>1048</v>
      </c>
      <c r="I379" s="23" t="s">
        <v>1231</v>
      </c>
      <c r="J379" s="23" t="s">
        <v>1050</v>
      </c>
      <c r="K379" s="23" t="s">
        <v>1051</v>
      </c>
      <c r="L379" s="23" t="s">
        <v>1052</v>
      </c>
      <c r="M379" s="23">
        <v>3</v>
      </c>
      <c r="N379" s="23" t="s">
        <v>1022</v>
      </c>
      <c r="O379" s="23" t="s">
        <v>1269</v>
      </c>
    </row>
    <row r="380" spans="1:15">
      <c r="A380" s="23" t="s">
        <v>1227</v>
      </c>
      <c r="B380" s="23" t="s">
        <v>599</v>
      </c>
      <c r="C380" s="23" t="s">
        <v>48</v>
      </c>
      <c r="D380" s="23" t="s">
        <v>1266</v>
      </c>
      <c r="E380" s="23" t="s">
        <v>1267</v>
      </c>
      <c r="F380" s="23" t="s">
        <v>1268</v>
      </c>
      <c r="G380" s="23" t="s">
        <v>1047</v>
      </c>
      <c r="H380" s="23" t="s">
        <v>1048</v>
      </c>
      <c r="I380" s="23" t="s">
        <v>1231</v>
      </c>
      <c r="J380" s="23" t="s">
        <v>1050</v>
      </c>
      <c r="K380" s="23" t="s">
        <v>1051</v>
      </c>
      <c r="L380" s="23" t="s">
        <v>1052</v>
      </c>
      <c r="M380" s="23">
        <v>3</v>
      </c>
      <c r="N380" s="23" t="s">
        <v>1022</v>
      </c>
      <c r="O380" s="23" t="s">
        <v>1269</v>
      </c>
    </row>
    <row r="381" spans="1:15">
      <c r="A381" s="23" t="s">
        <v>1075</v>
      </c>
      <c r="B381" s="23" t="s">
        <v>599</v>
      </c>
      <c r="C381" s="23" t="s">
        <v>48</v>
      </c>
      <c r="D381" s="23" t="s">
        <v>1270</v>
      </c>
      <c r="E381" s="23" t="s">
        <v>1271</v>
      </c>
      <c r="F381" s="23" t="s">
        <v>1272</v>
      </c>
      <c r="G381" s="23" t="s">
        <v>1047</v>
      </c>
      <c r="H381" s="23" t="s">
        <v>1048</v>
      </c>
      <c r="I381" s="23" t="s">
        <v>1076</v>
      </c>
      <c r="J381" s="23" t="s">
        <v>1050</v>
      </c>
      <c r="K381" s="23" t="s">
        <v>1051</v>
      </c>
      <c r="L381" s="23" t="s">
        <v>1052</v>
      </c>
      <c r="M381" s="23">
        <v>1</v>
      </c>
      <c r="N381" s="23" t="s">
        <v>1021</v>
      </c>
      <c r="O381" s="23" t="s">
        <v>1273</v>
      </c>
    </row>
    <row r="382" spans="1:15">
      <c r="A382" s="23" t="s">
        <v>1075</v>
      </c>
      <c r="B382" s="23" t="s">
        <v>599</v>
      </c>
      <c r="C382" s="23" t="s">
        <v>48</v>
      </c>
      <c r="D382" s="23" t="s">
        <v>1270</v>
      </c>
      <c r="E382" s="23" t="s">
        <v>1271</v>
      </c>
      <c r="F382" s="23" t="s">
        <v>1272</v>
      </c>
      <c r="G382" s="23" t="s">
        <v>1047</v>
      </c>
      <c r="H382" s="23" t="s">
        <v>1048</v>
      </c>
      <c r="I382" s="23" t="s">
        <v>1076</v>
      </c>
      <c r="J382" s="23" t="s">
        <v>1050</v>
      </c>
      <c r="K382" s="23" t="s">
        <v>1051</v>
      </c>
      <c r="L382" s="23" t="s">
        <v>1052</v>
      </c>
      <c r="M382" s="23">
        <v>1</v>
      </c>
      <c r="N382" s="23" t="s">
        <v>1021</v>
      </c>
      <c r="O382" s="23" t="s">
        <v>1273</v>
      </c>
    </row>
    <row r="383" spans="1:15">
      <c r="A383" s="23" t="s">
        <v>1274</v>
      </c>
      <c r="B383" s="23" t="s">
        <v>599</v>
      </c>
      <c r="C383" s="23" t="s">
        <v>48</v>
      </c>
      <c r="D383" s="23" t="s">
        <v>1221</v>
      </c>
      <c r="E383" s="23" t="s">
        <v>1275</v>
      </c>
      <c r="F383" s="23" t="s">
        <v>1276</v>
      </c>
      <c r="G383" s="23" t="s">
        <v>1047</v>
      </c>
      <c r="H383" s="23" t="s">
        <v>1178</v>
      </c>
      <c r="I383" s="23" t="s">
        <v>1277</v>
      </c>
      <c r="J383" s="23" t="s">
        <v>1050</v>
      </c>
      <c r="K383" s="23" t="s">
        <v>1051</v>
      </c>
      <c r="L383" s="23" t="s">
        <v>1052</v>
      </c>
      <c r="M383" s="23">
        <v>4104</v>
      </c>
      <c r="N383" s="23" t="s">
        <v>1027</v>
      </c>
      <c r="O383" s="23" t="s">
        <v>1278</v>
      </c>
    </row>
  </sheetData>
  <autoFilter ref="A4:O383" xr:uid="{DC61B506-843E-4B29-AF1A-4939A602E9AE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8" customWidth="1"/>
    <col min="2" max="2" width="42.625" style="18" customWidth="1"/>
    <col min="3" max="3" width="18.625" style="18" customWidth="1"/>
    <col min="4" max="5" width="22.625" style="18" customWidth="1"/>
    <col min="6" max="6" width="12.625" style="18" customWidth="1"/>
    <col min="7" max="11" width="18.625" style="18" customWidth="1"/>
    <col min="12" max="12" width="42.625" style="18" customWidth="1"/>
    <col min="13" max="16384" width="11" style="18"/>
  </cols>
  <sheetData>
    <row r="1" spans="1:12" ht="27.95" customHeight="1">
      <c r="A1" s="20" t="s">
        <v>1279</v>
      </c>
    </row>
    <row r="2" spans="1:12" ht="36" customHeight="1">
      <c r="A2" s="21" t="s">
        <v>1280</v>
      </c>
    </row>
    <row r="4" spans="1:12">
      <c r="A4" s="22" t="s">
        <v>1281</v>
      </c>
      <c r="B4" s="22" t="s">
        <v>1282</v>
      </c>
      <c r="C4" s="22" t="s">
        <v>1283</v>
      </c>
      <c r="D4" s="22" t="s">
        <v>954</v>
      </c>
      <c r="E4" s="22" t="s">
        <v>955</v>
      </c>
      <c r="F4" s="22" t="s">
        <v>956</v>
      </c>
      <c r="G4" s="22" t="s">
        <v>1284</v>
      </c>
      <c r="H4" s="22" t="s">
        <v>1285</v>
      </c>
      <c r="I4" s="22" t="s">
        <v>1286</v>
      </c>
      <c r="J4" s="22" t="s">
        <v>1287</v>
      </c>
      <c r="K4" s="22" t="s">
        <v>1288</v>
      </c>
      <c r="L4" s="22" t="s">
        <v>967</v>
      </c>
    </row>
    <row r="5" spans="1:12">
      <c r="A5" s="23" t="s">
        <v>1289</v>
      </c>
      <c r="B5" s="23" t="s">
        <v>1290</v>
      </c>
      <c r="C5" s="23" t="s">
        <v>928</v>
      </c>
      <c r="D5" s="23" t="s">
        <v>1291</v>
      </c>
      <c r="E5" s="23" t="s">
        <v>1292</v>
      </c>
      <c r="F5" s="23">
        <v>0.7</v>
      </c>
      <c r="G5" s="23" t="s">
        <v>1293</v>
      </c>
      <c r="H5" s="23" t="s">
        <v>1294</v>
      </c>
      <c r="I5" s="23"/>
      <c r="J5" s="23"/>
      <c r="K5" s="23" t="s">
        <v>1295</v>
      </c>
      <c r="L5" s="23" t="s">
        <v>1296</v>
      </c>
    </row>
    <row r="6" spans="1:12">
      <c r="A6" s="23" t="s">
        <v>1297</v>
      </c>
      <c r="B6" s="23" t="s">
        <v>1298</v>
      </c>
      <c r="C6" s="23" t="s">
        <v>928</v>
      </c>
      <c r="D6" s="23" t="s">
        <v>1299</v>
      </c>
      <c r="E6" s="23" t="s">
        <v>1300</v>
      </c>
      <c r="F6" s="23">
        <v>0.31</v>
      </c>
      <c r="G6" s="23"/>
      <c r="H6" s="23" t="s">
        <v>1294</v>
      </c>
      <c r="I6" s="23"/>
      <c r="J6" s="23"/>
      <c r="K6" s="23" t="s">
        <v>1295</v>
      </c>
      <c r="L6" s="23" t="s">
        <v>1301</v>
      </c>
    </row>
    <row r="7" spans="1:12">
      <c r="A7" s="23" t="s">
        <v>1302</v>
      </c>
      <c r="B7" s="23" t="s">
        <v>1303</v>
      </c>
      <c r="C7" s="23" t="s">
        <v>928</v>
      </c>
      <c r="D7" s="23" t="s">
        <v>1304</v>
      </c>
      <c r="E7" s="23" t="s">
        <v>1305</v>
      </c>
      <c r="F7" s="23">
        <v>2.89</v>
      </c>
      <c r="G7" s="23" t="s">
        <v>1306</v>
      </c>
      <c r="H7" s="23" t="s">
        <v>1294</v>
      </c>
      <c r="I7" s="23"/>
      <c r="J7" s="23"/>
      <c r="K7" s="23" t="s">
        <v>1295</v>
      </c>
      <c r="L7" s="23" t="s">
        <v>1307</v>
      </c>
    </row>
    <row r="8" spans="1:12">
      <c r="A8" s="23" t="s">
        <v>1308</v>
      </c>
      <c r="B8" s="23" t="s">
        <v>1309</v>
      </c>
      <c r="C8" s="23" t="s">
        <v>928</v>
      </c>
      <c r="D8" s="23" t="s">
        <v>1310</v>
      </c>
      <c r="E8" s="23" t="s">
        <v>1311</v>
      </c>
      <c r="F8" s="23">
        <v>0.03</v>
      </c>
      <c r="G8" s="23"/>
      <c r="H8" s="23" t="s">
        <v>1294</v>
      </c>
      <c r="I8" s="23"/>
      <c r="J8" s="23"/>
      <c r="K8" s="23" t="s">
        <v>1295</v>
      </c>
      <c r="L8" s="23" t="s">
        <v>1312</v>
      </c>
    </row>
    <row r="9" spans="1:12">
      <c r="A9" s="23" t="s">
        <v>1313</v>
      </c>
      <c r="B9" s="23" t="s">
        <v>1314</v>
      </c>
      <c r="C9" s="23" t="s">
        <v>928</v>
      </c>
      <c r="D9" s="23" t="s">
        <v>1315</v>
      </c>
      <c r="E9" s="23" t="s">
        <v>1316</v>
      </c>
      <c r="F9" s="23">
        <v>0.64</v>
      </c>
      <c r="G9" s="23"/>
      <c r="H9" s="23" t="s">
        <v>1294</v>
      </c>
      <c r="I9" s="23"/>
      <c r="J9" s="23"/>
      <c r="K9" s="23" t="s">
        <v>1295</v>
      </c>
      <c r="L9" s="23" t="s">
        <v>1317</v>
      </c>
    </row>
    <row r="10" spans="1:12">
      <c r="A10" s="23" t="s">
        <v>1318</v>
      </c>
      <c r="B10" s="23" t="s">
        <v>1319</v>
      </c>
      <c r="C10" s="23" t="s">
        <v>928</v>
      </c>
      <c r="D10" s="23" t="s">
        <v>1320</v>
      </c>
      <c r="E10" s="23" t="s">
        <v>1321</v>
      </c>
      <c r="F10" s="23">
        <v>1.4</v>
      </c>
      <c r="G10" s="23"/>
      <c r="H10" s="23" t="s">
        <v>1294</v>
      </c>
      <c r="I10" s="23"/>
      <c r="J10" s="23"/>
      <c r="K10" s="23" t="s">
        <v>1295</v>
      </c>
      <c r="L10" s="23" t="s">
        <v>1322</v>
      </c>
    </row>
    <row r="11" spans="1:12">
      <c r="A11" s="23" t="s">
        <v>1323</v>
      </c>
      <c r="B11" s="23" t="s">
        <v>1324</v>
      </c>
      <c r="C11" s="23" t="s">
        <v>928</v>
      </c>
      <c r="D11" s="23" t="s">
        <v>1325</v>
      </c>
      <c r="E11" s="23" t="s">
        <v>1326</v>
      </c>
      <c r="F11" s="23">
        <v>2.3199999999999998</v>
      </c>
      <c r="G11" s="23" t="s">
        <v>1327</v>
      </c>
      <c r="H11" s="23" t="s">
        <v>1294</v>
      </c>
      <c r="I11" s="23"/>
      <c r="J11" s="23"/>
      <c r="K11" s="23" t="s">
        <v>1295</v>
      </c>
      <c r="L11" s="23" t="s">
        <v>1328</v>
      </c>
    </row>
    <row r="12" spans="1:12">
      <c r="A12" s="23" t="s">
        <v>1329</v>
      </c>
      <c r="B12" s="23" t="s">
        <v>1330</v>
      </c>
      <c r="C12" s="23" t="s">
        <v>928</v>
      </c>
      <c r="D12" s="23" t="s">
        <v>1331</v>
      </c>
      <c r="E12" s="23" t="s">
        <v>1332</v>
      </c>
      <c r="F12" s="23">
        <v>0.66</v>
      </c>
      <c r="G12" s="23" t="s">
        <v>1333</v>
      </c>
      <c r="H12" s="23" t="s">
        <v>1294</v>
      </c>
      <c r="I12" s="23"/>
      <c r="J12" s="23"/>
      <c r="K12" s="23" t="s">
        <v>1295</v>
      </c>
      <c r="L12" s="23" t="s">
        <v>1334</v>
      </c>
    </row>
    <row r="13" spans="1:12">
      <c r="A13" s="23" t="s">
        <v>1335</v>
      </c>
      <c r="B13" s="23" t="s">
        <v>1336</v>
      </c>
      <c r="C13" s="23" t="s">
        <v>928</v>
      </c>
      <c r="D13" s="23" t="s">
        <v>1337</v>
      </c>
      <c r="E13" s="23" t="s">
        <v>1338</v>
      </c>
      <c r="F13" s="23">
        <v>3.56</v>
      </c>
      <c r="G13" s="23"/>
      <c r="H13" s="23" t="s">
        <v>1294</v>
      </c>
      <c r="I13" s="23"/>
      <c r="J13" s="23"/>
      <c r="K13" s="23" t="s">
        <v>1295</v>
      </c>
      <c r="L13" s="23" t="s">
        <v>1339</v>
      </c>
    </row>
    <row r="14" spans="1:12">
      <c r="A14" s="23" t="s">
        <v>1340</v>
      </c>
      <c r="B14" s="23" t="s">
        <v>1341</v>
      </c>
      <c r="C14" s="23" t="s">
        <v>928</v>
      </c>
      <c r="D14" s="23" t="s">
        <v>1342</v>
      </c>
      <c r="E14" s="23" t="s">
        <v>1343</v>
      </c>
      <c r="F14" s="23">
        <v>0.25</v>
      </c>
      <c r="G14" s="23" t="s">
        <v>1344</v>
      </c>
      <c r="H14" s="23" t="s">
        <v>1294</v>
      </c>
      <c r="I14" s="23"/>
      <c r="J14" s="23"/>
      <c r="K14" s="23" t="s">
        <v>1295</v>
      </c>
      <c r="L14" s="23" t="s">
        <v>1345</v>
      </c>
    </row>
  </sheetData>
  <autoFilter ref="A4:L14" xr:uid="{E0E72AA0-3399-43E7-9A8D-BA38625366EA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8" customWidth="1"/>
    <col min="11" max="11" width="42.625" style="18" customWidth="1"/>
    <col min="12" max="14" width="18.625" style="18" customWidth="1"/>
    <col min="15" max="16384" width="11" style="18"/>
  </cols>
  <sheetData>
    <row r="1" spans="1:14" ht="27.95" customHeight="1">
      <c r="A1" s="20" t="s">
        <v>1346</v>
      </c>
    </row>
    <row r="2" spans="1:14" ht="36" customHeight="1">
      <c r="A2" s="21" t="s">
        <v>1347</v>
      </c>
    </row>
    <row r="4" spans="1:14">
      <c r="A4" s="22" t="s">
        <v>1348</v>
      </c>
      <c r="B4" s="22" t="s">
        <v>1349</v>
      </c>
      <c r="C4" s="22" t="s">
        <v>1350</v>
      </c>
      <c r="D4" s="22" t="s">
        <v>1351</v>
      </c>
      <c r="E4" s="22" t="s">
        <v>1281</v>
      </c>
      <c r="F4" s="22" t="s">
        <v>1352</v>
      </c>
      <c r="G4" s="22" t="s">
        <v>52</v>
      </c>
      <c r="H4" s="22" t="s">
        <v>1353</v>
      </c>
      <c r="I4" s="22" t="s">
        <v>181</v>
      </c>
      <c r="J4" s="22" t="s">
        <v>1354</v>
      </c>
      <c r="K4" s="22" t="s">
        <v>388</v>
      </c>
      <c r="L4" s="22" t="s">
        <v>1355</v>
      </c>
      <c r="M4" s="22" t="s">
        <v>1356</v>
      </c>
      <c r="N4" s="22" t="s">
        <v>1357</v>
      </c>
    </row>
    <row r="5" spans="1:14">
      <c r="A5" s="23" t="s">
        <v>1358</v>
      </c>
      <c r="B5" s="23"/>
      <c r="C5" s="23"/>
      <c r="D5" s="23"/>
      <c r="E5" s="23" t="s">
        <v>1359</v>
      </c>
      <c r="F5" s="23"/>
      <c r="G5" s="23"/>
      <c r="H5" s="23" t="s">
        <v>1360</v>
      </c>
      <c r="I5" s="23"/>
      <c r="J5" s="23"/>
      <c r="K5" s="23"/>
      <c r="L5" s="23"/>
      <c r="M5" s="23" t="s">
        <v>1294</v>
      </c>
      <c r="N5" s="23" t="s">
        <v>1361</v>
      </c>
    </row>
  </sheetData>
  <autoFilter ref="A4:N5" xr:uid="{21782E7B-DEB6-42C9-81FA-F7AD22D806BF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workbookViewId="0">
      <pane ySplit="4" topLeftCell="A5" activePane="bottomLeft" state="frozenSplit"/>
      <selection pane="bottomLeft" activeCell="A8" sqref="A8:M8"/>
    </sheetView>
  </sheetViews>
  <sheetFormatPr baseColWidth="10" defaultRowHeight="12.75"/>
  <cols>
    <col min="1" max="1" width="31.625" style="18" customWidth="1"/>
    <col min="2" max="2" width="19.625" style="18" customWidth="1"/>
    <col min="3" max="3" width="27.625" style="18" customWidth="1"/>
    <col min="4" max="4" width="20.625" style="18" customWidth="1"/>
    <col min="5" max="5" width="30.625" style="18" customWidth="1"/>
    <col min="6" max="6" width="62.625" style="18" customWidth="1"/>
    <col min="7" max="11" width="18.625" style="18" customWidth="1"/>
    <col min="12" max="13" width="42.625" style="18" customWidth="1"/>
    <col min="14" max="16384" width="11" style="18"/>
  </cols>
  <sheetData>
    <row r="1" spans="1:13" ht="27.95" customHeight="1">
      <c r="A1" s="65" t="s">
        <v>1362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36" customHeight="1">
      <c r="A2" s="21" t="s">
        <v>2480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>
      <c r="A4" s="22" t="s">
        <v>1363</v>
      </c>
      <c r="B4" s="22" t="s">
        <v>1364</v>
      </c>
      <c r="C4" s="22" t="s">
        <v>1365</v>
      </c>
      <c r="D4" s="22" t="s">
        <v>959</v>
      </c>
      <c r="E4" s="22" t="s">
        <v>1366</v>
      </c>
      <c r="F4" s="22" t="s">
        <v>1367</v>
      </c>
      <c r="G4" s="22" t="s">
        <v>960</v>
      </c>
      <c r="H4" s="22" t="s">
        <v>1368</v>
      </c>
      <c r="I4" s="22" t="s">
        <v>1369</v>
      </c>
      <c r="J4" s="22" t="s">
        <v>1370</v>
      </c>
      <c r="K4" s="22" t="s">
        <v>1371</v>
      </c>
      <c r="L4" s="22" t="s">
        <v>968</v>
      </c>
      <c r="M4" s="22" t="s">
        <v>1372</v>
      </c>
    </row>
    <row r="5" spans="1:13" ht="51">
      <c r="A5" s="36" t="s">
        <v>1373</v>
      </c>
      <c r="B5" s="36" t="s">
        <v>1374</v>
      </c>
      <c r="C5" s="36">
        <v>379</v>
      </c>
      <c r="D5" s="36">
        <v>14</v>
      </c>
      <c r="E5" s="36">
        <v>346</v>
      </c>
      <c r="F5" s="36">
        <v>0</v>
      </c>
      <c r="G5" s="36">
        <v>4</v>
      </c>
      <c r="H5" s="36" t="s">
        <v>1375</v>
      </c>
      <c r="I5" s="36" t="s">
        <v>823</v>
      </c>
      <c r="J5" s="36" t="s">
        <v>1376</v>
      </c>
      <c r="K5" s="36" t="s">
        <v>1377</v>
      </c>
      <c r="L5" s="36" t="s">
        <v>1378</v>
      </c>
      <c r="M5" s="36" t="s">
        <v>2473</v>
      </c>
    </row>
    <row r="6" spans="1:13" ht="25.5">
      <c r="A6" s="36" t="s">
        <v>2481</v>
      </c>
      <c r="B6" s="36">
        <v>902</v>
      </c>
      <c r="C6" s="36">
        <v>58</v>
      </c>
      <c r="D6" s="36">
        <v>34</v>
      </c>
      <c r="E6" s="36">
        <v>457</v>
      </c>
      <c r="F6" s="36">
        <v>413</v>
      </c>
      <c r="G6" s="36">
        <v>0</v>
      </c>
      <c r="H6" s="36" t="s">
        <v>1380</v>
      </c>
      <c r="I6" s="36">
        <v>0</v>
      </c>
      <c r="J6" s="36" t="s">
        <v>1381</v>
      </c>
      <c r="K6" s="36" t="s">
        <v>1382</v>
      </c>
      <c r="L6" s="36" t="s">
        <v>1383</v>
      </c>
      <c r="M6" s="36" t="s">
        <v>2482</v>
      </c>
    </row>
    <row r="7" spans="1:13" ht="38.25">
      <c r="A7" s="36" t="s">
        <v>2483</v>
      </c>
      <c r="B7" s="36">
        <v>18285</v>
      </c>
      <c r="C7" s="36">
        <v>110</v>
      </c>
      <c r="D7" s="36">
        <v>99</v>
      </c>
      <c r="E7" s="36">
        <v>127</v>
      </c>
      <c r="F7" s="36">
        <v>24</v>
      </c>
      <c r="G7" s="36">
        <v>1</v>
      </c>
      <c r="H7" s="36" t="s">
        <v>1385</v>
      </c>
      <c r="I7" s="36" t="s">
        <v>2484</v>
      </c>
      <c r="J7" s="36" t="s">
        <v>1386</v>
      </c>
      <c r="K7" s="36" t="s">
        <v>1387</v>
      </c>
      <c r="L7" s="36" t="s">
        <v>1388</v>
      </c>
      <c r="M7" s="36" t="s">
        <v>2485</v>
      </c>
    </row>
    <row r="8" spans="1:13" ht="12.75" customHeight="1">
      <c r="A8" s="36" t="s">
        <v>2085</v>
      </c>
      <c r="B8" s="36" t="s">
        <v>2086</v>
      </c>
      <c r="C8" s="36" t="s">
        <v>2087</v>
      </c>
      <c r="D8" s="36" t="s">
        <v>2088</v>
      </c>
      <c r="E8" s="36" t="s">
        <v>2089</v>
      </c>
      <c r="F8" s="36" t="s">
        <v>2090</v>
      </c>
      <c r="G8" s="36" t="s">
        <v>2091</v>
      </c>
      <c r="H8" s="36" t="s">
        <v>2092</v>
      </c>
      <c r="I8" s="36" t="s">
        <v>823</v>
      </c>
      <c r="J8" s="36" t="s">
        <v>2471</v>
      </c>
      <c r="K8" s="36" t="s">
        <v>2093</v>
      </c>
      <c r="L8" s="36" t="s">
        <v>2094</v>
      </c>
      <c r="M8" s="36" t="s">
        <v>2472</v>
      </c>
    </row>
    <row r="9" spans="1:1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3" ht="42" customHeight="1">
      <c r="A10" s="58" t="s">
        <v>2407</v>
      </c>
      <c r="B10" s="58" t="s">
        <v>2486</v>
      </c>
      <c r="C10" s="58" t="s">
        <v>2487</v>
      </c>
      <c r="D10" s="58" t="s">
        <v>820</v>
      </c>
      <c r="E10" s="58" t="s">
        <v>2488</v>
      </c>
      <c r="F10" s="58" t="s">
        <v>187</v>
      </c>
      <c r="G10" s="30"/>
      <c r="H10" s="30"/>
      <c r="I10" s="30"/>
      <c r="J10" s="30"/>
      <c r="K10" s="30"/>
      <c r="L10" s="30"/>
      <c r="M10" s="30"/>
    </row>
    <row r="11" spans="1:13" ht="42" customHeight="1">
      <c r="A11" s="59" t="s">
        <v>2489</v>
      </c>
      <c r="B11" s="68" t="s">
        <v>1759</v>
      </c>
      <c r="C11" s="59" t="str">
        <f>GRAFICAS!$G$61&amp;"/9"</f>
        <v>9/9</v>
      </c>
      <c r="D11" s="68" t="s">
        <v>1759</v>
      </c>
      <c r="E11" s="59" t="s">
        <v>2490</v>
      </c>
      <c r="F11" s="59" t="s">
        <v>2491</v>
      </c>
      <c r="G11" s="30"/>
      <c r="H11" s="30"/>
      <c r="I11" s="30"/>
      <c r="J11" s="30"/>
      <c r="K11" s="30"/>
      <c r="L11" s="30"/>
      <c r="M11" s="30"/>
    </row>
    <row r="12" spans="1:13" ht="42" customHeight="1">
      <c r="A12" s="59" t="s">
        <v>2492</v>
      </c>
      <c r="B12" s="68" t="s">
        <v>1759</v>
      </c>
      <c r="C12" s="59" t="str">
        <f>GRAFICAS!$G$62&amp;"/9"</f>
        <v>3/9</v>
      </c>
      <c r="D12" s="68" t="s">
        <v>1762</v>
      </c>
      <c r="E12" s="59" t="s">
        <v>2493</v>
      </c>
      <c r="F12" s="59" t="s">
        <v>2494</v>
      </c>
      <c r="G12" s="30"/>
      <c r="H12" s="30"/>
      <c r="I12" s="30"/>
      <c r="J12" s="30"/>
      <c r="K12" s="30"/>
      <c r="L12" s="30"/>
      <c r="M12" s="30"/>
    </row>
    <row r="13" spans="1:13" ht="42" customHeight="1">
      <c r="A13" s="59" t="s">
        <v>1379</v>
      </c>
      <c r="B13" s="68" t="s">
        <v>1759</v>
      </c>
      <c r="C13" s="59" t="str">
        <f>GRAFICAS!$G$63&amp;"/9"</f>
        <v>3/9</v>
      </c>
      <c r="D13" s="68" t="s">
        <v>1762</v>
      </c>
      <c r="E13" s="59" t="s">
        <v>2495</v>
      </c>
      <c r="F13" s="59" t="s">
        <v>2496</v>
      </c>
      <c r="G13" s="30"/>
      <c r="H13" s="30"/>
      <c r="I13" s="30"/>
      <c r="J13" s="30"/>
      <c r="K13" s="30"/>
      <c r="L13" s="30"/>
      <c r="M13" s="30"/>
    </row>
    <row r="14" spans="1:13" ht="42" customHeight="1">
      <c r="A14" s="59" t="s">
        <v>1384</v>
      </c>
      <c r="B14" s="68" t="s">
        <v>1759</v>
      </c>
      <c r="C14" s="59" t="str">
        <f>GRAFICAS!$G$64&amp;"/9"</f>
        <v>4/9</v>
      </c>
      <c r="D14" s="68" t="s">
        <v>2652</v>
      </c>
      <c r="E14" s="59" t="s">
        <v>2497</v>
      </c>
      <c r="F14" s="59" t="s">
        <v>2498</v>
      </c>
      <c r="G14" s="30"/>
      <c r="H14" s="30"/>
      <c r="I14" s="30"/>
      <c r="J14" s="30"/>
      <c r="K14" s="30"/>
      <c r="L14" s="30"/>
      <c r="M14" s="30"/>
    </row>
    <row r="15" spans="1:13" ht="42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27.95" customHeight="1">
      <c r="A16" s="95" t="s">
        <v>2499</v>
      </c>
      <c r="B16" s="95"/>
      <c r="C16" s="95"/>
      <c r="D16" s="95"/>
      <c r="E16" s="95"/>
      <c r="F16" s="95"/>
      <c r="G16" s="30"/>
      <c r="H16" s="30"/>
      <c r="I16" s="30"/>
      <c r="J16" s="30"/>
      <c r="K16" s="30"/>
      <c r="L16" s="30"/>
      <c r="M16" s="30"/>
    </row>
    <row r="17" spans="1:13" ht="27.95" customHeight="1">
      <c r="A17" s="58" t="s">
        <v>2500</v>
      </c>
      <c r="B17" s="58" t="s">
        <v>2501</v>
      </c>
      <c r="C17" s="58" t="s">
        <v>2502</v>
      </c>
      <c r="D17" s="58" t="s">
        <v>2503</v>
      </c>
      <c r="E17" s="58" t="s">
        <v>2504</v>
      </c>
      <c r="F17" s="58" t="s">
        <v>922</v>
      </c>
      <c r="G17" s="30"/>
      <c r="H17" s="30"/>
      <c r="I17" s="30"/>
      <c r="J17" s="30"/>
      <c r="K17" s="30"/>
      <c r="L17" s="30"/>
      <c r="M17" s="30"/>
    </row>
    <row r="18" spans="1:13" ht="42" customHeight="1">
      <c r="A18" s="59" t="s">
        <v>1379</v>
      </c>
      <c r="B18" s="59" t="s">
        <v>2505</v>
      </c>
      <c r="C18" s="59" t="s">
        <v>2506</v>
      </c>
      <c r="D18" s="59" t="s">
        <v>2507</v>
      </c>
      <c r="E18" s="59" t="s">
        <v>2508</v>
      </c>
      <c r="F18" s="59" t="s">
        <v>2509</v>
      </c>
      <c r="G18" s="30"/>
      <c r="H18" s="30"/>
      <c r="I18" s="30"/>
      <c r="J18" s="30"/>
      <c r="K18" s="30"/>
      <c r="L18" s="30"/>
      <c r="M18" s="30"/>
    </row>
    <row r="19" spans="1:13" ht="42" customHeight="1">
      <c r="A19" s="59" t="s">
        <v>1384</v>
      </c>
      <c r="B19" s="59" t="s">
        <v>2510</v>
      </c>
      <c r="C19" s="59" t="s">
        <v>2511</v>
      </c>
      <c r="D19" s="59" t="s">
        <v>2484</v>
      </c>
      <c r="E19" s="59" t="s">
        <v>2508</v>
      </c>
      <c r="F19" s="59" t="s">
        <v>2512</v>
      </c>
      <c r="G19" s="30"/>
      <c r="H19" s="30"/>
      <c r="I19" s="30"/>
      <c r="J19" s="30"/>
      <c r="K19" s="30"/>
      <c r="L19" s="30"/>
      <c r="M19" s="30"/>
    </row>
    <row r="20" spans="1:13" ht="42" customHeight="1">
      <c r="A20" s="59" t="s">
        <v>2513</v>
      </c>
      <c r="B20" s="68" t="s">
        <v>2653</v>
      </c>
      <c r="C20" s="59" t="s">
        <v>2514</v>
      </c>
      <c r="D20" s="59" t="s">
        <v>2515</v>
      </c>
      <c r="E20" s="59" t="s">
        <v>2516</v>
      </c>
      <c r="F20" s="59" t="s">
        <v>2517</v>
      </c>
      <c r="G20" s="30"/>
      <c r="H20" s="30"/>
      <c r="I20" s="30"/>
      <c r="J20" s="30"/>
      <c r="K20" s="30"/>
      <c r="L20" s="30"/>
      <c r="M20" s="30"/>
    </row>
    <row r="21" spans="1:13" ht="42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42" customHeight="1">
      <c r="A22" s="96" t="s">
        <v>2518</v>
      </c>
      <c r="B22" s="96"/>
      <c r="C22" s="96"/>
      <c r="D22" s="96"/>
      <c r="E22" s="96"/>
      <c r="F22" s="96"/>
      <c r="G22" s="30"/>
      <c r="H22" s="30"/>
      <c r="I22" s="30"/>
      <c r="J22" s="30"/>
      <c r="K22" s="30"/>
      <c r="L22" s="30"/>
      <c r="M22" s="30"/>
    </row>
    <row r="23" spans="1:13" ht="42" customHeight="1">
      <c r="A23" s="96"/>
      <c r="B23" s="96"/>
      <c r="C23" s="96"/>
      <c r="D23" s="96"/>
      <c r="E23" s="96"/>
      <c r="F23" s="96"/>
      <c r="G23" s="30"/>
      <c r="H23" s="30"/>
      <c r="I23" s="30"/>
      <c r="J23" s="30"/>
      <c r="K23" s="30"/>
      <c r="L23" s="30"/>
      <c r="M23" s="30"/>
    </row>
  </sheetData>
  <autoFilter ref="A4:M8" xr:uid="{820F23D2-E4A6-4376-A0CB-013431943799}"/>
  <mergeCells count="2">
    <mergeCell ref="A16:F16"/>
    <mergeCell ref="A22:F23"/>
  </mergeCells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1.625" style="18" customWidth="1"/>
    <col min="2" max="2" width="12.625" style="18" customWidth="1"/>
    <col min="3" max="3" width="42.625" style="18" customWidth="1"/>
    <col min="4" max="4" width="20.625" style="18" customWidth="1"/>
    <col min="5" max="5" width="22.625" style="18" customWidth="1"/>
    <col min="6" max="6" width="11.625" style="18" customWidth="1"/>
    <col min="7" max="7" width="42.625" style="18" customWidth="1"/>
    <col min="8" max="8" width="54.625" style="18" customWidth="1"/>
    <col min="9" max="16384" width="11" style="18"/>
  </cols>
  <sheetData>
    <row r="1" spans="1:8" ht="27.95" customHeight="1">
      <c r="A1" s="97" t="s">
        <v>2541</v>
      </c>
      <c r="B1" s="97"/>
      <c r="C1" s="97"/>
      <c r="D1" s="97"/>
      <c r="E1" s="97"/>
      <c r="F1" s="97"/>
      <c r="G1" s="97"/>
      <c r="H1" s="97"/>
    </row>
    <row r="2" spans="1:8" ht="36" customHeight="1">
      <c r="A2" s="98" t="s">
        <v>2542</v>
      </c>
      <c r="B2" s="98"/>
      <c r="C2" s="98"/>
      <c r="D2" s="98"/>
      <c r="E2" s="98"/>
      <c r="F2" s="98"/>
      <c r="G2" s="98"/>
      <c r="H2" s="98"/>
    </row>
    <row r="4" spans="1:8">
      <c r="A4" s="58" t="s">
        <v>1389</v>
      </c>
      <c r="B4" s="58" t="s">
        <v>2543</v>
      </c>
      <c r="C4" s="58" t="s">
        <v>2544</v>
      </c>
      <c r="D4" s="58" t="s">
        <v>52</v>
      </c>
      <c r="E4" s="58" t="s">
        <v>132</v>
      </c>
      <c r="F4" s="58" t="s">
        <v>1365</v>
      </c>
      <c r="G4" s="58" t="s">
        <v>2545</v>
      </c>
      <c r="H4" s="58" t="s">
        <v>2546</v>
      </c>
    </row>
    <row r="5" spans="1:8" ht="45.95" customHeight="1">
      <c r="A5" s="59">
        <v>92032</v>
      </c>
      <c r="B5" s="59" t="s">
        <v>1482</v>
      </c>
      <c r="C5" s="59" t="s">
        <v>2547</v>
      </c>
      <c r="D5" s="59" t="s">
        <v>71</v>
      </c>
      <c r="E5" s="59" t="s">
        <v>72</v>
      </c>
      <c r="F5" s="59">
        <v>14</v>
      </c>
      <c r="G5" s="59" t="s">
        <v>2548</v>
      </c>
      <c r="H5" s="59" t="s">
        <v>2549</v>
      </c>
    </row>
    <row r="6" spans="1:8" ht="45.95" customHeight="1">
      <c r="A6" s="59">
        <v>92302</v>
      </c>
      <c r="B6" s="59" t="s">
        <v>1482</v>
      </c>
      <c r="C6" s="59" t="s">
        <v>2550</v>
      </c>
      <c r="D6" s="59" t="s">
        <v>86</v>
      </c>
      <c r="E6" s="59" t="s">
        <v>87</v>
      </c>
      <c r="F6" s="59">
        <v>1</v>
      </c>
      <c r="G6" s="59" t="s">
        <v>2521</v>
      </c>
      <c r="H6" s="59" t="s">
        <v>2549</v>
      </c>
    </row>
    <row r="7" spans="1:8" ht="45.95" customHeight="1">
      <c r="A7" s="59">
        <v>91835</v>
      </c>
      <c r="B7" s="59" t="s">
        <v>1482</v>
      </c>
      <c r="C7" s="59" t="s">
        <v>2551</v>
      </c>
      <c r="D7" s="59" t="s">
        <v>102</v>
      </c>
      <c r="E7" s="59" t="s">
        <v>103</v>
      </c>
      <c r="F7" s="59">
        <v>1</v>
      </c>
      <c r="G7" s="59" t="s">
        <v>2521</v>
      </c>
      <c r="H7" s="59" t="s">
        <v>2549</v>
      </c>
    </row>
    <row r="8" spans="1:8" ht="45.95" customHeight="1">
      <c r="A8" s="59">
        <v>92077</v>
      </c>
      <c r="B8" s="59" t="s">
        <v>1482</v>
      </c>
      <c r="C8" s="59" t="s">
        <v>2552</v>
      </c>
      <c r="D8" s="59" t="s">
        <v>102</v>
      </c>
      <c r="E8" s="59" t="s">
        <v>103</v>
      </c>
      <c r="F8" s="59">
        <v>3</v>
      </c>
      <c r="G8" s="59" t="s">
        <v>2521</v>
      </c>
      <c r="H8" s="59" t="s">
        <v>2549</v>
      </c>
    </row>
    <row r="9" spans="1:8" ht="45.95" customHeight="1">
      <c r="A9" s="59">
        <v>92307</v>
      </c>
      <c r="B9" s="59" t="s">
        <v>1482</v>
      </c>
      <c r="C9" s="59" t="s">
        <v>2553</v>
      </c>
      <c r="D9" s="59" t="s">
        <v>2554</v>
      </c>
      <c r="E9" s="59" t="s">
        <v>2555</v>
      </c>
      <c r="F9" s="59">
        <v>1</v>
      </c>
      <c r="G9" s="59" t="s">
        <v>2556</v>
      </c>
      <c r="H9" s="59" t="s">
        <v>2549</v>
      </c>
    </row>
    <row r="10" spans="1:8" ht="45.95" customHeight="1">
      <c r="A10" s="59">
        <v>110201</v>
      </c>
      <c r="B10" s="59" t="s">
        <v>2557</v>
      </c>
      <c r="C10" s="59" t="s">
        <v>2558</v>
      </c>
      <c r="D10" s="59" t="s">
        <v>48</v>
      </c>
      <c r="E10" s="59" t="s">
        <v>1228</v>
      </c>
      <c r="F10" s="59">
        <v>0</v>
      </c>
      <c r="G10" s="59" t="s">
        <v>2522</v>
      </c>
      <c r="H10" s="59" t="s">
        <v>2559</v>
      </c>
    </row>
    <row r="11" spans="1:8" ht="45.95" customHeight="1">
      <c r="A11" s="59">
        <v>110202</v>
      </c>
      <c r="B11" s="59" t="s">
        <v>2557</v>
      </c>
      <c r="C11" s="59" t="s">
        <v>2560</v>
      </c>
      <c r="D11" s="59" t="s">
        <v>115</v>
      </c>
      <c r="E11" s="59" t="s">
        <v>116</v>
      </c>
      <c r="F11" s="59">
        <v>5</v>
      </c>
      <c r="G11" s="59" t="s">
        <v>2561</v>
      </c>
      <c r="H11" s="59" t="s">
        <v>2559</v>
      </c>
    </row>
    <row r="12" spans="1:8" ht="45.95" customHeight="1">
      <c r="A12" s="59">
        <v>110203</v>
      </c>
      <c r="B12" s="59" t="s">
        <v>2557</v>
      </c>
      <c r="C12" s="59" t="s">
        <v>2562</v>
      </c>
      <c r="D12" s="59" t="s">
        <v>108</v>
      </c>
      <c r="E12" s="59" t="s">
        <v>109</v>
      </c>
      <c r="F12" s="59">
        <v>4</v>
      </c>
      <c r="G12" s="59" t="s">
        <v>2521</v>
      </c>
      <c r="H12" s="59" t="s">
        <v>2559</v>
      </c>
    </row>
    <row r="13" spans="1:8" ht="45.95" customHeight="1">
      <c r="A13" s="59">
        <v>110301</v>
      </c>
      <c r="B13" s="59" t="s">
        <v>2557</v>
      </c>
      <c r="C13" s="59" t="s">
        <v>2563</v>
      </c>
      <c r="D13" s="59" t="s">
        <v>62</v>
      </c>
      <c r="E13" s="59" t="s">
        <v>63</v>
      </c>
      <c r="F13" s="59">
        <v>2</v>
      </c>
      <c r="G13" s="59" t="s">
        <v>2521</v>
      </c>
      <c r="H13" s="59" t="s">
        <v>2559</v>
      </c>
    </row>
    <row r="14" spans="1:8" ht="45.95" customHeight="1">
      <c r="A14" s="59">
        <v>110401</v>
      </c>
      <c r="B14" s="59" t="s">
        <v>2557</v>
      </c>
      <c r="C14" s="59" t="s">
        <v>2564</v>
      </c>
      <c r="D14" s="59" t="s">
        <v>86</v>
      </c>
      <c r="E14" s="59" t="s">
        <v>87</v>
      </c>
      <c r="F14" s="59">
        <v>0</v>
      </c>
      <c r="G14" s="59" t="s">
        <v>2522</v>
      </c>
      <c r="H14" s="59" t="s">
        <v>2559</v>
      </c>
    </row>
    <row r="15" spans="1:8" ht="45.95" customHeight="1">
      <c r="A15" s="59">
        <v>110402</v>
      </c>
      <c r="B15" s="59" t="s">
        <v>2557</v>
      </c>
      <c r="C15" s="59" t="s">
        <v>2565</v>
      </c>
      <c r="D15" s="59" t="s">
        <v>95</v>
      </c>
      <c r="E15" s="59" t="s">
        <v>96</v>
      </c>
      <c r="F15" s="59">
        <v>1</v>
      </c>
      <c r="G15" s="59" t="s">
        <v>2521</v>
      </c>
      <c r="H15" s="59" t="s">
        <v>2559</v>
      </c>
    </row>
    <row r="16" spans="1:8" ht="45.95" customHeight="1">
      <c r="A16" s="59">
        <v>110501</v>
      </c>
      <c r="B16" s="59" t="s">
        <v>2557</v>
      </c>
      <c r="C16" s="59" t="s">
        <v>2566</v>
      </c>
      <c r="D16" s="59" t="s">
        <v>2567</v>
      </c>
      <c r="E16" s="59" t="s">
        <v>63</v>
      </c>
      <c r="F16" s="59">
        <v>44</v>
      </c>
      <c r="G16" s="59" t="s">
        <v>2568</v>
      </c>
      <c r="H16" s="59" t="s">
        <v>2559</v>
      </c>
    </row>
    <row r="18" spans="1:8">
      <c r="A18" s="96" t="s">
        <v>2569</v>
      </c>
      <c r="B18" s="96"/>
      <c r="C18" s="96"/>
      <c r="D18" s="96"/>
      <c r="E18" s="96"/>
      <c r="F18" s="96"/>
      <c r="G18" s="96"/>
      <c r="H18" s="96"/>
    </row>
    <row r="19" spans="1:8">
      <c r="A19" s="96"/>
      <c r="B19" s="96"/>
      <c r="C19" s="96"/>
      <c r="D19" s="96"/>
      <c r="E19" s="96"/>
      <c r="F19" s="96"/>
      <c r="G19" s="96"/>
      <c r="H19" s="96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62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8" customWidth="1"/>
    <col min="3" max="5" width="42.625" style="18" customWidth="1"/>
    <col min="6" max="16384" width="11" style="18"/>
  </cols>
  <sheetData>
    <row r="1" spans="1:5" ht="27.95" customHeight="1">
      <c r="A1" s="20" t="s">
        <v>1391</v>
      </c>
    </row>
    <row r="2" spans="1:5" ht="36" customHeight="1">
      <c r="A2" s="21" t="s">
        <v>1392</v>
      </c>
    </row>
    <row r="4" spans="1:5">
      <c r="A4" s="22" t="s">
        <v>1393</v>
      </c>
      <c r="B4" s="22" t="s">
        <v>1390</v>
      </c>
      <c r="C4" s="22" t="s">
        <v>1394</v>
      </c>
      <c r="D4" s="22" t="s">
        <v>925</v>
      </c>
      <c r="E4" s="22" t="s">
        <v>1395</v>
      </c>
    </row>
    <row r="5" spans="1:5">
      <c r="A5" s="23" t="s">
        <v>1396</v>
      </c>
      <c r="B5" s="23" t="s">
        <v>1397</v>
      </c>
      <c r="C5" s="23" t="s">
        <v>1053</v>
      </c>
      <c r="D5" s="23" t="s">
        <v>1398</v>
      </c>
      <c r="E5" s="23" t="s">
        <v>1399</v>
      </c>
    </row>
    <row r="6" spans="1:5">
      <c r="A6" s="23" t="s">
        <v>1396</v>
      </c>
      <c r="B6" s="23" t="s">
        <v>1397</v>
      </c>
      <c r="C6" s="23" t="s">
        <v>1085</v>
      </c>
      <c r="D6" s="23" t="s">
        <v>1400</v>
      </c>
      <c r="E6" s="23" t="s">
        <v>1399</v>
      </c>
    </row>
    <row r="7" spans="1:5">
      <c r="A7" s="23" t="s">
        <v>1396</v>
      </c>
      <c r="B7" s="23" t="s">
        <v>1397</v>
      </c>
      <c r="C7" s="23" t="s">
        <v>1154</v>
      </c>
      <c r="D7" s="23" t="s">
        <v>1401</v>
      </c>
      <c r="E7" s="23" t="s">
        <v>1399</v>
      </c>
    </row>
    <row r="8" spans="1:5">
      <c r="A8" s="23" t="s">
        <v>1396</v>
      </c>
      <c r="B8" s="23" t="s">
        <v>1397</v>
      </c>
      <c r="C8" s="23" t="s">
        <v>1164</v>
      </c>
      <c r="D8" s="23" t="s">
        <v>1402</v>
      </c>
      <c r="E8" s="23" t="s">
        <v>1399</v>
      </c>
    </row>
    <row r="9" spans="1:5">
      <c r="A9" s="23" t="s">
        <v>1396</v>
      </c>
      <c r="B9" s="23" t="s">
        <v>1397</v>
      </c>
      <c r="C9" s="23" t="s">
        <v>1175</v>
      </c>
      <c r="D9" s="23" t="s">
        <v>1403</v>
      </c>
      <c r="E9" s="23" t="s">
        <v>1399</v>
      </c>
    </row>
    <row r="10" spans="1:5">
      <c r="A10" s="23" t="s">
        <v>1396</v>
      </c>
      <c r="B10" s="23" t="s">
        <v>1397</v>
      </c>
      <c r="C10" s="23" t="s">
        <v>1180</v>
      </c>
      <c r="D10" s="23" t="s">
        <v>1404</v>
      </c>
      <c r="E10" s="23" t="s">
        <v>1399</v>
      </c>
    </row>
    <row r="11" spans="1:5">
      <c r="A11" s="23" t="s">
        <v>1396</v>
      </c>
      <c r="B11" s="23" t="s">
        <v>1397</v>
      </c>
      <c r="C11" s="23" t="s">
        <v>1188</v>
      </c>
      <c r="D11" s="23" t="s">
        <v>1405</v>
      </c>
      <c r="E11" s="23" t="s">
        <v>1399</v>
      </c>
    </row>
    <row r="12" spans="1:5">
      <c r="A12" s="23" t="s">
        <v>1396</v>
      </c>
      <c r="B12" s="23" t="s">
        <v>1397</v>
      </c>
      <c r="C12" s="23" t="s">
        <v>1204</v>
      </c>
      <c r="D12" s="23" t="s">
        <v>1406</v>
      </c>
      <c r="E12" s="23" t="s">
        <v>1399</v>
      </c>
    </row>
    <row r="13" spans="1:5">
      <c r="A13" s="23" t="s">
        <v>1396</v>
      </c>
      <c r="B13" s="23" t="s">
        <v>1397</v>
      </c>
      <c r="C13" s="23" t="s">
        <v>1208</v>
      </c>
      <c r="D13" s="23" t="s">
        <v>1403</v>
      </c>
      <c r="E13" s="23" t="s">
        <v>1399</v>
      </c>
    </row>
    <row r="14" spans="1:5">
      <c r="A14" s="23" t="s">
        <v>1396</v>
      </c>
      <c r="B14" s="23" t="s">
        <v>1397</v>
      </c>
      <c r="C14" s="23" t="s">
        <v>1213</v>
      </c>
      <c r="D14" s="23" t="s">
        <v>1407</v>
      </c>
      <c r="E14" s="23" t="s">
        <v>1399</v>
      </c>
    </row>
    <row r="15" spans="1:5">
      <c r="A15" s="23" t="s">
        <v>1396</v>
      </c>
      <c r="B15" s="23" t="s">
        <v>1397</v>
      </c>
      <c r="C15" s="23" t="s">
        <v>1219</v>
      </c>
      <c r="D15" s="23" t="s">
        <v>1408</v>
      </c>
      <c r="E15" s="23" t="s">
        <v>1399</v>
      </c>
    </row>
    <row r="16" spans="1:5">
      <c r="A16" s="23" t="s">
        <v>1396</v>
      </c>
      <c r="B16" s="23" t="s">
        <v>1397</v>
      </c>
      <c r="C16" s="23" t="s">
        <v>1226</v>
      </c>
      <c r="D16" s="23" t="s">
        <v>1409</v>
      </c>
      <c r="E16" s="23" t="s">
        <v>1399</v>
      </c>
    </row>
    <row r="17" spans="1:5">
      <c r="A17" s="23" t="s">
        <v>1396</v>
      </c>
      <c r="B17" s="23" t="s">
        <v>1397</v>
      </c>
      <c r="C17" s="23" t="s">
        <v>1232</v>
      </c>
      <c r="D17" s="23" t="s">
        <v>1410</v>
      </c>
      <c r="E17" s="23" t="s">
        <v>1399</v>
      </c>
    </row>
    <row r="18" spans="1:5">
      <c r="A18" s="23" t="s">
        <v>1396</v>
      </c>
      <c r="B18" s="23" t="s">
        <v>1397</v>
      </c>
      <c r="C18" s="23" t="s">
        <v>1235</v>
      </c>
      <c r="D18" s="23" t="s">
        <v>1411</v>
      </c>
      <c r="E18" s="23" t="s">
        <v>1399</v>
      </c>
    </row>
    <row r="19" spans="1:5">
      <c r="A19" s="23" t="s">
        <v>1396</v>
      </c>
      <c r="B19" s="23" t="s">
        <v>1397</v>
      </c>
      <c r="C19" s="23" t="s">
        <v>1238</v>
      </c>
      <c r="D19" s="23" t="s">
        <v>1412</v>
      </c>
      <c r="E19" s="23" t="s">
        <v>1399</v>
      </c>
    </row>
    <row r="20" spans="1:5">
      <c r="A20" s="23" t="s">
        <v>1396</v>
      </c>
      <c r="B20" s="23" t="s">
        <v>1397</v>
      </c>
      <c r="C20" s="23" t="s">
        <v>1241</v>
      </c>
      <c r="D20" s="23" t="s">
        <v>1413</v>
      </c>
      <c r="E20" s="23" t="s">
        <v>1399</v>
      </c>
    </row>
    <row r="21" spans="1:5">
      <c r="A21" s="23" t="s">
        <v>1396</v>
      </c>
      <c r="B21" s="23" t="s">
        <v>1397</v>
      </c>
      <c r="C21" s="23" t="s">
        <v>1244</v>
      </c>
      <c r="D21" s="23" t="s">
        <v>1414</v>
      </c>
      <c r="E21" s="23" t="s">
        <v>1399</v>
      </c>
    </row>
    <row r="22" spans="1:5">
      <c r="A22" s="23" t="s">
        <v>1396</v>
      </c>
      <c r="B22" s="23" t="s">
        <v>1397</v>
      </c>
      <c r="C22" s="23" t="s">
        <v>1247</v>
      </c>
      <c r="D22" s="23" t="s">
        <v>1403</v>
      </c>
      <c r="E22" s="23" t="s">
        <v>1399</v>
      </c>
    </row>
    <row r="23" spans="1:5">
      <c r="A23" s="23" t="s">
        <v>1396</v>
      </c>
      <c r="B23" s="23" t="s">
        <v>1397</v>
      </c>
      <c r="C23" s="23" t="s">
        <v>1250</v>
      </c>
      <c r="D23" s="23" t="s">
        <v>1415</v>
      </c>
      <c r="E23" s="23" t="s">
        <v>1399</v>
      </c>
    </row>
    <row r="24" spans="1:5">
      <c r="A24" s="23" t="s">
        <v>1396</v>
      </c>
      <c r="B24" s="23" t="s">
        <v>1397</v>
      </c>
      <c r="C24" s="23" t="s">
        <v>1254</v>
      </c>
      <c r="D24" s="23" t="s">
        <v>1416</v>
      </c>
      <c r="E24" s="23" t="s">
        <v>1399</v>
      </c>
    </row>
    <row r="25" spans="1:5">
      <c r="A25" s="23" t="s">
        <v>1396</v>
      </c>
      <c r="B25" s="23" t="s">
        <v>1397</v>
      </c>
      <c r="C25" s="23" t="s">
        <v>1259</v>
      </c>
      <c r="D25" s="23" t="s">
        <v>1417</v>
      </c>
      <c r="E25" s="23" t="s">
        <v>1399</v>
      </c>
    </row>
    <row r="26" spans="1:5">
      <c r="A26" s="23" t="s">
        <v>1396</v>
      </c>
      <c r="B26" s="23" t="s">
        <v>1397</v>
      </c>
      <c r="C26" s="23" t="s">
        <v>1265</v>
      </c>
      <c r="D26" s="23" t="s">
        <v>1418</v>
      </c>
      <c r="E26" s="23" t="s">
        <v>1399</v>
      </c>
    </row>
    <row r="27" spans="1:5">
      <c r="A27" s="23" t="s">
        <v>1396</v>
      </c>
      <c r="B27" s="23" t="s">
        <v>1397</v>
      </c>
      <c r="C27" s="23" t="s">
        <v>1269</v>
      </c>
      <c r="D27" s="23" t="s">
        <v>1419</v>
      </c>
      <c r="E27" s="23" t="s">
        <v>1399</v>
      </c>
    </row>
    <row r="28" spans="1:5">
      <c r="A28" s="23" t="s">
        <v>1396</v>
      </c>
      <c r="B28" s="23" t="s">
        <v>1397</v>
      </c>
      <c r="C28" s="23" t="s">
        <v>1273</v>
      </c>
      <c r="D28" s="23" t="s">
        <v>1420</v>
      </c>
      <c r="E28" s="23" t="s">
        <v>1399</v>
      </c>
    </row>
    <row r="29" spans="1:5">
      <c r="A29" s="23" t="s">
        <v>1396</v>
      </c>
      <c r="B29" s="23" t="s">
        <v>1397</v>
      </c>
      <c r="C29" s="23" t="s">
        <v>1278</v>
      </c>
      <c r="D29" s="23" t="s">
        <v>1421</v>
      </c>
      <c r="E29" s="23" t="s">
        <v>1399</v>
      </c>
    </row>
    <row r="30" spans="1:5">
      <c r="A30" s="23" t="s">
        <v>1396</v>
      </c>
      <c r="B30" s="23" t="s">
        <v>1397</v>
      </c>
      <c r="C30" s="23" t="s">
        <v>1422</v>
      </c>
      <c r="D30" s="23" t="s">
        <v>1423</v>
      </c>
      <c r="E30" s="23" t="s">
        <v>1424</v>
      </c>
    </row>
    <row r="31" spans="1:5">
      <c r="A31" s="23" t="s">
        <v>1396</v>
      </c>
      <c r="B31" s="23" t="s">
        <v>1397</v>
      </c>
      <c r="C31" s="23" t="s">
        <v>1425</v>
      </c>
      <c r="D31" s="23" t="s">
        <v>1426</v>
      </c>
      <c r="E31" s="23" t="s">
        <v>1424</v>
      </c>
    </row>
    <row r="32" spans="1:5">
      <c r="A32" s="23" t="s">
        <v>1396</v>
      </c>
      <c r="B32" s="23" t="s">
        <v>1397</v>
      </c>
      <c r="C32" s="23" t="s">
        <v>1427</v>
      </c>
      <c r="D32" s="23" t="s">
        <v>1428</v>
      </c>
      <c r="E32" s="23" t="s">
        <v>1424</v>
      </c>
    </row>
    <row r="33" spans="1:5">
      <c r="A33" s="23" t="s">
        <v>1396</v>
      </c>
      <c r="B33" s="23" t="s">
        <v>1397</v>
      </c>
      <c r="C33" s="23" t="s">
        <v>1429</v>
      </c>
      <c r="D33" s="23" t="s">
        <v>1430</v>
      </c>
      <c r="E33" s="23" t="s">
        <v>1424</v>
      </c>
    </row>
    <row r="34" spans="1:5">
      <c r="A34" s="23" t="s">
        <v>1396</v>
      </c>
      <c r="B34" s="23" t="s">
        <v>1397</v>
      </c>
      <c r="C34" s="23" t="s">
        <v>1431</v>
      </c>
      <c r="D34" s="23" t="s">
        <v>1432</v>
      </c>
      <c r="E34" s="23" t="s">
        <v>1424</v>
      </c>
    </row>
    <row r="35" spans="1:5">
      <c r="A35" s="23" t="s">
        <v>1396</v>
      </c>
      <c r="B35" s="23" t="s">
        <v>1397</v>
      </c>
      <c r="C35" s="23" t="s">
        <v>1433</v>
      </c>
      <c r="D35" s="23" t="s">
        <v>1434</v>
      </c>
      <c r="E35" s="23" t="s">
        <v>1424</v>
      </c>
    </row>
    <row r="36" spans="1:5">
      <c r="A36" s="23" t="s">
        <v>1396</v>
      </c>
      <c r="B36" s="23" t="s">
        <v>1397</v>
      </c>
      <c r="C36" s="23" t="s">
        <v>1435</v>
      </c>
      <c r="D36" s="23" t="s">
        <v>1436</v>
      </c>
      <c r="E36" s="23" t="s">
        <v>1424</v>
      </c>
    </row>
    <row r="37" spans="1:5">
      <c r="A37" s="23" t="s">
        <v>1396</v>
      </c>
      <c r="B37" s="23" t="s">
        <v>1397</v>
      </c>
      <c r="C37" s="23" t="s">
        <v>1437</v>
      </c>
      <c r="D37" s="23" t="s">
        <v>1432</v>
      </c>
      <c r="E37" s="23" t="s">
        <v>1424</v>
      </c>
    </row>
    <row r="38" spans="1:5">
      <c r="A38" s="23" t="s">
        <v>1396</v>
      </c>
      <c r="B38" s="23" t="s">
        <v>1397</v>
      </c>
      <c r="C38" s="23" t="s">
        <v>1438</v>
      </c>
      <c r="D38" s="23" t="s">
        <v>1439</v>
      </c>
      <c r="E38" s="23" t="s">
        <v>1424</v>
      </c>
    </row>
    <row r="39" spans="1:5">
      <c r="A39" s="23" t="s">
        <v>1396</v>
      </c>
      <c r="B39" s="23" t="s">
        <v>1397</v>
      </c>
      <c r="C39" s="23" t="s">
        <v>1440</v>
      </c>
      <c r="D39" s="23" t="s">
        <v>1441</v>
      </c>
      <c r="E39" s="23" t="s">
        <v>1424</v>
      </c>
    </row>
    <row r="40" spans="1:5">
      <c r="A40" s="23" t="s">
        <v>1396</v>
      </c>
      <c r="B40" s="23" t="s">
        <v>1397</v>
      </c>
      <c r="C40" s="23" t="s">
        <v>1442</v>
      </c>
      <c r="D40" s="23" t="s">
        <v>1443</v>
      </c>
      <c r="E40" s="23" t="s">
        <v>1424</v>
      </c>
    </row>
    <row r="41" spans="1:5">
      <c r="A41" s="23" t="s">
        <v>1396</v>
      </c>
      <c r="B41" s="23" t="s">
        <v>1397</v>
      </c>
      <c r="C41" s="23" t="s">
        <v>1444</v>
      </c>
      <c r="D41" s="23" t="s">
        <v>1445</v>
      </c>
      <c r="E41" s="23" t="s">
        <v>1424</v>
      </c>
    </row>
    <row r="42" spans="1:5">
      <c r="A42" s="23" t="s">
        <v>1396</v>
      </c>
      <c r="B42" s="23" t="s">
        <v>1397</v>
      </c>
      <c r="C42" s="23" t="s">
        <v>1446</v>
      </c>
      <c r="D42" s="23" t="s">
        <v>1447</v>
      </c>
      <c r="E42" s="23" t="s">
        <v>1424</v>
      </c>
    </row>
    <row r="43" spans="1:5">
      <c r="A43" s="23" t="s">
        <v>1396</v>
      </c>
      <c r="B43" s="23" t="s">
        <v>1397</v>
      </c>
      <c r="C43" s="23" t="s">
        <v>1448</v>
      </c>
      <c r="D43" s="23" t="s">
        <v>1432</v>
      </c>
      <c r="E43" s="23" t="s">
        <v>1424</v>
      </c>
    </row>
    <row r="44" spans="1:5">
      <c r="A44" s="23" t="s">
        <v>1396</v>
      </c>
      <c r="B44" s="23" t="s">
        <v>1397</v>
      </c>
      <c r="C44" s="23" t="s">
        <v>1449</v>
      </c>
      <c r="D44" s="23" t="s">
        <v>1450</v>
      </c>
      <c r="E44" s="23" t="s">
        <v>1424</v>
      </c>
    </row>
    <row r="45" spans="1:5">
      <c r="A45" s="23" t="s">
        <v>1396</v>
      </c>
      <c r="B45" s="23" t="s">
        <v>1397</v>
      </c>
      <c r="C45" s="23" t="s">
        <v>1451</v>
      </c>
      <c r="D45" s="23" t="s">
        <v>1452</v>
      </c>
      <c r="E45" s="23" t="s">
        <v>1424</v>
      </c>
    </row>
    <row r="46" spans="1:5">
      <c r="A46" s="23" t="s">
        <v>1396</v>
      </c>
      <c r="B46" s="23" t="s">
        <v>1397</v>
      </c>
      <c r="C46" s="23" t="s">
        <v>1453</v>
      </c>
      <c r="D46" s="23" t="s">
        <v>1454</v>
      </c>
      <c r="E46" s="23" t="s">
        <v>1424</v>
      </c>
    </row>
    <row r="47" spans="1:5">
      <c r="A47" s="23" t="s">
        <v>1396</v>
      </c>
      <c r="B47" s="23" t="s">
        <v>1397</v>
      </c>
      <c r="C47" s="23" t="s">
        <v>1455</v>
      </c>
      <c r="D47" s="23" t="s">
        <v>1456</v>
      </c>
      <c r="E47" s="23" t="s">
        <v>1424</v>
      </c>
    </row>
    <row r="48" spans="1:5">
      <c r="A48" s="23" t="s">
        <v>1396</v>
      </c>
      <c r="B48" s="23" t="s">
        <v>1397</v>
      </c>
      <c r="C48" s="23" t="s">
        <v>1457</v>
      </c>
      <c r="D48" s="23" t="s">
        <v>1439</v>
      </c>
      <c r="E48" s="23" t="s">
        <v>1424</v>
      </c>
    </row>
    <row r="49" spans="1:5">
      <c r="A49" s="23" t="s">
        <v>1396</v>
      </c>
      <c r="B49" s="23" t="s">
        <v>1397</v>
      </c>
      <c r="C49" s="23" t="s">
        <v>1458</v>
      </c>
      <c r="D49" s="23" t="s">
        <v>1459</v>
      </c>
      <c r="E49" s="23" t="s">
        <v>1424</v>
      </c>
    </row>
    <row r="50" spans="1:5">
      <c r="A50" s="23" t="s">
        <v>1396</v>
      </c>
      <c r="B50" s="23" t="s">
        <v>1397</v>
      </c>
      <c r="C50" s="23" t="s">
        <v>1460</v>
      </c>
      <c r="D50" s="23" t="s">
        <v>1461</v>
      </c>
      <c r="E50" s="23" t="s">
        <v>1424</v>
      </c>
    </row>
    <row r="51" spans="1:5">
      <c r="A51" s="23" t="s">
        <v>1462</v>
      </c>
      <c r="B51" s="23" t="s">
        <v>1463</v>
      </c>
      <c r="C51" s="23" t="s">
        <v>1464</v>
      </c>
      <c r="D51" s="23" t="s">
        <v>1465</v>
      </c>
      <c r="E51" s="23" t="s">
        <v>1466</v>
      </c>
    </row>
    <row r="52" spans="1:5">
      <c r="A52" s="23" t="s">
        <v>1467</v>
      </c>
      <c r="B52" s="23" t="s">
        <v>1463</v>
      </c>
      <c r="C52" s="23" t="s">
        <v>1468</v>
      </c>
      <c r="D52" s="23" t="s">
        <v>1469</v>
      </c>
      <c r="E52" s="23" t="s">
        <v>1470</v>
      </c>
    </row>
    <row r="53" spans="1:5" ht="12.75" customHeight="1">
      <c r="A53" s="36" t="s">
        <v>2062</v>
      </c>
      <c r="B53" s="36" t="s">
        <v>1397</v>
      </c>
      <c r="C53" s="36" t="s">
        <v>2063</v>
      </c>
      <c r="D53" s="36" t="s">
        <v>2064</v>
      </c>
      <c r="E53" s="36" t="s">
        <v>2065</v>
      </c>
    </row>
    <row r="54" spans="1:5" ht="12.75" customHeight="1">
      <c r="A54" s="36" t="s">
        <v>2066</v>
      </c>
      <c r="B54" s="36" t="s">
        <v>1397</v>
      </c>
      <c r="C54" s="36" t="s">
        <v>2067</v>
      </c>
      <c r="D54" s="36" t="s">
        <v>2068</v>
      </c>
      <c r="E54" s="36" t="s">
        <v>2069</v>
      </c>
    </row>
    <row r="55" spans="1:5" ht="12.75" customHeight="1">
      <c r="A55" s="36" t="s">
        <v>2070</v>
      </c>
      <c r="B55" s="36" t="s">
        <v>1463</v>
      </c>
      <c r="C55" s="36" t="s">
        <v>2067</v>
      </c>
      <c r="D55" s="36" t="s">
        <v>2071</v>
      </c>
      <c r="E55" s="36" t="s">
        <v>2072</v>
      </c>
    </row>
    <row r="56" spans="1:5" ht="12.75" customHeight="1">
      <c r="A56" s="36" t="s">
        <v>2073</v>
      </c>
      <c r="B56" s="36" t="s">
        <v>1463</v>
      </c>
      <c r="C56" s="36" t="s">
        <v>2074</v>
      </c>
      <c r="D56" s="36" t="s">
        <v>2075</v>
      </c>
      <c r="E56" s="36" t="s">
        <v>2076</v>
      </c>
    </row>
    <row r="57" spans="1:5" ht="12.75" customHeight="1">
      <c r="A57" s="36" t="s">
        <v>2077</v>
      </c>
      <c r="B57" s="36" t="s">
        <v>1463</v>
      </c>
      <c r="C57" s="36" t="s">
        <v>2078</v>
      </c>
      <c r="D57" s="36" t="s">
        <v>2079</v>
      </c>
      <c r="E57" s="36" t="s">
        <v>2080</v>
      </c>
    </row>
    <row r="58" spans="1:5" ht="12.75" customHeight="1">
      <c r="A58" s="36" t="s">
        <v>2081</v>
      </c>
      <c r="B58" s="36" t="s">
        <v>1397</v>
      </c>
      <c r="C58" s="36" t="s">
        <v>2082</v>
      </c>
      <c r="D58" s="36" t="s">
        <v>2083</v>
      </c>
      <c r="E58" s="36" t="s">
        <v>2084</v>
      </c>
    </row>
    <row r="59" spans="1:5" ht="45.95" customHeight="1">
      <c r="A59" s="36" t="s">
        <v>2630</v>
      </c>
      <c r="B59" s="36" t="s">
        <v>1397</v>
      </c>
      <c r="C59" s="36" t="s">
        <v>2588</v>
      </c>
      <c r="D59" s="36" t="s">
        <v>2631</v>
      </c>
      <c r="E59" s="36" t="s">
        <v>2632</v>
      </c>
    </row>
    <row r="60" spans="1:5" ht="45.95" customHeight="1">
      <c r="A60" s="36" t="s">
        <v>2633</v>
      </c>
      <c r="B60" s="36" t="s">
        <v>1397</v>
      </c>
      <c r="C60" s="36" t="s">
        <v>2634</v>
      </c>
      <c r="D60" s="36" t="s">
        <v>2635</v>
      </c>
      <c r="E60" s="36" t="s">
        <v>2636</v>
      </c>
    </row>
    <row r="61" spans="1:5" ht="45.95" customHeight="1">
      <c r="A61" s="36" t="s">
        <v>2637</v>
      </c>
      <c r="B61" s="36" t="s">
        <v>1463</v>
      </c>
      <c r="C61" s="36" t="s">
        <v>2638</v>
      </c>
      <c r="D61" s="36" t="s">
        <v>2639</v>
      </c>
      <c r="E61" s="36" t="s">
        <v>2640</v>
      </c>
    </row>
    <row r="62" spans="1:5" ht="45.95" customHeight="1">
      <c r="A62" s="36" t="s">
        <v>2641</v>
      </c>
      <c r="B62" s="36" t="s">
        <v>1397</v>
      </c>
      <c r="C62" s="36" t="s">
        <v>2642</v>
      </c>
      <c r="D62" s="36" t="s">
        <v>2643</v>
      </c>
      <c r="E62" s="36" t="s">
        <v>2644</v>
      </c>
    </row>
  </sheetData>
  <autoFilter ref="A4:E58" xr:uid="{357FF4A7-604B-4DA8-AA0C-14FF8853DF4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228"/>
  <sheetViews>
    <sheetView showGridLines="0" workbookViewId="0">
      <pane ySplit="4" topLeftCell="A196" activePane="bottomLeft" state="frozenSplit"/>
      <selection pane="bottomLeft" activeCell="A219" sqref="A219:G228"/>
    </sheetView>
  </sheetViews>
  <sheetFormatPr baseColWidth="10" defaultRowHeight="12.75"/>
  <cols>
    <col min="1" max="1" width="42.625" style="18" customWidth="1"/>
    <col min="2" max="2" width="18.625" style="18" customWidth="1"/>
    <col min="3" max="3" width="12.625" style="18" customWidth="1"/>
    <col min="4" max="4" width="22.625" style="18" customWidth="1"/>
    <col min="5" max="7" width="18.625" style="18" customWidth="1"/>
    <col min="8" max="16384" width="11" style="18"/>
  </cols>
  <sheetData>
    <row r="1" spans="1:7" ht="27.95" customHeight="1">
      <c r="A1" s="20" t="s">
        <v>1471</v>
      </c>
    </row>
    <row r="2" spans="1:7" ht="36" customHeight="1">
      <c r="A2" s="21" t="s">
        <v>1472</v>
      </c>
    </row>
    <row r="4" spans="1:7">
      <c r="A4" s="22" t="s">
        <v>1394</v>
      </c>
      <c r="B4" s="22" t="s">
        <v>1393</v>
      </c>
      <c r="C4" s="22" t="s">
        <v>1473</v>
      </c>
      <c r="D4" s="22" t="s">
        <v>1474</v>
      </c>
      <c r="E4" s="22" t="s">
        <v>1475</v>
      </c>
      <c r="F4" s="22" t="s">
        <v>1476</v>
      </c>
      <c r="G4" s="22" t="s">
        <v>1477</v>
      </c>
    </row>
    <row r="5" spans="1:7">
      <c r="A5" s="23" t="s">
        <v>912</v>
      </c>
      <c r="B5" s="23" t="s">
        <v>1478</v>
      </c>
      <c r="C5" s="23">
        <v>179555</v>
      </c>
      <c r="D5" s="23" t="s">
        <v>1479</v>
      </c>
      <c r="E5" s="23" t="s">
        <v>1480</v>
      </c>
      <c r="F5" s="23" t="s">
        <v>1481</v>
      </c>
      <c r="G5" s="23" t="s">
        <v>1482</v>
      </c>
    </row>
    <row r="6" spans="1:7">
      <c r="A6" s="23" t="s">
        <v>1053</v>
      </c>
      <c r="B6" s="23" t="s">
        <v>1483</v>
      </c>
      <c r="C6" s="23">
        <v>780015</v>
      </c>
      <c r="D6" s="23" t="s">
        <v>1484</v>
      </c>
      <c r="E6" s="23" t="s">
        <v>1485</v>
      </c>
      <c r="F6" s="23" t="s">
        <v>1486</v>
      </c>
      <c r="G6" s="23" t="s">
        <v>1487</v>
      </c>
    </row>
    <row r="7" spans="1:7">
      <c r="A7" s="23" t="s">
        <v>1085</v>
      </c>
      <c r="B7" s="23" t="s">
        <v>1483</v>
      </c>
      <c r="C7" s="23">
        <v>1254734</v>
      </c>
      <c r="D7" s="23" t="s">
        <v>1488</v>
      </c>
      <c r="E7" s="23" t="s">
        <v>1489</v>
      </c>
      <c r="F7" s="23" t="s">
        <v>1486</v>
      </c>
      <c r="G7" s="23" t="s">
        <v>1487</v>
      </c>
    </row>
    <row r="8" spans="1:7">
      <c r="A8" s="23" t="s">
        <v>1154</v>
      </c>
      <c r="B8" s="23" t="s">
        <v>1483</v>
      </c>
      <c r="C8" s="23">
        <v>158367</v>
      </c>
      <c r="D8" s="23" t="s">
        <v>1490</v>
      </c>
      <c r="E8" s="23" t="s">
        <v>1491</v>
      </c>
      <c r="F8" s="23" t="s">
        <v>1486</v>
      </c>
      <c r="G8" s="23" t="s">
        <v>1487</v>
      </c>
    </row>
    <row r="9" spans="1:7">
      <c r="A9" s="23" t="s">
        <v>1164</v>
      </c>
      <c r="B9" s="23" t="s">
        <v>1483</v>
      </c>
      <c r="C9" s="23">
        <v>108293</v>
      </c>
      <c r="D9" s="23" t="s">
        <v>1492</v>
      </c>
      <c r="E9" s="23" t="s">
        <v>1493</v>
      </c>
      <c r="F9" s="23" t="s">
        <v>1486</v>
      </c>
      <c r="G9" s="23" t="s">
        <v>1487</v>
      </c>
    </row>
    <row r="10" spans="1:7">
      <c r="A10" s="23" t="s">
        <v>1175</v>
      </c>
      <c r="B10" s="23" t="s">
        <v>1483</v>
      </c>
      <c r="C10" s="23">
        <v>8841</v>
      </c>
      <c r="D10" s="23" t="s">
        <v>1494</v>
      </c>
      <c r="E10" s="23" t="s">
        <v>1495</v>
      </c>
      <c r="F10" s="23" t="s">
        <v>1486</v>
      </c>
      <c r="G10" s="23" t="s">
        <v>1487</v>
      </c>
    </row>
    <row r="11" spans="1:7">
      <c r="A11" s="23" t="s">
        <v>1180</v>
      </c>
      <c r="B11" s="23" t="s">
        <v>1483</v>
      </c>
      <c r="C11" s="23">
        <v>1689325</v>
      </c>
      <c r="D11" s="23" t="s">
        <v>1496</v>
      </c>
      <c r="E11" s="23" t="s">
        <v>1497</v>
      </c>
      <c r="F11" s="23" t="s">
        <v>1486</v>
      </c>
      <c r="G11" s="23" t="s">
        <v>1487</v>
      </c>
    </row>
    <row r="12" spans="1:7">
      <c r="A12" s="23" t="s">
        <v>1188</v>
      </c>
      <c r="B12" s="23" t="s">
        <v>1483</v>
      </c>
      <c r="C12" s="23">
        <v>4082771</v>
      </c>
      <c r="D12" s="23" t="s">
        <v>1498</v>
      </c>
      <c r="E12" s="23" t="s">
        <v>1499</v>
      </c>
      <c r="F12" s="23" t="s">
        <v>1486</v>
      </c>
      <c r="G12" s="23" t="s">
        <v>1487</v>
      </c>
    </row>
    <row r="13" spans="1:7">
      <c r="A13" s="23" t="s">
        <v>1204</v>
      </c>
      <c r="B13" s="23" t="s">
        <v>1483</v>
      </c>
      <c r="C13" s="23">
        <v>151185</v>
      </c>
      <c r="D13" s="23" t="s">
        <v>1500</v>
      </c>
      <c r="E13" s="23" t="s">
        <v>1501</v>
      </c>
      <c r="F13" s="23" t="s">
        <v>1486</v>
      </c>
      <c r="G13" s="23" t="s">
        <v>1487</v>
      </c>
    </row>
    <row r="14" spans="1:7">
      <c r="A14" s="23" t="s">
        <v>1208</v>
      </c>
      <c r="B14" s="23" t="s">
        <v>1483</v>
      </c>
      <c r="C14" s="23">
        <v>19831</v>
      </c>
      <c r="D14" s="23" t="s">
        <v>1502</v>
      </c>
      <c r="E14" s="23" t="s">
        <v>1503</v>
      </c>
      <c r="F14" s="23" t="s">
        <v>1486</v>
      </c>
      <c r="G14" s="23" t="s">
        <v>1487</v>
      </c>
    </row>
    <row r="15" spans="1:7">
      <c r="A15" s="23" t="s">
        <v>1213</v>
      </c>
      <c r="B15" s="23" t="s">
        <v>1483</v>
      </c>
      <c r="C15" s="23">
        <v>45216047</v>
      </c>
      <c r="D15" s="23" t="s">
        <v>1504</v>
      </c>
      <c r="E15" s="23" t="s">
        <v>1505</v>
      </c>
      <c r="F15" s="23" t="s">
        <v>1486</v>
      </c>
      <c r="G15" s="23" t="s">
        <v>1487</v>
      </c>
    </row>
    <row r="16" spans="1:7">
      <c r="A16" s="23" t="s">
        <v>1219</v>
      </c>
      <c r="B16" s="23" t="s">
        <v>1483</v>
      </c>
      <c r="C16" s="23">
        <v>100035</v>
      </c>
      <c r="D16" s="23" t="s">
        <v>1506</v>
      </c>
      <c r="E16" s="23" t="s">
        <v>1507</v>
      </c>
      <c r="F16" s="23" t="s">
        <v>1486</v>
      </c>
      <c r="G16" s="23" t="s">
        <v>1487</v>
      </c>
    </row>
    <row r="17" spans="1:7">
      <c r="A17" s="23" t="s">
        <v>1226</v>
      </c>
      <c r="B17" s="23" t="s">
        <v>1483</v>
      </c>
      <c r="C17" s="23">
        <v>6741</v>
      </c>
      <c r="D17" s="23" t="s">
        <v>1508</v>
      </c>
      <c r="E17" s="23" t="s">
        <v>1509</v>
      </c>
      <c r="F17" s="23" t="s">
        <v>1486</v>
      </c>
      <c r="G17" s="23" t="s">
        <v>1487</v>
      </c>
    </row>
    <row r="18" spans="1:7">
      <c r="A18" s="23" t="s">
        <v>1232</v>
      </c>
      <c r="B18" s="23" t="s">
        <v>1483</v>
      </c>
      <c r="C18" s="23">
        <v>24196</v>
      </c>
      <c r="D18" s="23" t="s">
        <v>1510</v>
      </c>
      <c r="E18" s="23" t="s">
        <v>1511</v>
      </c>
      <c r="F18" s="23" t="s">
        <v>1486</v>
      </c>
      <c r="G18" s="23" t="s">
        <v>1487</v>
      </c>
    </row>
    <row r="19" spans="1:7">
      <c r="A19" s="23" t="s">
        <v>1235</v>
      </c>
      <c r="B19" s="23" t="s">
        <v>1483</v>
      </c>
      <c r="C19" s="23">
        <v>51232</v>
      </c>
      <c r="D19" s="23" t="s">
        <v>1512</v>
      </c>
      <c r="E19" s="23" t="s">
        <v>1513</v>
      </c>
      <c r="F19" s="23" t="s">
        <v>1486</v>
      </c>
      <c r="G19" s="23" t="s">
        <v>1487</v>
      </c>
    </row>
    <row r="20" spans="1:7">
      <c r="A20" s="23" t="s">
        <v>1238</v>
      </c>
      <c r="B20" s="23" t="s">
        <v>1483</v>
      </c>
      <c r="C20" s="23">
        <v>340408</v>
      </c>
      <c r="D20" s="23" t="s">
        <v>1514</v>
      </c>
      <c r="E20" s="23" t="s">
        <v>1515</v>
      </c>
      <c r="F20" s="23" t="s">
        <v>1486</v>
      </c>
      <c r="G20" s="23" t="s">
        <v>1487</v>
      </c>
    </row>
    <row r="21" spans="1:7">
      <c r="A21" s="23" t="s">
        <v>1241</v>
      </c>
      <c r="B21" s="23" t="s">
        <v>1483</v>
      </c>
      <c r="C21" s="23">
        <v>99403</v>
      </c>
      <c r="D21" s="23" t="s">
        <v>1516</v>
      </c>
      <c r="E21" s="23" t="s">
        <v>1517</v>
      </c>
      <c r="F21" s="23" t="s">
        <v>1486</v>
      </c>
      <c r="G21" s="23" t="s">
        <v>1487</v>
      </c>
    </row>
    <row r="22" spans="1:7">
      <c r="A22" s="23" t="s">
        <v>1244</v>
      </c>
      <c r="B22" s="23" t="s">
        <v>1483</v>
      </c>
      <c r="C22" s="23">
        <v>65105</v>
      </c>
      <c r="D22" s="23" t="s">
        <v>1518</v>
      </c>
      <c r="E22" s="23" t="s">
        <v>1519</v>
      </c>
      <c r="F22" s="23" t="s">
        <v>1486</v>
      </c>
      <c r="G22" s="23" t="s">
        <v>1487</v>
      </c>
    </row>
    <row r="23" spans="1:7">
      <c r="A23" s="23" t="s">
        <v>1247</v>
      </c>
      <c r="B23" s="23" t="s">
        <v>1483</v>
      </c>
      <c r="C23" s="23">
        <v>7267</v>
      </c>
      <c r="D23" s="23" t="s">
        <v>1520</v>
      </c>
      <c r="E23" s="23" t="s">
        <v>1521</v>
      </c>
      <c r="F23" s="23" t="s">
        <v>1486</v>
      </c>
      <c r="G23" s="23" t="s">
        <v>1487</v>
      </c>
    </row>
    <row r="24" spans="1:7">
      <c r="A24" s="23" t="s">
        <v>1250</v>
      </c>
      <c r="B24" s="23" t="s">
        <v>1483</v>
      </c>
      <c r="C24" s="23">
        <v>504925</v>
      </c>
      <c r="D24" s="23" t="s">
        <v>1522</v>
      </c>
      <c r="E24" s="23" t="s">
        <v>1523</v>
      </c>
      <c r="F24" s="23" t="s">
        <v>1486</v>
      </c>
      <c r="G24" s="23" t="s">
        <v>1487</v>
      </c>
    </row>
    <row r="25" spans="1:7">
      <c r="A25" s="23" t="s">
        <v>1254</v>
      </c>
      <c r="B25" s="23" t="s">
        <v>1483</v>
      </c>
      <c r="C25" s="23">
        <v>103622</v>
      </c>
      <c r="D25" s="23" t="s">
        <v>1524</v>
      </c>
      <c r="E25" s="23" t="s">
        <v>1525</v>
      </c>
      <c r="F25" s="23" t="s">
        <v>1486</v>
      </c>
      <c r="G25" s="23" t="s">
        <v>1487</v>
      </c>
    </row>
    <row r="26" spans="1:7">
      <c r="A26" s="23" t="s">
        <v>1259</v>
      </c>
      <c r="B26" s="23" t="s">
        <v>1483</v>
      </c>
      <c r="C26" s="23">
        <v>62595</v>
      </c>
      <c r="D26" s="23" t="s">
        <v>1526</v>
      </c>
      <c r="E26" s="23" t="s">
        <v>1527</v>
      </c>
      <c r="F26" s="23" t="s">
        <v>1486</v>
      </c>
      <c r="G26" s="23" t="s">
        <v>1487</v>
      </c>
    </row>
    <row r="27" spans="1:7">
      <c r="A27" s="23" t="s">
        <v>1265</v>
      </c>
      <c r="B27" s="23" t="s">
        <v>1483</v>
      </c>
      <c r="C27" s="23">
        <v>5870</v>
      </c>
      <c r="D27" s="23" t="s">
        <v>1528</v>
      </c>
      <c r="E27" s="23" t="s">
        <v>1529</v>
      </c>
      <c r="F27" s="23" t="s">
        <v>1486</v>
      </c>
      <c r="G27" s="23" t="s">
        <v>1487</v>
      </c>
    </row>
    <row r="28" spans="1:7">
      <c r="A28" s="23" t="s">
        <v>1269</v>
      </c>
      <c r="B28" s="23" t="s">
        <v>1483</v>
      </c>
      <c r="C28" s="23">
        <v>25142</v>
      </c>
      <c r="D28" s="23" t="s">
        <v>1530</v>
      </c>
      <c r="E28" s="23" t="s">
        <v>1531</v>
      </c>
      <c r="F28" s="23" t="s">
        <v>1486</v>
      </c>
      <c r="G28" s="23" t="s">
        <v>1487</v>
      </c>
    </row>
    <row r="29" spans="1:7">
      <c r="A29" s="23" t="s">
        <v>1273</v>
      </c>
      <c r="B29" s="23" t="s">
        <v>1483</v>
      </c>
      <c r="C29" s="23">
        <v>21266</v>
      </c>
      <c r="D29" s="23" t="s">
        <v>1532</v>
      </c>
      <c r="E29" s="23" t="s">
        <v>1533</v>
      </c>
      <c r="F29" s="23" t="s">
        <v>1486</v>
      </c>
      <c r="G29" s="23" t="s">
        <v>1487</v>
      </c>
    </row>
    <row r="30" spans="1:7">
      <c r="A30" s="23" t="s">
        <v>1278</v>
      </c>
      <c r="B30" s="23" t="s">
        <v>1483</v>
      </c>
      <c r="C30" s="23">
        <v>6725</v>
      </c>
      <c r="D30" s="23" t="s">
        <v>1534</v>
      </c>
      <c r="E30" s="23" t="s">
        <v>1535</v>
      </c>
      <c r="F30" s="23" t="s">
        <v>1486</v>
      </c>
      <c r="G30" s="23" t="s">
        <v>1487</v>
      </c>
    </row>
    <row r="31" spans="1:7">
      <c r="A31" s="23" t="s">
        <v>1536</v>
      </c>
      <c r="B31" s="23" t="s">
        <v>1537</v>
      </c>
      <c r="C31" s="23">
        <v>56971</v>
      </c>
      <c r="D31" s="23" t="s">
        <v>1538</v>
      </c>
      <c r="E31" s="23" t="s">
        <v>1539</v>
      </c>
      <c r="F31" s="23" t="s">
        <v>1486</v>
      </c>
      <c r="G31" s="23" t="s">
        <v>1487</v>
      </c>
    </row>
    <row r="32" spans="1:7">
      <c r="A32" s="23" t="s">
        <v>1540</v>
      </c>
      <c r="B32" s="23" t="s">
        <v>1483</v>
      </c>
      <c r="C32" s="23">
        <v>27943</v>
      </c>
      <c r="D32" s="23" t="s">
        <v>1541</v>
      </c>
      <c r="E32" s="23" t="s">
        <v>1542</v>
      </c>
      <c r="F32" s="23" t="s">
        <v>1543</v>
      </c>
      <c r="G32" s="23" t="s">
        <v>1487</v>
      </c>
    </row>
    <row r="33" spans="1:7">
      <c r="A33" s="23" t="s">
        <v>1464</v>
      </c>
      <c r="B33" s="23" t="s">
        <v>1544</v>
      </c>
      <c r="C33" s="23">
        <v>63887</v>
      </c>
      <c r="D33" s="23" t="s">
        <v>1545</v>
      </c>
      <c r="E33" s="23" t="s">
        <v>1546</v>
      </c>
      <c r="F33" s="23" t="s">
        <v>1543</v>
      </c>
      <c r="G33" s="23" t="s">
        <v>1487</v>
      </c>
    </row>
    <row r="34" spans="1:7">
      <c r="A34" s="23" t="s">
        <v>1547</v>
      </c>
      <c r="B34" s="23" t="s">
        <v>1548</v>
      </c>
      <c r="C34" s="23">
        <v>33063</v>
      </c>
      <c r="D34" s="23" t="s">
        <v>1541</v>
      </c>
      <c r="E34" s="23" t="s">
        <v>1549</v>
      </c>
      <c r="F34" s="23" t="s">
        <v>1543</v>
      </c>
      <c r="G34" s="23" t="s">
        <v>1487</v>
      </c>
    </row>
    <row r="35" spans="1:7">
      <c r="A35" s="23" t="s">
        <v>1422</v>
      </c>
      <c r="B35" s="23" t="s">
        <v>1483</v>
      </c>
      <c r="C35" s="23">
        <v>727298</v>
      </c>
      <c r="D35" s="23" t="s">
        <v>1550</v>
      </c>
      <c r="E35" s="23" t="s">
        <v>1551</v>
      </c>
      <c r="F35" s="23" t="s">
        <v>1552</v>
      </c>
      <c r="G35" s="23" t="s">
        <v>1553</v>
      </c>
    </row>
    <row r="36" spans="1:7">
      <c r="A36" s="23" t="s">
        <v>1425</v>
      </c>
      <c r="B36" s="23" t="s">
        <v>1483</v>
      </c>
      <c r="C36" s="23">
        <v>1105413</v>
      </c>
      <c r="D36" s="23" t="s">
        <v>1554</v>
      </c>
      <c r="E36" s="23" t="s">
        <v>1555</v>
      </c>
      <c r="F36" s="23" t="s">
        <v>1552</v>
      </c>
      <c r="G36" s="23" t="s">
        <v>1553</v>
      </c>
    </row>
    <row r="37" spans="1:7">
      <c r="A37" s="23" t="s">
        <v>1427</v>
      </c>
      <c r="B37" s="23" t="s">
        <v>1483</v>
      </c>
      <c r="C37" s="23">
        <v>183853</v>
      </c>
      <c r="D37" s="23" t="s">
        <v>1556</v>
      </c>
      <c r="E37" s="23" t="s">
        <v>1557</v>
      </c>
      <c r="F37" s="23" t="s">
        <v>1552</v>
      </c>
      <c r="G37" s="23" t="s">
        <v>1553</v>
      </c>
    </row>
    <row r="38" spans="1:7">
      <c r="A38" s="23" t="s">
        <v>1429</v>
      </c>
      <c r="B38" s="23" t="s">
        <v>1483</v>
      </c>
      <c r="C38" s="23">
        <v>109823</v>
      </c>
      <c r="D38" s="23" t="s">
        <v>1558</v>
      </c>
      <c r="E38" s="23" t="s">
        <v>1559</v>
      </c>
      <c r="F38" s="23" t="s">
        <v>1552</v>
      </c>
      <c r="G38" s="23" t="s">
        <v>1553</v>
      </c>
    </row>
    <row r="39" spans="1:7">
      <c r="A39" s="23" t="s">
        <v>1431</v>
      </c>
      <c r="B39" s="23" t="s">
        <v>1483</v>
      </c>
      <c r="C39" s="23">
        <v>5994</v>
      </c>
      <c r="D39" s="23" t="s">
        <v>1560</v>
      </c>
      <c r="E39" s="23" t="s">
        <v>1561</v>
      </c>
      <c r="F39" s="23" t="s">
        <v>1552</v>
      </c>
      <c r="G39" s="23" t="s">
        <v>1553</v>
      </c>
    </row>
    <row r="40" spans="1:7">
      <c r="A40" s="23" t="s">
        <v>1433</v>
      </c>
      <c r="B40" s="23" t="s">
        <v>1483</v>
      </c>
      <c r="C40" s="23">
        <v>2150349</v>
      </c>
      <c r="D40" s="23" t="s">
        <v>1562</v>
      </c>
      <c r="E40" s="23" t="s">
        <v>1563</v>
      </c>
      <c r="F40" s="23" t="s">
        <v>1552</v>
      </c>
      <c r="G40" s="23" t="s">
        <v>1553</v>
      </c>
    </row>
    <row r="41" spans="1:7">
      <c r="A41" s="23" t="s">
        <v>1435</v>
      </c>
      <c r="B41" s="23" t="s">
        <v>1483</v>
      </c>
      <c r="C41" s="23">
        <v>3792751</v>
      </c>
      <c r="D41" s="23" t="s">
        <v>1564</v>
      </c>
      <c r="E41" s="23" t="s">
        <v>1565</v>
      </c>
      <c r="F41" s="23" t="s">
        <v>1552</v>
      </c>
      <c r="G41" s="23" t="s">
        <v>1553</v>
      </c>
    </row>
    <row r="42" spans="1:7">
      <c r="A42" s="23" t="s">
        <v>1437</v>
      </c>
      <c r="B42" s="23" t="s">
        <v>1483</v>
      </c>
      <c r="C42" s="23">
        <v>13210</v>
      </c>
      <c r="D42" s="23" t="s">
        <v>1566</v>
      </c>
      <c r="E42" s="23" t="s">
        <v>1567</v>
      </c>
      <c r="F42" s="23" t="s">
        <v>1552</v>
      </c>
      <c r="G42" s="23" t="s">
        <v>1553</v>
      </c>
    </row>
    <row r="43" spans="1:7">
      <c r="A43" s="23" t="s">
        <v>1438</v>
      </c>
      <c r="B43" s="23" t="s">
        <v>1483</v>
      </c>
      <c r="C43" s="23">
        <v>20182</v>
      </c>
      <c r="D43" s="23" t="s">
        <v>1568</v>
      </c>
      <c r="E43" s="23" t="s">
        <v>1569</v>
      </c>
      <c r="F43" s="23" t="s">
        <v>1552</v>
      </c>
      <c r="G43" s="23" t="s">
        <v>1553</v>
      </c>
    </row>
    <row r="44" spans="1:7">
      <c r="A44" s="23" t="s">
        <v>1440</v>
      </c>
      <c r="B44" s="23" t="s">
        <v>1483</v>
      </c>
      <c r="C44" s="23">
        <v>38327</v>
      </c>
      <c r="D44" s="23" t="s">
        <v>1570</v>
      </c>
      <c r="E44" s="23" t="s">
        <v>1571</v>
      </c>
      <c r="F44" s="23" t="s">
        <v>1552</v>
      </c>
      <c r="G44" s="23" t="s">
        <v>1553</v>
      </c>
    </row>
    <row r="45" spans="1:7">
      <c r="A45" s="23" t="s">
        <v>1442</v>
      </c>
      <c r="B45" s="23" t="s">
        <v>1483</v>
      </c>
      <c r="C45" s="23">
        <v>302290</v>
      </c>
      <c r="D45" s="23" t="s">
        <v>1572</v>
      </c>
      <c r="E45" s="23" t="s">
        <v>1573</v>
      </c>
      <c r="F45" s="23" t="s">
        <v>1552</v>
      </c>
      <c r="G45" s="23" t="s">
        <v>1553</v>
      </c>
    </row>
    <row r="46" spans="1:7">
      <c r="A46" s="23" t="s">
        <v>1444</v>
      </c>
      <c r="B46" s="23" t="s">
        <v>1483</v>
      </c>
      <c r="C46" s="23">
        <v>104276</v>
      </c>
      <c r="D46" s="23" t="s">
        <v>1574</v>
      </c>
      <c r="E46" s="24" t="s">
        <v>1575</v>
      </c>
      <c r="F46" s="23" t="s">
        <v>1552</v>
      </c>
      <c r="G46" s="23" t="s">
        <v>1553</v>
      </c>
    </row>
    <row r="47" spans="1:7">
      <c r="A47" s="23" t="s">
        <v>1446</v>
      </c>
      <c r="B47" s="23" t="s">
        <v>1483</v>
      </c>
      <c r="C47" s="23">
        <v>63017</v>
      </c>
      <c r="D47" s="23" t="s">
        <v>1576</v>
      </c>
      <c r="E47" s="24" t="s">
        <v>1577</v>
      </c>
      <c r="F47" s="23" t="s">
        <v>1552</v>
      </c>
      <c r="G47" s="23" t="s">
        <v>1553</v>
      </c>
    </row>
    <row r="48" spans="1:7">
      <c r="A48" s="23" t="s">
        <v>1448</v>
      </c>
      <c r="B48" s="23" t="s">
        <v>1483</v>
      </c>
      <c r="C48" s="23">
        <v>4872</v>
      </c>
      <c r="D48" s="23" t="s">
        <v>1578</v>
      </c>
      <c r="E48" s="23" t="s">
        <v>1579</v>
      </c>
      <c r="F48" s="23" t="s">
        <v>1552</v>
      </c>
      <c r="G48" s="23" t="s">
        <v>1553</v>
      </c>
    </row>
    <row r="49" spans="1:7">
      <c r="A49" s="23" t="s">
        <v>1449</v>
      </c>
      <c r="B49" s="23" t="s">
        <v>1483</v>
      </c>
      <c r="C49" s="23">
        <v>659538</v>
      </c>
      <c r="D49" s="23" t="s">
        <v>1580</v>
      </c>
      <c r="E49" s="23" t="s">
        <v>1581</v>
      </c>
      <c r="F49" s="23" t="s">
        <v>1552</v>
      </c>
      <c r="G49" s="23" t="s">
        <v>1553</v>
      </c>
    </row>
    <row r="50" spans="1:7">
      <c r="A50" s="23" t="s">
        <v>1451</v>
      </c>
      <c r="B50" s="23" t="s">
        <v>1483</v>
      </c>
      <c r="C50" s="23">
        <v>90936</v>
      </c>
      <c r="D50" s="23" t="s">
        <v>1582</v>
      </c>
      <c r="E50" s="23" t="s">
        <v>1583</v>
      </c>
      <c r="F50" s="23" t="s">
        <v>1552</v>
      </c>
      <c r="G50" s="23" t="s">
        <v>1553</v>
      </c>
    </row>
    <row r="51" spans="1:7">
      <c r="A51" s="23" t="s">
        <v>1453</v>
      </c>
      <c r="B51" s="23" t="s">
        <v>1483</v>
      </c>
      <c r="C51" s="23">
        <v>37632</v>
      </c>
      <c r="D51" s="23" t="s">
        <v>1584</v>
      </c>
      <c r="E51" s="23" t="s">
        <v>1585</v>
      </c>
      <c r="F51" s="23" t="s">
        <v>1552</v>
      </c>
      <c r="G51" s="23" t="s">
        <v>1553</v>
      </c>
    </row>
    <row r="52" spans="1:7">
      <c r="A52" s="23" t="s">
        <v>1455</v>
      </c>
      <c r="B52" s="23" t="s">
        <v>1483</v>
      </c>
      <c r="C52" s="23">
        <v>5052</v>
      </c>
      <c r="D52" s="23" t="s">
        <v>1586</v>
      </c>
      <c r="E52" s="23" t="s">
        <v>1587</v>
      </c>
      <c r="F52" s="23" t="s">
        <v>1552</v>
      </c>
      <c r="G52" s="23" t="s">
        <v>1553</v>
      </c>
    </row>
    <row r="53" spans="1:7">
      <c r="A53" s="23" t="s">
        <v>1457</v>
      </c>
      <c r="B53" s="23" t="s">
        <v>1483</v>
      </c>
      <c r="C53" s="23">
        <v>20982</v>
      </c>
      <c r="D53" s="23" t="s">
        <v>1588</v>
      </c>
      <c r="E53" s="23" t="s">
        <v>1589</v>
      </c>
      <c r="F53" s="23" t="s">
        <v>1552</v>
      </c>
      <c r="G53" s="23" t="s">
        <v>1553</v>
      </c>
    </row>
    <row r="54" spans="1:7">
      <c r="A54" s="23" t="s">
        <v>1458</v>
      </c>
      <c r="B54" s="23" t="s">
        <v>1483</v>
      </c>
      <c r="C54" s="23">
        <v>20018</v>
      </c>
      <c r="D54" s="23" t="s">
        <v>1590</v>
      </c>
      <c r="E54" s="23" t="s">
        <v>1591</v>
      </c>
      <c r="F54" s="23" t="s">
        <v>1552</v>
      </c>
      <c r="G54" s="23" t="s">
        <v>1553</v>
      </c>
    </row>
    <row r="55" spans="1:7">
      <c r="A55" s="23" t="s">
        <v>1460</v>
      </c>
      <c r="B55" s="23" t="s">
        <v>1483</v>
      </c>
      <c r="C55" s="23">
        <v>5483</v>
      </c>
      <c r="D55" s="23" t="s">
        <v>1592</v>
      </c>
      <c r="E55" s="23" t="s">
        <v>1593</v>
      </c>
      <c r="F55" s="23" t="s">
        <v>1552</v>
      </c>
      <c r="G55" s="23" t="s">
        <v>1553</v>
      </c>
    </row>
    <row r="56" spans="1:7">
      <c r="A56" s="23" t="s">
        <v>1594</v>
      </c>
      <c r="B56" s="23" t="s">
        <v>1537</v>
      </c>
      <c r="C56" s="23">
        <v>2006</v>
      </c>
      <c r="D56" s="23" t="s">
        <v>1595</v>
      </c>
      <c r="E56" s="23" t="s">
        <v>1596</v>
      </c>
      <c r="F56" s="23" t="s">
        <v>1552</v>
      </c>
      <c r="G56" s="23" t="s">
        <v>1553</v>
      </c>
    </row>
    <row r="57" spans="1:7">
      <c r="A57" s="23" t="s">
        <v>1597</v>
      </c>
      <c r="B57" s="23" t="s">
        <v>1483</v>
      </c>
      <c r="C57" s="23">
        <v>2944</v>
      </c>
      <c r="D57" s="23" t="s">
        <v>1598</v>
      </c>
      <c r="E57" s="23" t="s">
        <v>1599</v>
      </c>
      <c r="F57" s="23" t="s">
        <v>1600</v>
      </c>
      <c r="G57" s="23" t="s">
        <v>1553</v>
      </c>
    </row>
    <row r="58" spans="1:7">
      <c r="A58" s="23" t="s">
        <v>1601</v>
      </c>
      <c r="B58" s="23" t="s">
        <v>1544</v>
      </c>
      <c r="C58" s="23">
        <v>9214</v>
      </c>
      <c r="D58" s="23" t="s">
        <v>1602</v>
      </c>
      <c r="E58" s="24" t="s">
        <v>1603</v>
      </c>
      <c r="F58" s="23" t="s">
        <v>1600</v>
      </c>
      <c r="G58" s="23" t="s">
        <v>1553</v>
      </c>
    </row>
    <row r="59" spans="1:7">
      <c r="A59" s="23" t="s">
        <v>1604</v>
      </c>
      <c r="B59" s="23" t="s">
        <v>1548</v>
      </c>
      <c r="C59" s="23">
        <v>1827</v>
      </c>
      <c r="D59" s="23" t="s">
        <v>1605</v>
      </c>
      <c r="E59" s="23" t="s">
        <v>1606</v>
      </c>
      <c r="F59" s="23" t="s">
        <v>1600</v>
      </c>
      <c r="G59" s="23" t="s">
        <v>1553</v>
      </c>
    </row>
    <row r="60" spans="1:7">
      <c r="A60" s="23" t="s">
        <v>1607</v>
      </c>
      <c r="B60" s="23" t="s">
        <v>1483</v>
      </c>
      <c r="C60" s="23">
        <v>145</v>
      </c>
      <c r="D60" s="23" t="s">
        <v>1598</v>
      </c>
      <c r="E60" s="23" t="s">
        <v>1608</v>
      </c>
      <c r="F60" s="23" t="s">
        <v>1609</v>
      </c>
      <c r="G60" s="23" t="s">
        <v>1553</v>
      </c>
    </row>
    <row r="61" spans="1:7">
      <c r="A61" s="23" t="s">
        <v>1610</v>
      </c>
      <c r="B61" s="23" t="s">
        <v>1548</v>
      </c>
      <c r="C61" s="23">
        <v>80</v>
      </c>
      <c r="D61" s="23" t="s">
        <v>1611</v>
      </c>
      <c r="E61" s="23" t="s">
        <v>1612</v>
      </c>
      <c r="F61" s="23" t="s">
        <v>1609</v>
      </c>
      <c r="G61" s="23" t="s">
        <v>1553</v>
      </c>
    </row>
    <row r="62" spans="1:7">
      <c r="A62" s="23" t="s">
        <v>1613</v>
      </c>
      <c r="B62" s="23" t="s">
        <v>1548</v>
      </c>
      <c r="C62" s="23">
        <v>92</v>
      </c>
      <c r="D62" s="23" t="s">
        <v>1614</v>
      </c>
      <c r="E62" s="24" t="s">
        <v>1615</v>
      </c>
      <c r="F62" s="23" t="s">
        <v>1552</v>
      </c>
      <c r="G62" s="23" t="s">
        <v>1553</v>
      </c>
    </row>
    <row r="63" spans="1:7">
      <c r="A63" s="23" t="s">
        <v>1616</v>
      </c>
      <c r="B63" s="23" t="s">
        <v>1548</v>
      </c>
      <c r="C63" s="23">
        <v>92</v>
      </c>
      <c r="D63" s="23" t="s">
        <v>1617</v>
      </c>
      <c r="E63" s="23" t="s">
        <v>1618</v>
      </c>
      <c r="F63" s="23" t="s">
        <v>1552</v>
      </c>
      <c r="G63" s="23" t="s">
        <v>1553</v>
      </c>
    </row>
    <row r="64" spans="1:7">
      <c r="A64" s="23" t="s">
        <v>1619</v>
      </c>
      <c r="B64" s="23" t="s">
        <v>1537</v>
      </c>
      <c r="C64" s="23">
        <v>2006</v>
      </c>
      <c r="D64" s="23" t="s">
        <v>1595</v>
      </c>
      <c r="E64" s="23" t="s">
        <v>1596</v>
      </c>
      <c r="F64" s="23" t="s">
        <v>1552</v>
      </c>
      <c r="G64" s="23" t="s">
        <v>1553</v>
      </c>
    </row>
    <row r="65" spans="1:7">
      <c r="A65" s="23" t="s">
        <v>1620</v>
      </c>
      <c r="B65" s="23" t="s">
        <v>1483</v>
      </c>
      <c r="C65" s="23">
        <v>2944</v>
      </c>
      <c r="D65" s="23" t="s">
        <v>1598</v>
      </c>
      <c r="E65" s="23" t="s">
        <v>1599</v>
      </c>
      <c r="F65" s="23" t="s">
        <v>1600</v>
      </c>
      <c r="G65" s="23" t="s">
        <v>1553</v>
      </c>
    </row>
    <row r="66" spans="1:7">
      <c r="A66" s="23" t="s">
        <v>1621</v>
      </c>
      <c r="B66" s="23" t="s">
        <v>1544</v>
      </c>
      <c r="C66" s="23">
        <v>9214</v>
      </c>
      <c r="D66" s="23" t="s">
        <v>1602</v>
      </c>
      <c r="E66" s="24" t="s">
        <v>1603</v>
      </c>
      <c r="F66" s="23" t="s">
        <v>1600</v>
      </c>
      <c r="G66" s="23" t="s">
        <v>1553</v>
      </c>
    </row>
    <row r="67" spans="1:7">
      <c r="A67" s="23" t="s">
        <v>1622</v>
      </c>
      <c r="B67" s="23" t="s">
        <v>1548</v>
      </c>
      <c r="C67" s="23">
        <v>1827</v>
      </c>
      <c r="D67" s="23" t="s">
        <v>1605</v>
      </c>
      <c r="E67" s="23" t="s">
        <v>1606</v>
      </c>
      <c r="F67" s="23" t="s">
        <v>1600</v>
      </c>
      <c r="G67" s="23" t="s">
        <v>1553</v>
      </c>
    </row>
    <row r="68" spans="1:7">
      <c r="A68" s="23" t="s">
        <v>1623</v>
      </c>
      <c r="B68" s="23" t="s">
        <v>1483</v>
      </c>
      <c r="C68" s="23">
        <v>145</v>
      </c>
      <c r="D68" s="23" t="s">
        <v>1598</v>
      </c>
      <c r="E68" s="23" t="s">
        <v>1608</v>
      </c>
      <c r="F68" s="23" t="s">
        <v>1609</v>
      </c>
      <c r="G68" s="23" t="s">
        <v>1553</v>
      </c>
    </row>
    <row r="69" spans="1:7">
      <c r="A69" s="23" t="s">
        <v>1624</v>
      </c>
      <c r="B69" s="23" t="s">
        <v>1548</v>
      </c>
      <c r="C69" s="23">
        <v>80</v>
      </c>
      <c r="D69" s="23" t="s">
        <v>1611</v>
      </c>
      <c r="E69" s="23" t="s">
        <v>1612</v>
      </c>
      <c r="F69" s="23" t="s">
        <v>1609</v>
      </c>
      <c r="G69" s="23" t="s">
        <v>1553</v>
      </c>
    </row>
    <row r="70" spans="1:7">
      <c r="A70" s="23" t="s">
        <v>1625</v>
      </c>
      <c r="B70" s="23" t="s">
        <v>1626</v>
      </c>
      <c r="C70" s="23">
        <v>0</v>
      </c>
      <c r="D70" s="23" t="s">
        <v>1627</v>
      </c>
      <c r="E70" s="23" t="s">
        <v>1628</v>
      </c>
      <c r="F70" s="23" t="s">
        <v>1552</v>
      </c>
      <c r="G70" s="23" t="s">
        <v>1553</v>
      </c>
    </row>
    <row r="71" spans="1:7">
      <c r="A71" s="23" t="s">
        <v>1629</v>
      </c>
      <c r="B71" s="23" t="s">
        <v>1548</v>
      </c>
      <c r="C71" s="23">
        <v>0</v>
      </c>
      <c r="D71" s="23" t="s">
        <v>1630</v>
      </c>
      <c r="E71" s="23" t="s">
        <v>1628</v>
      </c>
      <c r="F71" s="23" t="s">
        <v>1631</v>
      </c>
      <c r="G71" s="23" t="s">
        <v>1632</v>
      </c>
    </row>
    <row r="72" spans="1:7">
      <c r="A72" s="23" t="s">
        <v>1633</v>
      </c>
      <c r="B72" s="23" t="s">
        <v>1548</v>
      </c>
      <c r="C72" s="23">
        <v>21</v>
      </c>
      <c r="D72" s="23" t="s">
        <v>1634</v>
      </c>
      <c r="E72" s="23" t="s">
        <v>1635</v>
      </c>
      <c r="F72" s="23" t="s">
        <v>1631</v>
      </c>
      <c r="G72" s="23" t="s">
        <v>1632</v>
      </c>
    </row>
    <row r="73" spans="1:7">
      <c r="A73" s="23" t="s">
        <v>1636</v>
      </c>
      <c r="B73" s="23" t="s">
        <v>1548</v>
      </c>
      <c r="C73" s="23">
        <v>21</v>
      </c>
      <c r="D73" s="23" t="s">
        <v>1634</v>
      </c>
      <c r="E73" s="23" t="s">
        <v>1637</v>
      </c>
      <c r="F73" s="23" t="s">
        <v>1631</v>
      </c>
      <c r="G73" s="23" t="s">
        <v>1632</v>
      </c>
    </row>
    <row r="74" spans="1:7">
      <c r="A74" s="23" t="s">
        <v>1638</v>
      </c>
      <c r="B74" s="23" t="s">
        <v>1626</v>
      </c>
      <c r="C74" s="23">
        <v>160796</v>
      </c>
      <c r="D74" s="23" t="s">
        <v>1634</v>
      </c>
      <c r="E74" s="23" t="s">
        <v>1639</v>
      </c>
      <c r="F74" s="23" t="s">
        <v>1631</v>
      </c>
      <c r="G74" s="23" t="s">
        <v>1632</v>
      </c>
    </row>
    <row r="75" spans="1:7">
      <c r="A75" s="23" t="s">
        <v>1640</v>
      </c>
      <c r="B75" s="23" t="s">
        <v>1626</v>
      </c>
      <c r="C75" s="23">
        <v>158062</v>
      </c>
      <c r="D75" s="23" t="s">
        <v>1641</v>
      </c>
      <c r="E75" s="23" t="s">
        <v>1642</v>
      </c>
      <c r="F75" s="23" t="s">
        <v>1631</v>
      </c>
      <c r="G75" s="23" t="s">
        <v>1632</v>
      </c>
    </row>
    <row r="76" spans="1:7">
      <c r="A76" s="23" t="s">
        <v>1643</v>
      </c>
      <c r="B76" s="23" t="s">
        <v>1626</v>
      </c>
      <c r="C76" s="23">
        <v>2614459</v>
      </c>
      <c r="D76" s="23" t="s">
        <v>1634</v>
      </c>
      <c r="E76" s="23" t="s">
        <v>1644</v>
      </c>
      <c r="F76" s="23" t="s">
        <v>1631</v>
      </c>
      <c r="G76" s="23" t="s">
        <v>1632</v>
      </c>
    </row>
    <row r="77" spans="1:7">
      <c r="A77" s="23" t="s">
        <v>1645</v>
      </c>
      <c r="B77" s="23" t="s">
        <v>1548</v>
      </c>
      <c r="C77" s="23">
        <v>452</v>
      </c>
      <c r="D77" s="23" t="s">
        <v>1634</v>
      </c>
      <c r="E77" s="23" t="s">
        <v>1646</v>
      </c>
      <c r="F77" s="23" t="s">
        <v>1631</v>
      </c>
      <c r="G77" s="23" t="s">
        <v>1632</v>
      </c>
    </row>
    <row r="78" spans="1:7">
      <c r="A78" s="23" t="s">
        <v>1647</v>
      </c>
      <c r="B78" s="23" t="s">
        <v>1626</v>
      </c>
      <c r="C78" s="23">
        <v>2246530</v>
      </c>
      <c r="D78" s="23" t="s">
        <v>1641</v>
      </c>
      <c r="E78" s="23" t="s">
        <v>1648</v>
      </c>
      <c r="F78" s="23" t="s">
        <v>1631</v>
      </c>
      <c r="G78" s="23" t="s">
        <v>1632</v>
      </c>
    </row>
    <row r="79" spans="1:7">
      <c r="A79" s="23" t="s">
        <v>1649</v>
      </c>
      <c r="B79" s="23" t="s">
        <v>1548</v>
      </c>
      <c r="C79" s="23">
        <v>13317</v>
      </c>
      <c r="D79" s="23" t="s">
        <v>1650</v>
      </c>
      <c r="E79" s="23" t="s">
        <v>1651</v>
      </c>
      <c r="F79" s="23" t="s">
        <v>1631</v>
      </c>
      <c r="G79" s="23" t="s">
        <v>1632</v>
      </c>
    </row>
    <row r="80" spans="1:7">
      <c r="A80" s="23" t="s">
        <v>1652</v>
      </c>
      <c r="B80" s="23" t="s">
        <v>1548</v>
      </c>
      <c r="C80" s="23">
        <v>3463</v>
      </c>
      <c r="D80" s="23" t="s">
        <v>1653</v>
      </c>
      <c r="E80" s="23" t="s">
        <v>1654</v>
      </c>
      <c r="F80" s="23" t="s">
        <v>1631</v>
      </c>
      <c r="G80" s="23" t="s">
        <v>1632</v>
      </c>
    </row>
    <row r="81" spans="1:7">
      <c r="A81" s="23" t="s">
        <v>1655</v>
      </c>
      <c r="B81" s="23" t="s">
        <v>1548</v>
      </c>
      <c r="C81" s="23">
        <v>2221</v>
      </c>
      <c r="D81" s="23" t="s">
        <v>1653</v>
      </c>
      <c r="E81" s="23" t="s">
        <v>1656</v>
      </c>
      <c r="F81" s="23" t="s">
        <v>1631</v>
      </c>
      <c r="G81" s="23" t="s">
        <v>1632</v>
      </c>
    </row>
    <row r="82" spans="1:7">
      <c r="A82" s="23" t="s">
        <v>1657</v>
      </c>
      <c r="B82" s="23" t="s">
        <v>1548</v>
      </c>
      <c r="C82" s="23">
        <v>179</v>
      </c>
      <c r="D82" s="23" t="s">
        <v>1653</v>
      </c>
      <c r="E82" s="23" t="s">
        <v>1658</v>
      </c>
      <c r="F82" s="23" t="s">
        <v>1631</v>
      </c>
      <c r="G82" s="23" t="s">
        <v>1632</v>
      </c>
    </row>
    <row r="83" spans="1:7">
      <c r="A83" s="23" t="s">
        <v>1659</v>
      </c>
      <c r="B83" s="23" t="s">
        <v>1548</v>
      </c>
      <c r="C83" s="23">
        <v>0</v>
      </c>
      <c r="D83" s="23" t="s">
        <v>1660</v>
      </c>
      <c r="E83" s="23" t="s">
        <v>1628</v>
      </c>
      <c r="F83" s="23" t="s">
        <v>1631</v>
      </c>
      <c r="G83" s="23" t="s">
        <v>1632</v>
      </c>
    </row>
    <row r="84" spans="1:7">
      <c r="A84" s="23" t="s">
        <v>1661</v>
      </c>
      <c r="B84" s="23" t="s">
        <v>1662</v>
      </c>
      <c r="C84" s="23">
        <v>9387</v>
      </c>
      <c r="D84" s="23" t="s">
        <v>1663</v>
      </c>
      <c r="E84" s="23" t="s">
        <v>1664</v>
      </c>
      <c r="F84" s="23" t="s">
        <v>1631</v>
      </c>
      <c r="G84" s="23" t="s">
        <v>1632</v>
      </c>
    </row>
    <row r="85" spans="1:7">
      <c r="A85" s="23" t="s">
        <v>1665</v>
      </c>
      <c r="B85" s="23" t="s">
        <v>1666</v>
      </c>
      <c r="C85" s="23">
        <v>3204</v>
      </c>
      <c r="D85" s="23" t="s">
        <v>1663</v>
      </c>
      <c r="E85" s="23" t="s">
        <v>1667</v>
      </c>
      <c r="F85" s="23" t="s">
        <v>1631</v>
      </c>
      <c r="G85" s="23" t="s">
        <v>1632</v>
      </c>
    </row>
    <row r="86" spans="1:7">
      <c r="A86" s="23" t="s">
        <v>1668</v>
      </c>
      <c r="B86" s="23" t="s">
        <v>1548</v>
      </c>
      <c r="C86" s="23">
        <v>110</v>
      </c>
      <c r="D86" s="23" t="s">
        <v>1669</v>
      </c>
      <c r="E86" s="23" t="s">
        <v>1670</v>
      </c>
      <c r="F86" s="23" t="s">
        <v>1631</v>
      </c>
      <c r="G86" s="23" t="s">
        <v>1632</v>
      </c>
    </row>
    <row r="87" spans="1:7">
      <c r="A87" s="23" t="s">
        <v>1671</v>
      </c>
      <c r="B87" s="23" t="s">
        <v>1548</v>
      </c>
      <c r="C87" s="23">
        <v>21</v>
      </c>
      <c r="D87" s="23" t="s">
        <v>1672</v>
      </c>
      <c r="E87" s="23" t="s">
        <v>1673</v>
      </c>
      <c r="F87" s="23" t="s">
        <v>1631</v>
      </c>
      <c r="G87" s="23" t="s">
        <v>1632</v>
      </c>
    </row>
    <row r="88" spans="1:7">
      <c r="A88" s="23" t="s">
        <v>1674</v>
      </c>
      <c r="B88" s="23" t="s">
        <v>1548</v>
      </c>
      <c r="C88" s="23">
        <v>2</v>
      </c>
      <c r="D88" s="23" t="s">
        <v>1675</v>
      </c>
      <c r="E88" s="23" t="s">
        <v>1676</v>
      </c>
      <c r="F88" s="23" t="s">
        <v>1631</v>
      </c>
      <c r="G88" s="23" t="s">
        <v>1632</v>
      </c>
    </row>
    <row r="89" spans="1:7">
      <c r="A89" s="23" t="s">
        <v>1677</v>
      </c>
      <c r="B89" s="23" t="s">
        <v>1626</v>
      </c>
      <c r="C89" s="23">
        <v>0</v>
      </c>
      <c r="D89" s="23" t="s">
        <v>1678</v>
      </c>
      <c r="E89" s="23" t="s">
        <v>1628</v>
      </c>
      <c r="F89" s="23" t="s">
        <v>1631</v>
      </c>
      <c r="G89" s="23" t="s">
        <v>1632</v>
      </c>
    </row>
    <row r="90" spans="1:7">
      <c r="A90" s="23" t="s">
        <v>1679</v>
      </c>
      <c r="B90" s="23" t="s">
        <v>1626</v>
      </c>
      <c r="C90" s="23">
        <v>44660</v>
      </c>
      <c r="D90" s="23" t="s">
        <v>1678</v>
      </c>
      <c r="E90" s="23" t="s">
        <v>1680</v>
      </c>
      <c r="F90" s="23" t="s">
        <v>1631</v>
      </c>
      <c r="G90" s="23" t="s">
        <v>1632</v>
      </c>
    </row>
    <row r="91" spans="1:7">
      <c r="A91" s="23" t="s">
        <v>1681</v>
      </c>
      <c r="B91" s="23" t="s">
        <v>1626</v>
      </c>
      <c r="C91" s="23">
        <v>30091</v>
      </c>
      <c r="D91" s="23" t="s">
        <v>1678</v>
      </c>
      <c r="E91" s="23" t="s">
        <v>1682</v>
      </c>
      <c r="F91" s="23" t="s">
        <v>1631</v>
      </c>
      <c r="G91" s="23" t="s">
        <v>1632</v>
      </c>
    </row>
    <row r="92" spans="1:7">
      <c r="A92" s="23" t="s">
        <v>1683</v>
      </c>
      <c r="B92" s="23" t="s">
        <v>1626</v>
      </c>
      <c r="C92" s="23">
        <v>4922</v>
      </c>
      <c r="D92" s="23" t="s">
        <v>1678</v>
      </c>
      <c r="E92" s="23" t="s">
        <v>1684</v>
      </c>
      <c r="F92" s="23" t="s">
        <v>1631</v>
      </c>
      <c r="G92" s="23" t="s">
        <v>1632</v>
      </c>
    </row>
    <row r="93" spans="1:7">
      <c r="A93" s="23" t="s">
        <v>1685</v>
      </c>
      <c r="B93" s="23" t="s">
        <v>1626</v>
      </c>
      <c r="C93" s="23">
        <v>2785</v>
      </c>
      <c r="D93" s="23" t="s">
        <v>1678</v>
      </c>
      <c r="E93" s="23" t="s">
        <v>1686</v>
      </c>
      <c r="F93" s="23" t="s">
        <v>1631</v>
      </c>
      <c r="G93" s="23" t="s">
        <v>1632</v>
      </c>
    </row>
    <row r="94" spans="1:7">
      <c r="A94" s="23" t="s">
        <v>1687</v>
      </c>
      <c r="B94" s="23" t="s">
        <v>1626</v>
      </c>
      <c r="C94" s="23">
        <v>27971</v>
      </c>
      <c r="D94" s="23" t="s">
        <v>1678</v>
      </c>
      <c r="E94" s="23" t="s">
        <v>1688</v>
      </c>
      <c r="F94" s="23" t="s">
        <v>1631</v>
      </c>
      <c r="G94" s="23" t="s">
        <v>1632</v>
      </c>
    </row>
    <row r="95" spans="1:7">
      <c r="A95" s="23" t="s">
        <v>1689</v>
      </c>
      <c r="B95" s="23" t="s">
        <v>1548</v>
      </c>
      <c r="C95" s="23">
        <v>21</v>
      </c>
      <c r="D95" s="23" t="s">
        <v>1672</v>
      </c>
      <c r="E95" s="23" t="s">
        <v>1690</v>
      </c>
      <c r="F95" s="23" t="s">
        <v>1631</v>
      </c>
      <c r="G95" s="23" t="s">
        <v>1632</v>
      </c>
    </row>
    <row r="96" spans="1:7">
      <c r="A96" s="23" t="s">
        <v>1691</v>
      </c>
      <c r="B96" s="23" t="s">
        <v>1626</v>
      </c>
      <c r="C96" s="23">
        <v>57256</v>
      </c>
      <c r="D96" s="23" t="s">
        <v>1675</v>
      </c>
      <c r="E96" s="23" t="s">
        <v>1692</v>
      </c>
      <c r="F96" s="23" t="s">
        <v>1631</v>
      </c>
      <c r="G96" s="23" t="s">
        <v>1632</v>
      </c>
    </row>
    <row r="97" spans="1:7">
      <c r="A97" s="23" t="s">
        <v>1693</v>
      </c>
      <c r="B97" s="23" t="s">
        <v>1626</v>
      </c>
      <c r="C97" s="23">
        <v>256357</v>
      </c>
      <c r="D97" s="23" t="s">
        <v>1675</v>
      </c>
      <c r="E97" s="23" t="s">
        <v>1694</v>
      </c>
      <c r="F97" s="23" t="s">
        <v>1631</v>
      </c>
      <c r="G97" s="23" t="s">
        <v>1632</v>
      </c>
    </row>
    <row r="98" spans="1:7">
      <c r="A98" s="23" t="s">
        <v>1695</v>
      </c>
      <c r="B98" s="23" t="s">
        <v>1626</v>
      </c>
      <c r="C98" s="23">
        <v>314214</v>
      </c>
      <c r="D98" s="23" t="s">
        <v>1669</v>
      </c>
      <c r="E98" s="23" t="s">
        <v>1696</v>
      </c>
      <c r="F98" s="23" t="s">
        <v>1631</v>
      </c>
      <c r="G98" s="23" t="s">
        <v>1632</v>
      </c>
    </row>
    <row r="99" spans="1:7">
      <c r="A99" s="23" t="s">
        <v>1697</v>
      </c>
      <c r="B99" s="23" t="s">
        <v>1626</v>
      </c>
      <c r="C99" s="23">
        <v>431533</v>
      </c>
      <c r="D99" s="23" t="s">
        <v>1672</v>
      </c>
      <c r="E99" s="23" t="s">
        <v>1698</v>
      </c>
      <c r="F99" s="23" t="s">
        <v>1631</v>
      </c>
      <c r="G99" s="23" t="s">
        <v>1632</v>
      </c>
    </row>
    <row r="100" spans="1:7">
      <c r="A100" s="23" t="s">
        <v>1699</v>
      </c>
      <c r="B100" s="23" t="s">
        <v>1626</v>
      </c>
      <c r="C100" s="23">
        <v>34524261</v>
      </c>
      <c r="D100" s="23" t="s">
        <v>1672</v>
      </c>
      <c r="E100" s="23" t="s">
        <v>1700</v>
      </c>
      <c r="F100" s="23" t="s">
        <v>1631</v>
      </c>
      <c r="G100" s="23" t="s">
        <v>1632</v>
      </c>
    </row>
    <row r="101" spans="1:7">
      <c r="A101" s="23" t="s">
        <v>1701</v>
      </c>
      <c r="B101" s="23" t="s">
        <v>1548</v>
      </c>
      <c r="C101" s="23">
        <v>556</v>
      </c>
      <c r="D101" s="23" t="s">
        <v>1672</v>
      </c>
      <c r="E101" s="23" t="s">
        <v>1702</v>
      </c>
      <c r="F101" s="23" t="s">
        <v>1631</v>
      </c>
      <c r="G101" s="23" t="s">
        <v>1632</v>
      </c>
    </row>
    <row r="102" spans="1:7">
      <c r="A102" s="23" t="s">
        <v>1703</v>
      </c>
      <c r="B102" s="23" t="s">
        <v>1626</v>
      </c>
      <c r="C102" s="23">
        <v>34512874</v>
      </c>
      <c r="D102" s="23" t="s">
        <v>1669</v>
      </c>
      <c r="E102" s="23" t="s">
        <v>1704</v>
      </c>
      <c r="F102" s="23" t="s">
        <v>1631</v>
      </c>
      <c r="G102" s="23" t="s">
        <v>1632</v>
      </c>
    </row>
    <row r="103" spans="1:7">
      <c r="A103" s="23" t="s">
        <v>1705</v>
      </c>
      <c r="B103" s="23" t="s">
        <v>1548</v>
      </c>
      <c r="C103" s="23">
        <v>1407</v>
      </c>
      <c r="D103" s="23" t="s">
        <v>1706</v>
      </c>
      <c r="E103" s="23" t="s">
        <v>1707</v>
      </c>
      <c r="F103" s="23" t="s">
        <v>1631</v>
      </c>
      <c r="G103" s="23" t="s">
        <v>1632</v>
      </c>
    </row>
    <row r="104" spans="1:7">
      <c r="A104" s="23" t="s">
        <v>1708</v>
      </c>
      <c r="B104" s="23" t="s">
        <v>1548</v>
      </c>
      <c r="C104" s="23">
        <v>124</v>
      </c>
      <c r="D104" s="23" t="s">
        <v>1709</v>
      </c>
      <c r="E104" s="23" t="s">
        <v>1710</v>
      </c>
      <c r="F104" s="23" t="s">
        <v>1631</v>
      </c>
      <c r="G104" s="23" t="s">
        <v>1632</v>
      </c>
    </row>
    <row r="105" spans="1:7">
      <c r="A105" s="23" t="s">
        <v>1711</v>
      </c>
      <c r="B105" s="23" t="s">
        <v>1548</v>
      </c>
      <c r="C105" s="23">
        <v>6000</v>
      </c>
      <c r="D105" s="23" t="s">
        <v>1712</v>
      </c>
      <c r="E105" s="23" t="s">
        <v>1713</v>
      </c>
      <c r="F105" s="23" t="s">
        <v>1631</v>
      </c>
      <c r="G105" s="23" t="s">
        <v>1632</v>
      </c>
    </row>
    <row r="106" spans="1:7">
      <c r="A106" s="23" t="s">
        <v>1714</v>
      </c>
      <c r="B106" s="23" t="s">
        <v>1475</v>
      </c>
      <c r="C106" s="23">
        <v>104</v>
      </c>
      <c r="D106" s="23" t="s">
        <v>1715</v>
      </c>
      <c r="E106" s="23" t="s">
        <v>1716</v>
      </c>
      <c r="F106" s="23" t="s">
        <v>1631</v>
      </c>
      <c r="G106" s="23" t="s">
        <v>1632</v>
      </c>
    </row>
    <row r="107" spans="1:7" ht="12.75" customHeight="1">
      <c r="A107" s="23" t="s">
        <v>2095</v>
      </c>
      <c r="B107" s="23" t="s">
        <v>1548</v>
      </c>
      <c r="C107" s="23">
        <v>30</v>
      </c>
      <c r="D107" s="23" t="s">
        <v>2096</v>
      </c>
      <c r="E107" s="23" t="s">
        <v>2097</v>
      </c>
      <c r="F107" s="23" t="s">
        <v>2098</v>
      </c>
      <c r="G107" s="23" t="s">
        <v>2099</v>
      </c>
    </row>
    <row r="108" spans="1:7" ht="12.75" customHeight="1">
      <c r="A108" s="23" t="s">
        <v>2100</v>
      </c>
      <c r="B108" s="23" t="s">
        <v>1548</v>
      </c>
      <c r="C108" s="23">
        <v>30</v>
      </c>
      <c r="D108" s="23" t="s">
        <v>2101</v>
      </c>
      <c r="E108" s="23" t="s">
        <v>2102</v>
      </c>
      <c r="F108" s="23" t="s">
        <v>2103</v>
      </c>
      <c r="G108" s="23" t="s">
        <v>2099</v>
      </c>
    </row>
    <row r="109" spans="1:7" ht="12.75" customHeight="1">
      <c r="A109" s="23" t="s">
        <v>2104</v>
      </c>
      <c r="B109" s="23" t="s">
        <v>1548</v>
      </c>
      <c r="C109" s="23">
        <v>30</v>
      </c>
      <c r="D109" s="23" t="s">
        <v>2105</v>
      </c>
      <c r="E109" s="23" t="s">
        <v>2106</v>
      </c>
      <c r="F109" s="23" t="s">
        <v>2103</v>
      </c>
      <c r="G109" s="23" t="s">
        <v>2099</v>
      </c>
    </row>
    <row r="110" spans="1:7" ht="12.75" customHeight="1">
      <c r="A110" s="23" t="s">
        <v>2107</v>
      </c>
      <c r="B110" s="23" t="s">
        <v>1483</v>
      </c>
      <c r="C110" s="23">
        <v>4386</v>
      </c>
      <c r="D110" s="23" t="s">
        <v>2108</v>
      </c>
      <c r="E110" s="23" t="s">
        <v>2109</v>
      </c>
      <c r="F110" s="23" t="s">
        <v>2110</v>
      </c>
      <c r="G110" s="23" t="s">
        <v>2099</v>
      </c>
    </row>
    <row r="111" spans="1:7" ht="12.75" customHeight="1">
      <c r="A111" s="23" t="s">
        <v>2111</v>
      </c>
      <c r="B111" s="23" t="s">
        <v>1548</v>
      </c>
      <c r="C111" s="23">
        <v>30</v>
      </c>
      <c r="D111" s="23" t="s">
        <v>2112</v>
      </c>
      <c r="E111" s="23" t="s">
        <v>2113</v>
      </c>
      <c r="F111" s="23" t="s">
        <v>2114</v>
      </c>
      <c r="G111" s="23" t="s">
        <v>2099</v>
      </c>
    </row>
    <row r="112" spans="1:7" ht="12.75" customHeight="1">
      <c r="A112" s="23" t="s">
        <v>2115</v>
      </c>
      <c r="B112" s="23" t="s">
        <v>1548</v>
      </c>
      <c r="C112" s="23">
        <v>30</v>
      </c>
      <c r="D112" s="23" t="s">
        <v>2116</v>
      </c>
      <c r="E112" s="23" t="s">
        <v>2117</v>
      </c>
      <c r="F112" s="23" t="s">
        <v>2114</v>
      </c>
      <c r="G112" s="23" t="s">
        <v>2099</v>
      </c>
    </row>
    <row r="113" spans="1:7" ht="12.75" customHeight="1">
      <c r="A113" s="23" t="s">
        <v>2118</v>
      </c>
      <c r="B113" s="23" t="s">
        <v>1537</v>
      </c>
      <c r="C113" s="23">
        <v>2125</v>
      </c>
      <c r="D113" s="23" t="s">
        <v>2119</v>
      </c>
      <c r="E113" s="23" t="s">
        <v>2120</v>
      </c>
      <c r="F113" s="23" t="s">
        <v>2098</v>
      </c>
      <c r="G113" s="23" t="s">
        <v>2099</v>
      </c>
    </row>
    <row r="114" spans="1:7" ht="12.75" customHeight="1">
      <c r="A114" s="23" t="s">
        <v>2121</v>
      </c>
      <c r="B114" s="23" t="s">
        <v>1483</v>
      </c>
      <c r="C114" s="23">
        <v>2995</v>
      </c>
      <c r="D114" s="23" t="s">
        <v>2122</v>
      </c>
      <c r="E114" s="23" t="s">
        <v>2123</v>
      </c>
      <c r="F114" s="23" t="s">
        <v>2124</v>
      </c>
      <c r="G114" s="23" t="s">
        <v>2099</v>
      </c>
    </row>
    <row r="115" spans="1:7" ht="12.75" customHeight="1">
      <c r="A115" s="23" t="s">
        <v>2125</v>
      </c>
      <c r="B115" s="23" t="s">
        <v>1544</v>
      </c>
      <c r="C115" s="23">
        <v>9480</v>
      </c>
      <c r="D115" s="23" t="s">
        <v>2126</v>
      </c>
      <c r="E115" s="23" t="s">
        <v>2127</v>
      </c>
      <c r="F115" s="23" t="s">
        <v>2124</v>
      </c>
      <c r="G115" s="23" t="s">
        <v>2099</v>
      </c>
    </row>
    <row r="116" spans="1:7" ht="12.75" customHeight="1">
      <c r="A116" s="23" t="s">
        <v>2128</v>
      </c>
      <c r="B116" s="23" t="s">
        <v>1548</v>
      </c>
      <c r="C116" s="23">
        <v>1891</v>
      </c>
      <c r="D116" s="23" t="s">
        <v>2129</v>
      </c>
      <c r="E116" s="23" t="s">
        <v>2130</v>
      </c>
      <c r="F116" s="23" t="s">
        <v>2124</v>
      </c>
      <c r="G116" s="23" t="s">
        <v>2099</v>
      </c>
    </row>
    <row r="117" spans="1:7" ht="12.75" customHeight="1">
      <c r="A117" s="23" t="s">
        <v>2131</v>
      </c>
      <c r="B117" s="23" t="s">
        <v>1483</v>
      </c>
      <c r="C117" s="23">
        <v>145</v>
      </c>
      <c r="D117" s="23" t="s">
        <v>2132</v>
      </c>
      <c r="E117" s="23" t="s">
        <v>2133</v>
      </c>
      <c r="F117" s="23" t="s">
        <v>2134</v>
      </c>
      <c r="G117" s="23" t="s">
        <v>2099</v>
      </c>
    </row>
    <row r="118" spans="1:7" ht="12.75" customHeight="1">
      <c r="A118" s="23" t="s">
        <v>2135</v>
      </c>
      <c r="B118" s="23" t="s">
        <v>1548</v>
      </c>
      <c r="C118" s="23">
        <v>80</v>
      </c>
      <c r="D118" s="23" t="s">
        <v>2136</v>
      </c>
      <c r="E118" s="23" t="s">
        <v>2137</v>
      </c>
      <c r="F118" s="23" t="s">
        <v>2134</v>
      </c>
      <c r="G118" s="23" t="s">
        <v>2099</v>
      </c>
    </row>
    <row r="119" spans="1:7" ht="12.75" customHeight="1">
      <c r="A119" s="23" t="s">
        <v>2138</v>
      </c>
      <c r="B119" s="23" t="s">
        <v>1537</v>
      </c>
      <c r="C119" s="23">
        <v>57230</v>
      </c>
      <c r="D119" s="23" t="s">
        <v>2139</v>
      </c>
      <c r="E119" s="23" t="s">
        <v>2140</v>
      </c>
      <c r="F119" s="23" t="s">
        <v>2098</v>
      </c>
      <c r="G119" s="23" t="s">
        <v>2099</v>
      </c>
    </row>
    <row r="120" spans="1:7" ht="12.75" customHeight="1">
      <c r="A120" s="23" t="s">
        <v>2141</v>
      </c>
      <c r="B120" s="23" t="s">
        <v>1483</v>
      </c>
      <c r="C120" s="23">
        <v>28204</v>
      </c>
      <c r="D120" s="23" t="s">
        <v>2142</v>
      </c>
      <c r="E120" s="23" t="s">
        <v>2143</v>
      </c>
      <c r="F120" s="23" t="s">
        <v>2144</v>
      </c>
      <c r="G120" s="23" t="s">
        <v>2099</v>
      </c>
    </row>
    <row r="121" spans="1:7" ht="12.75" customHeight="1">
      <c r="A121" s="23" t="s">
        <v>2145</v>
      </c>
      <c r="B121" s="23" t="s">
        <v>1544</v>
      </c>
      <c r="C121" s="23">
        <v>64160</v>
      </c>
      <c r="D121" s="23" t="s">
        <v>2146</v>
      </c>
      <c r="E121" s="23" t="s">
        <v>2147</v>
      </c>
      <c r="F121" s="23" t="s">
        <v>2144</v>
      </c>
      <c r="G121" s="23" t="s">
        <v>2099</v>
      </c>
    </row>
    <row r="122" spans="1:7" ht="12.75" customHeight="1">
      <c r="A122" s="23" t="s">
        <v>2148</v>
      </c>
      <c r="B122" s="23" t="s">
        <v>1548</v>
      </c>
      <c r="C122" s="23">
        <v>33324</v>
      </c>
      <c r="D122" s="23" t="s">
        <v>2142</v>
      </c>
      <c r="E122" s="23" t="s">
        <v>2149</v>
      </c>
      <c r="F122" s="23" t="s">
        <v>2144</v>
      </c>
      <c r="G122" s="23" t="s">
        <v>2099</v>
      </c>
    </row>
    <row r="123" spans="1:7" ht="12.75" customHeight="1">
      <c r="A123" s="23" t="s">
        <v>2150</v>
      </c>
      <c r="B123" s="23" t="s">
        <v>1483</v>
      </c>
      <c r="C123" s="23">
        <v>89205</v>
      </c>
      <c r="D123" s="23" t="s">
        <v>2151</v>
      </c>
      <c r="E123" s="23" t="s">
        <v>2152</v>
      </c>
      <c r="F123" s="23" t="s">
        <v>2153</v>
      </c>
      <c r="G123" s="23" t="s">
        <v>2099</v>
      </c>
    </row>
    <row r="124" spans="1:7" ht="12.75" customHeight="1">
      <c r="A124" s="23" t="s">
        <v>2154</v>
      </c>
      <c r="B124" s="23" t="s">
        <v>1544</v>
      </c>
      <c r="C124" s="23">
        <v>143980</v>
      </c>
      <c r="D124" s="23" t="s">
        <v>2155</v>
      </c>
      <c r="E124" s="23" t="s">
        <v>2156</v>
      </c>
      <c r="F124" s="23" t="s">
        <v>2153</v>
      </c>
      <c r="G124" s="23" t="s">
        <v>2099</v>
      </c>
    </row>
    <row r="125" spans="1:7" ht="12.75" customHeight="1">
      <c r="A125" s="23" t="s">
        <v>2157</v>
      </c>
      <c r="B125" s="23" t="s">
        <v>1483</v>
      </c>
      <c r="C125" s="23">
        <v>77666</v>
      </c>
      <c r="D125" s="23" t="s">
        <v>2158</v>
      </c>
      <c r="E125" s="23" t="s">
        <v>2159</v>
      </c>
      <c r="F125" s="23" t="s">
        <v>2160</v>
      </c>
      <c r="G125" s="23" t="s">
        <v>2099</v>
      </c>
    </row>
    <row r="126" spans="1:7" ht="12.75" customHeight="1">
      <c r="A126" s="23" t="s">
        <v>1833</v>
      </c>
      <c r="B126" s="23" t="s">
        <v>1544</v>
      </c>
      <c r="C126" s="23">
        <v>125747</v>
      </c>
      <c r="D126" s="23" t="s">
        <v>2161</v>
      </c>
      <c r="E126" s="23" t="s">
        <v>2162</v>
      </c>
      <c r="F126" s="23" t="s">
        <v>2160</v>
      </c>
      <c r="G126" s="23" t="s">
        <v>2099</v>
      </c>
    </row>
    <row r="127" spans="1:7" ht="12.75" customHeight="1">
      <c r="A127" s="23" t="s">
        <v>2163</v>
      </c>
      <c r="B127" s="23" t="s">
        <v>1483</v>
      </c>
      <c r="C127" s="23">
        <v>77666</v>
      </c>
      <c r="D127" s="23" t="s">
        <v>2158</v>
      </c>
      <c r="E127" s="23" t="s">
        <v>2159</v>
      </c>
      <c r="F127" s="23" t="s">
        <v>2098</v>
      </c>
      <c r="G127" s="23" t="s">
        <v>2099</v>
      </c>
    </row>
    <row r="128" spans="1:7" ht="12.75" customHeight="1">
      <c r="A128" s="23" t="s">
        <v>2164</v>
      </c>
      <c r="B128" s="23" t="s">
        <v>1544</v>
      </c>
      <c r="C128" s="23">
        <v>125747</v>
      </c>
      <c r="D128" s="23" t="s">
        <v>2161</v>
      </c>
      <c r="E128" s="23" t="s">
        <v>2162</v>
      </c>
      <c r="F128" s="23" t="s">
        <v>2098</v>
      </c>
      <c r="G128" s="23" t="s">
        <v>2099</v>
      </c>
    </row>
    <row r="129" spans="1:7" ht="12.75" customHeight="1">
      <c r="A129" s="23" t="s">
        <v>2165</v>
      </c>
      <c r="B129" s="23" t="s">
        <v>1483</v>
      </c>
      <c r="C129" s="23">
        <v>89205</v>
      </c>
      <c r="D129" s="23" t="s">
        <v>2151</v>
      </c>
      <c r="E129" s="23" t="s">
        <v>2152</v>
      </c>
      <c r="F129" s="23" t="s">
        <v>2098</v>
      </c>
      <c r="G129" s="23" t="s">
        <v>2099</v>
      </c>
    </row>
    <row r="130" spans="1:7" ht="12.75" customHeight="1">
      <c r="A130" s="23" t="s">
        <v>2166</v>
      </c>
      <c r="B130" s="23" t="s">
        <v>1544</v>
      </c>
      <c r="C130" s="23">
        <v>143980</v>
      </c>
      <c r="D130" s="23" t="s">
        <v>2155</v>
      </c>
      <c r="E130" s="23" t="s">
        <v>2156</v>
      </c>
      <c r="F130" s="23" t="s">
        <v>2098</v>
      </c>
      <c r="G130" s="23" t="s">
        <v>2099</v>
      </c>
    </row>
    <row r="131" spans="1:7" ht="12.75" customHeight="1">
      <c r="A131" s="23" t="s">
        <v>2167</v>
      </c>
      <c r="B131" s="23" t="s">
        <v>1548</v>
      </c>
      <c r="C131" s="23">
        <v>30</v>
      </c>
      <c r="D131" s="23" t="s">
        <v>2168</v>
      </c>
      <c r="E131" s="23" t="s">
        <v>2169</v>
      </c>
      <c r="F131" s="23" t="s">
        <v>2098</v>
      </c>
      <c r="G131" s="23" t="s">
        <v>2170</v>
      </c>
    </row>
    <row r="132" spans="1:7" ht="12.75" customHeight="1">
      <c r="A132" s="23" t="s">
        <v>2171</v>
      </c>
      <c r="B132" s="23" t="s">
        <v>1548</v>
      </c>
      <c r="C132" s="23">
        <v>30</v>
      </c>
      <c r="D132" s="23" t="s">
        <v>2172</v>
      </c>
      <c r="E132" s="23" t="s">
        <v>2173</v>
      </c>
      <c r="F132" s="23" t="s">
        <v>2103</v>
      </c>
      <c r="G132" s="23" t="s">
        <v>2170</v>
      </c>
    </row>
    <row r="133" spans="1:7" ht="12.75" customHeight="1">
      <c r="A133" s="23" t="s">
        <v>2174</v>
      </c>
      <c r="B133" s="23" t="s">
        <v>1548</v>
      </c>
      <c r="C133" s="23">
        <v>30</v>
      </c>
      <c r="D133" s="23" t="s">
        <v>2175</v>
      </c>
      <c r="E133" s="23" t="s">
        <v>2176</v>
      </c>
      <c r="F133" s="23" t="s">
        <v>2103</v>
      </c>
      <c r="G133" s="23" t="s">
        <v>2170</v>
      </c>
    </row>
    <row r="134" spans="1:7" ht="12.75" customHeight="1">
      <c r="A134" s="23" t="s">
        <v>2177</v>
      </c>
      <c r="B134" s="23" t="s">
        <v>1483</v>
      </c>
      <c r="C134" s="23">
        <v>4386</v>
      </c>
      <c r="D134" s="23" t="s">
        <v>2178</v>
      </c>
      <c r="E134" s="23" t="s">
        <v>2179</v>
      </c>
      <c r="F134" s="23" t="s">
        <v>2110</v>
      </c>
      <c r="G134" s="23" t="s">
        <v>2170</v>
      </c>
    </row>
    <row r="135" spans="1:7" ht="12.75" customHeight="1">
      <c r="A135" s="23" t="s">
        <v>2180</v>
      </c>
      <c r="B135" s="23" t="s">
        <v>1548</v>
      </c>
      <c r="C135" s="23">
        <v>30</v>
      </c>
      <c r="D135" s="23" t="s">
        <v>2181</v>
      </c>
      <c r="E135" s="23" t="s">
        <v>2182</v>
      </c>
      <c r="F135" s="23" t="s">
        <v>2114</v>
      </c>
      <c r="G135" s="23" t="s">
        <v>2170</v>
      </c>
    </row>
    <row r="136" spans="1:7" ht="12.75" customHeight="1">
      <c r="A136" s="23" t="s">
        <v>2183</v>
      </c>
      <c r="B136" s="23" t="s">
        <v>1548</v>
      </c>
      <c r="C136" s="23">
        <v>30</v>
      </c>
      <c r="D136" s="23" t="s">
        <v>2184</v>
      </c>
      <c r="E136" s="23" t="s">
        <v>2185</v>
      </c>
      <c r="F136" s="23" t="s">
        <v>2114</v>
      </c>
      <c r="G136" s="23" t="s">
        <v>2170</v>
      </c>
    </row>
    <row r="137" spans="1:7" ht="12.75" customHeight="1">
      <c r="A137" s="23" t="s">
        <v>2186</v>
      </c>
      <c r="B137" s="23" t="s">
        <v>1537</v>
      </c>
      <c r="C137" s="23">
        <v>2014</v>
      </c>
      <c r="D137" s="23" t="s">
        <v>2187</v>
      </c>
      <c r="E137" s="23" t="s">
        <v>2188</v>
      </c>
      <c r="F137" s="23" t="s">
        <v>2098</v>
      </c>
      <c r="G137" s="23" t="s">
        <v>2170</v>
      </c>
    </row>
    <row r="138" spans="1:7" ht="12.75" customHeight="1">
      <c r="A138" s="23" t="s">
        <v>2189</v>
      </c>
      <c r="B138" s="23" t="s">
        <v>1483</v>
      </c>
      <c r="C138" s="23">
        <v>2995</v>
      </c>
      <c r="D138" s="23" t="s">
        <v>2190</v>
      </c>
      <c r="E138" s="24" t="s">
        <v>2191</v>
      </c>
      <c r="F138" s="23" t="s">
        <v>2124</v>
      </c>
      <c r="G138" s="23" t="s">
        <v>2170</v>
      </c>
    </row>
    <row r="139" spans="1:7" ht="12.75" customHeight="1">
      <c r="A139" s="23" t="s">
        <v>2192</v>
      </c>
      <c r="B139" s="23" t="s">
        <v>1544</v>
      </c>
      <c r="C139" s="23">
        <v>9373</v>
      </c>
      <c r="D139" s="23" t="s">
        <v>2190</v>
      </c>
      <c r="E139" s="23" t="s">
        <v>2193</v>
      </c>
      <c r="F139" s="23" t="s">
        <v>2124</v>
      </c>
      <c r="G139" s="23" t="s">
        <v>2170</v>
      </c>
    </row>
    <row r="140" spans="1:7" ht="12.75" customHeight="1">
      <c r="A140" s="23" t="s">
        <v>2194</v>
      </c>
      <c r="B140" s="23" t="s">
        <v>1548</v>
      </c>
      <c r="C140" s="23">
        <v>1891</v>
      </c>
      <c r="D140" s="23" t="s">
        <v>2195</v>
      </c>
      <c r="E140" s="23" t="s">
        <v>2196</v>
      </c>
      <c r="F140" s="23" t="s">
        <v>2124</v>
      </c>
      <c r="G140" s="23" t="s">
        <v>2170</v>
      </c>
    </row>
    <row r="141" spans="1:7" ht="12.75" customHeight="1">
      <c r="A141" s="23" t="s">
        <v>2197</v>
      </c>
      <c r="B141" s="23" t="s">
        <v>1483</v>
      </c>
      <c r="C141" s="23">
        <v>145</v>
      </c>
      <c r="D141" s="23" t="s">
        <v>2190</v>
      </c>
      <c r="E141" s="23" t="s">
        <v>2133</v>
      </c>
      <c r="F141" s="23" t="s">
        <v>2134</v>
      </c>
      <c r="G141" s="23" t="s">
        <v>2170</v>
      </c>
    </row>
    <row r="142" spans="1:7" ht="12.75" customHeight="1">
      <c r="A142" s="23" t="s">
        <v>2198</v>
      </c>
      <c r="B142" s="23" t="s">
        <v>1548</v>
      </c>
      <c r="C142" s="23">
        <v>80</v>
      </c>
      <c r="D142" s="23" t="s">
        <v>2199</v>
      </c>
      <c r="E142" s="23" t="s">
        <v>2200</v>
      </c>
      <c r="F142" s="23" t="s">
        <v>2134</v>
      </c>
      <c r="G142" s="23" t="s">
        <v>2170</v>
      </c>
    </row>
    <row r="143" spans="1:7" ht="12.75" customHeight="1">
      <c r="A143" s="23" t="s">
        <v>2201</v>
      </c>
      <c r="B143" s="23" t="s">
        <v>1537</v>
      </c>
      <c r="C143" s="23">
        <v>56864</v>
      </c>
      <c r="D143" s="23" t="s">
        <v>2202</v>
      </c>
      <c r="E143" s="23" t="s">
        <v>2203</v>
      </c>
      <c r="F143" s="23" t="s">
        <v>2098</v>
      </c>
      <c r="G143" s="23" t="s">
        <v>2170</v>
      </c>
    </row>
    <row r="144" spans="1:7" ht="12.75" customHeight="1">
      <c r="A144" s="23" t="s">
        <v>2204</v>
      </c>
      <c r="B144" s="23" t="s">
        <v>1483</v>
      </c>
      <c r="C144" s="23">
        <v>27833</v>
      </c>
      <c r="D144" s="23" t="s">
        <v>2205</v>
      </c>
      <c r="E144" s="23" t="s">
        <v>2206</v>
      </c>
      <c r="F144" s="23" t="s">
        <v>2144</v>
      </c>
      <c r="G144" s="23" t="s">
        <v>2170</v>
      </c>
    </row>
    <row r="145" spans="1:7" ht="12.75" customHeight="1">
      <c r="A145" s="23" t="s">
        <v>2207</v>
      </c>
      <c r="B145" s="23" t="s">
        <v>1544</v>
      </c>
      <c r="C145" s="23">
        <v>63789</v>
      </c>
      <c r="D145" s="23" t="s">
        <v>2208</v>
      </c>
      <c r="E145" s="23" t="s">
        <v>2209</v>
      </c>
      <c r="F145" s="23" t="s">
        <v>2144</v>
      </c>
      <c r="G145" s="23" t="s">
        <v>2170</v>
      </c>
    </row>
    <row r="146" spans="1:7" ht="12.75" customHeight="1">
      <c r="A146" s="23" t="s">
        <v>2210</v>
      </c>
      <c r="B146" s="23" t="s">
        <v>1548</v>
      </c>
      <c r="C146" s="23">
        <v>32953</v>
      </c>
      <c r="D146" s="23" t="s">
        <v>2211</v>
      </c>
      <c r="E146" s="23" t="s">
        <v>2212</v>
      </c>
      <c r="F146" s="23" t="s">
        <v>2144</v>
      </c>
      <c r="G146" s="23" t="s">
        <v>2170</v>
      </c>
    </row>
    <row r="147" spans="1:7" ht="12.75" customHeight="1">
      <c r="A147" s="23" t="s">
        <v>2213</v>
      </c>
      <c r="B147" s="23" t="s">
        <v>1483</v>
      </c>
      <c r="C147" s="23">
        <v>18</v>
      </c>
      <c r="D147" s="23" t="s">
        <v>2214</v>
      </c>
      <c r="E147" s="23" t="s">
        <v>2215</v>
      </c>
      <c r="F147" s="23" t="s">
        <v>2153</v>
      </c>
      <c r="G147" s="23" t="s">
        <v>2170</v>
      </c>
    </row>
    <row r="148" spans="1:7" ht="12.75" customHeight="1">
      <c r="A148" s="23" t="s">
        <v>2216</v>
      </c>
      <c r="B148" s="23" t="s">
        <v>1544</v>
      </c>
      <c r="C148" s="23">
        <v>1114</v>
      </c>
      <c r="D148" s="23" t="s">
        <v>2217</v>
      </c>
      <c r="E148" s="23" t="s">
        <v>2218</v>
      </c>
      <c r="F148" s="23" t="s">
        <v>2153</v>
      </c>
      <c r="G148" s="23" t="s">
        <v>2170</v>
      </c>
    </row>
    <row r="149" spans="1:7" ht="12.75" customHeight="1">
      <c r="A149" s="23" t="s">
        <v>2219</v>
      </c>
      <c r="B149" s="23" t="s">
        <v>1483</v>
      </c>
      <c r="C149" s="23">
        <v>1258</v>
      </c>
      <c r="D149" s="23" t="s">
        <v>2220</v>
      </c>
      <c r="E149" s="23" t="s">
        <v>2221</v>
      </c>
      <c r="F149" s="23" t="s">
        <v>2160</v>
      </c>
      <c r="G149" s="23" t="s">
        <v>2170</v>
      </c>
    </row>
    <row r="150" spans="1:7" ht="12.75" customHeight="1">
      <c r="A150" s="23" t="s">
        <v>1838</v>
      </c>
      <c r="B150" s="23" t="s">
        <v>1544</v>
      </c>
      <c r="C150" s="23">
        <v>1114</v>
      </c>
      <c r="D150" s="23" t="s">
        <v>2222</v>
      </c>
      <c r="E150" s="23" t="s">
        <v>2218</v>
      </c>
      <c r="F150" s="23" t="s">
        <v>2160</v>
      </c>
      <c r="G150" s="23" t="s">
        <v>2170</v>
      </c>
    </row>
    <row r="151" spans="1:7" ht="12.75" customHeight="1">
      <c r="A151" s="23" t="s">
        <v>2223</v>
      </c>
      <c r="B151" s="23" t="s">
        <v>1548</v>
      </c>
      <c r="C151" s="23">
        <v>30</v>
      </c>
      <c r="D151" s="23" t="s">
        <v>2224</v>
      </c>
      <c r="E151" s="23" t="s">
        <v>2225</v>
      </c>
      <c r="F151" s="23" t="s">
        <v>2103</v>
      </c>
      <c r="G151" s="23" t="s">
        <v>2226</v>
      </c>
    </row>
    <row r="152" spans="1:7" ht="12.75" customHeight="1">
      <c r="A152" s="23" t="s">
        <v>2227</v>
      </c>
      <c r="B152" s="23" t="s">
        <v>1548</v>
      </c>
      <c r="C152" s="23">
        <v>30</v>
      </c>
      <c r="D152" s="23" t="s">
        <v>2228</v>
      </c>
      <c r="E152" s="23" t="s">
        <v>2229</v>
      </c>
      <c r="F152" s="23" t="s">
        <v>2103</v>
      </c>
      <c r="G152" s="23" t="s">
        <v>2226</v>
      </c>
    </row>
    <row r="153" spans="1:7" ht="12.75" customHeight="1">
      <c r="A153" s="23" t="s">
        <v>2230</v>
      </c>
      <c r="B153" s="23" t="s">
        <v>1548</v>
      </c>
      <c r="C153" s="23">
        <v>30</v>
      </c>
      <c r="D153" s="23" t="s">
        <v>2231</v>
      </c>
      <c r="E153" s="23" t="s">
        <v>2232</v>
      </c>
      <c r="F153" s="23" t="s">
        <v>2114</v>
      </c>
      <c r="G153" s="23" t="s">
        <v>2226</v>
      </c>
    </row>
    <row r="154" spans="1:7" ht="12.75" customHeight="1">
      <c r="A154" s="23" t="s">
        <v>2233</v>
      </c>
      <c r="B154" s="23" t="s">
        <v>1548</v>
      </c>
      <c r="C154" s="23">
        <v>30</v>
      </c>
      <c r="D154" s="23" t="s">
        <v>2234</v>
      </c>
      <c r="E154" s="23" t="s">
        <v>2235</v>
      </c>
      <c r="F154" s="23" t="s">
        <v>2114</v>
      </c>
      <c r="G154" s="23" t="s">
        <v>2226</v>
      </c>
    </row>
    <row r="155" spans="1:7" ht="12.75" customHeight="1">
      <c r="A155" s="23" t="s">
        <v>2236</v>
      </c>
      <c r="B155" s="23" t="s">
        <v>1537</v>
      </c>
      <c r="C155" s="23">
        <v>2010</v>
      </c>
      <c r="D155" s="23" t="s">
        <v>2237</v>
      </c>
      <c r="E155" s="23" t="s">
        <v>2238</v>
      </c>
      <c r="F155" s="23" t="s">
        <v>2098</v>
      </c>
      <c r="G155" s="23" t="s">
        <v>2226</v>
      </c>
    </row>
    <row r="156" spans="1:7" ht="12.75" customHeight="1">
      <c r="A156" s="23" t="s">
        <v>2239</v>
      </c>
      <c r="B156" s="23" t="s">
        <v>1483</v>
      </c>
      <c r="C156" s="23">
        <v>2991</v>
      </c>
      <c r="D156" s="23" t="s">
        <v>2240</v>
      </c>
      <c r="E156" s="23" t="s">
        <v>2241</v>
      </c>
      <c r="F156" s="23" t="s">
        <v>2124</v>
      </c>
      <c r="G156" s="23" t="s">
        <v>2226</v>
      </c>
    </row>
    <row r="157" spans="1:7" ht="12.75" customHeight="1">
      <c r="A157" s="23" t="s">
        <v>2242</v>
      </c>
      <c r="B157" s="23" t="s">
        <v>1544</v>
      </c>
      <c r="C157" s="23">
        <v>9369</v>
      </c>
      <c r="D157" s="23" t="s">
        <v>2243</v>
      </c>
      <c r="E157" s="23" t="s">
        <v>2244</v>
      </c>
      <c r="F157" s="23" t="s">
        <v>2124</v>
      </c>
      <c r="G157" s="23" t="s">
        <v>2226</v>
      </c>
    </row>
    <row r="158" spans="1:7" ht="12.75" customHeight="1">
      <c r="A158" s="23" t="s">
        <v>2245</v>
      </c>
      <c r="B158" s="23" t="s">
        <v>1548</v>
      </c>
      <c r="C158" s="23">
        <v>1891</v>
      </c>
      <c r="D158" s="23" t="s">
        <v>2243</v>
      </c>
      <c r="E158" s="23" t="s">
        <v>2246</v>
      </c>
      <c r="F158" s="23" t="s">
        <v>2124</v>
      </c>
      <c r="G158" s="23" t="s">
        <v>2226</v>
      </c>
    </row>
    <row r="159" spans="1:7" ht="12.75" customHeight="1">
      <c r="A159" s="23" t="s">
        <v>2247</v>
      </c>
      <c r="B159" s="23" t="s">
        <v>1483</v>
      </c>
      <c r="C159" s="23">
        <v>145</v>
      </c>
      <c r="D159" s="23" t="s">
        <v>2248</v>
      </c>
      <c r="E159" s="23" t="s">
        <v>2133</v>
      </c>
      <c r="F159" s="23" t="s">
        <v>2134</v>
      </c>
      <c r="G159" s="23" t="s">
        <v>2226</v>
      </c>
    </row>
    <row r="160" spans="1:7" ht="12.75" customHeight="1">
      <c r="A160" s="23" t="s">
        <v>2249</v>
      </c>
      <c r="B160" s="23" t="s">
        <v>1548</v>
      </c>
      <c r="C160" s="23">
        <v>80</v>
      </c>
      <c r="D160" s="23" t="s">
        <v>2243</v>
      </c>
      <c r="E160" s="23" t="s">
        <v>2250</v>
      </c>
      <c r="F160" s="23" t="s">
        <v>2134</v>
      </c>
      <c r="G160" s="23" t="s">
        <v>2226</v>
      </c>
    </row>
    <row r="161" spans="1:7" ht="12.75" customHeight="1">
      <c r="A161" s="23" t="s">
        <v>2251</v>
      </c>
      <c r="B161" s="23" t="s">
        <v>1537</v>
      </c>
      <c r="C161" s="23">
        <v>56742</v>
      </c>
      <c r="D161" s="23" t="s">
        <v>2252</v>
      </c>
      <c r="E161" s="23" t="s">
        <v>2253</v>
      </c>
      <c r="F161" s="23" t="s">
        <v>2098</v>
      </c>
      <c r="G161" s="23" t="s">
        <v>2226</v>
      </c>
    </row>
    <row r="162" spans="1:7" ht="12.75" customHeight="1">
      <c r="A162" s="23" t="s">
        <v>2254</v>
      </c>
      <c r="B162" s="23" t="s">
        <v>1483</v>
      </c>
      <c r="C162" s="23">
        <v>27716</v>
      </c>
      <c r="D162" s="23" t="s">
        <v>2255</v>
      </c>
      <c r="E162" s="23" t="s">
        <v>2256</v>
      </c>
      <c r="F162" s="23" t="s">
        <v>2144</v>
      </c>
      <c r="G162" s="23" t="s">
        <v>2226</v>
      </c>
    </row>
    <row r="163" spans="1:7" ht="12.75" customHeight="1">
      <c r="A163" s="23" t="s">
        <v>2257</v>
      </c>
      <c r="B163" s="23" t="s">
        <v>1544</v>
      </c>
      <c r="C163" s="23">
        <v>63672</v>
      </c>
      <c r="D163" s="23" t="s">
        <v>2258</v>
      </c>
      <c r="E163" s="23" t="s">
        <v>2259</v>
      </c>
      <c r="F163" s="23" t="s">
        <v>2144</v>
      </c>
      <c r="G163" s="23" t="s">
        <v>2226</v>
      </c>
    </row>
    <row r="164" spans="1:7" ht="12.75" customHeight="1">
      <c r="A164" s="23" t="s">
        <v>2260</v>
      </c>
      <c r="B164" s="23" t="s">
        <v>1548</v>
      </c>
      <c r="C164" s="23">
        <v>32836</v>
      </c>
      <c r="D164" s="23" t="s">
        <v>2255</v>
      </c>
      <c r="E164" s="23" t="s">
        <v>2261</v>
      </c>
      <c r="F164" s="23" t="s">
        <v>2144</v>
      </c>
      <c r="G164" s="23" t="s">
        <v>2226</v>
      </c>
    </row>
    <row r="165" spans="1:7" ht="12.75" customHeight="1">
      <c r="A165" s="23" t="s">
        <v>2262</v>
      </c>
      <c r="B165" s="23" t="s">
        <v>1483</v>
      </c>
      <c r="C165" s="23">
        <v>175331</v>
      </c>
      <c r="D165" s="23" t="s">
        <v>2263</v>
      </c>
      <c r="E165" s="23" t="s">
        <v>2264</v>
      </c>
      <c r="F165" s="23" t="s">
        <v>2153</v>
      </c>
      <c r="G165" s="23" t="s">
        <v>2226</v>
      </c>
    </row>
    <row r="166" spans="1:7" ht="12.75" customHeight="1">
      <c r="A166" s="23" t="s">
        <v>2265</v>
      </c>
      <c r="B166" s="23" t="s">
        <v>1544</v>
      </c>
      <c r="C166" s="23">
        <v>161909</v>
      </c>
      <c r="D166" s="23" t="s">
        <v>2266</v>
      </c>
      <c r="E166" s="23" t="s">
        <v>2267</v>
      </c>
      <c r="F166" s="23" t="s">
        <v>2153</v>
      </c>
      <c r="G166" s="23" t="s">
        <v>2226</v>
      </c>
    </row>
    <row r="167" spans="1:7" ht="12.75" customHeight="1">
      <c r="A167" s="23" t="s">
        <v>2268</v>
      </c>
      <c r="B167" s="23" t="s">
        <v>1483</v>
      </c>
      <c r="C167" s="23">
        <v>138172</v>
      </c>
      <c r="D167" s="23" t="s">
        <v>2269</v>
      </c>
      <c r="E167" s="23" t="s">
        <v>2270</v>
      </c>
      <c r="F167" s="23" t="s">
        <v>2160</v>
      </c>
      <c r="G167" s="23" t="s">
        <v>2226</v>
      </c>
    </row>
    <row r="168" spans="1:7" ht="12.75" customHeight="1">
      <c r="A168" s="23" t="s">
        <v>1841</v>
      </c>
      <c r="B168" s="23" t="s">
        <v>1544</v>
      </c>
      <c r="C168" s="23">
        <v>127567</v>
      </c>
      <c r="D168" s="23" t="s">
        <v>2271</v>
      </c>
      <c r="E168" s="23" t="s">
        <v>2272</v>
      </c>
      <c r="F168" s="23" t="s">
        <v>2160</v>
      </c>
      <c r="G168" s="23" t="s">
        <v>2226</v>
      </c>
    </row>
    <row r="169" spans="1:7" ht="12.75" customHeight="1">
      <c r="A169" s="23" t="s">
        <v>2273</v>
      </c>
      <c r="B169" s="23" t="s">
        <v>1548</v>
      </c>
      <c r="C169" s="23">
        <v>30</v>
      </c>
      <c r="D169" s="23" t="s">
        <v>2274</v>
      </c>
      <c r="E169" s="23" t="s">
        <v>2275</v>
      </c>
      <c r="F169" s="23" t="s">
        <v>2103</v>
      </c>
      <c r="G169" s="23" t="s">
        <v>2067</v>
      </c>
    </row>
    <row r="170" spans="1:7" ht="12.75" customHeight="1">
      <c r="A170" s="23" t="s">
        <v>2276</v>
      </c>
      <c r="B170" s="23" t="s">
        <v>1548</v>
      </c>
      <c r="C170" s="23">
        <v>30</v>
      </c>
      <c r="D170" s="23" t="s">
        <v>2277</v>
      </c>
      <c r="E170" s="23" t="s">
        <v>2278</v>
      </c>
      <c r="F170" s="23" t="s">
        <v>2103</v>
      </c>
      <c r="G170" s="23" t="s">
        <v>2067</v>
      </c>
    </row>
    <row r="171" spans="1:7" ht="12.75" customHeight="1">
      <c r="A171" s="23" t="s">
        <v>2279</v>
      </c>
      <c r="B171" s="23" t="s">
        <v>1548</v>
      </c>
      <c r="C171" s="23">
        <v>30</v>
      </c>
      <c r="D171" s="23" t="s">
        <v>2280</v>
      </c>
      <c r="E171" s="23" t="s">
        <v>2281</v>
      </c>
      <c r="F171" s="23" t="s">
        <v>2114</v>
      </c>
      <c r="G171" s="23" t="s">
        <v>2067</v>
      </c>
    </row>
    <row r="172" spans="1:7" ht="12.75" customHeight="1">
      <c r="A172" s="23" t="s">
        <v>2282</v>
      </c>
      <c r="B172" s="23" t="s">
        <v>1548</v>
      </c>
      <c r="C172" s="23">
        <v>30</v>
      </c>
      <c r="D172" s="23" t="s">
        <v>2283</v>
      </c>
      <c r="E172" s="23" t="s">
        <v>2284</v>
      </c>
      <c r="F172" s="23" t="s">
        <v>2114</v>
      </c>
      <c r="G172" s="23" t="s">
        <v>2067</v>
      </c>
    </row>
    <row r="173" spans="1:7" ht="12.75" customHeight="1">
      <c r="A173" s="23" t="s">
        <v>2285</v>
      </c>
      <c r="B173" s="23" t="s">
        <v>1537</v>
      </c>
      <c r="C173" s="23">
        <v>2010</v>
      </c>
      <c r="D173" s="23" t="s">
        <v>2286</v>
      </c>
      <c r="E173" s="23" t="s">
        <v>2287</v>
      </c>
      <c r="F173" s="23" t="s">
        <v>2098</v>
      </c>
      <c r="G173" s="23" t="s">
        <v>2067</v>
      </c>
    </row>
    <row r="174" spans="1:7" ht="12.75" customHeight="1">
      <c r="A174" s="23" t="s">
        <v>2288</v>
      </c>
      <c r="B174" s="23" t="s">
        <v>1483</v>
      </c>
      <c r="C174" s="23">
        <v>2991</v>
      </c>
      <c r="D174" s="23" t="s">
        <v>2289</v>
      </c>
      <c r="E174" s="23" t="s">
        <v>2290</v>
      </c>
      <c r="F174" s="23" t="s">
        <v>2124</v>
      </c>
      <c r="G174" s="23" t="s">
        <v>2067</v>
      </c>
    </row>
    <row r="175" spans="1:7" ht="12.75" customHeight="1">
      <c r="A175" s="23" t="s">
        <v>2291</v>
      </c>
      <c r="B175" s="23" t="s">
        <v>1544</v>
      </c>
      <c r="C175" s="23">
        <v>9369</v>
      </c>
      <c r="D175" s="23" t="s">
        <v>2289</v>
      </c>
      <c r="E175" s="23" t="s">
        <v>2292</v>
      </c>
      <c r="F175" s="23" t="s">
        <v>2124</v>
      </c>
      <c r="G175" s="23" t="s">
        <v>2067</v>
      </c>
    </row>
    <row r="176" spans="1:7" ht="12.75" customHeight="1">
      <c r="A176" s="23" t="s">
        <v>2293</v>
      </c>
      <c r="B176" s="23" t="s">
        <v>1548</v>
      </c>
      <c r="C176" s="23">
        <v>1891</v>
      </c>
      <c r="D176" s="23" t="s">
        <v>2289</v>
      </c>
      <c r="E176" s="23" t="s">
        <v>2294</v>
      </c>
      <c r="F176" s="23" t="s">
        <v>2124</v>
      </c>
      <c r="G176" s="23" t="s">
        <v>2067</v>
      </c>
    </row>
    <row r="177" spans="1:7" ht="12.75" customHeight="1">
      <c r="A177" s="23" t="s">
        <v>2295</v>
      </c>
      <c r="B177" s="23" t="s">
        <v>1483</v>
      </c>
      <c r="C177" s="23">
        <v>145</v>
      </c>
      <c r="D177" s="23" t="s">
        <v>2289</v>
      </c>
      <c r="E177" s="23" t="s">
        <v>2133</v>
      </c>
      <c r="F177" s="23" t="s">
        <v>2134</v>
      </c>
      <c r="G177" s="23" t="s">
        <v>2067</v>
      </c>
    </row>
    <row r="178" spans="1:7" ht="12.75" customHeight="1">
      <c r="A178" s="23" t="s">
        <v>2296</v>
      </c>
      <c r="B178" s="23" t="s">
        <v>1548</v>
      </c>
      <c r="C178" s="23">
        <v>80</v>
      </c>
      <c r="D178" s="23" t="s">
        <v>2289</v>
      </c>
      <c r="E178" s="23" t="s">
        <v>2297</v>
      </c>
      <c r="F178" s="23" t="s">
        <v>2134</v>
      </c>
      <c r="G178" s="23" t="s">
        <v>2067</v>
      </c>
    </row>
    <row r="179" spans="1:7" ht="12.75" customHeight="1">
      <c r="A179" s="23" t="s">
        <v>2298</v>
      </c>
      <c r="B179" s="23" t="s">
        <v>1537</v>
      </c>
      <c r="C179" s="23">
        <v>56620</v>
      </c>
      <c r="D179" s="23" t="s">
        <v>2299</v>
      </c>
      <c r="E179" s="23" t="s">
        <v>2300</v>
      </c>
      <c r="F179" s="23" t="s">
        <v>2098</v>
      </c>
      <c r="G179" s="23" t="s">
        <v>2067</v>
      </c>
    </row>
    <row r="180" spans="1:7" ht="12.75" customHeight="1">
      <c r="A180" s="23" t="s">
        <v>2301</v>
      </c>
      <c r="B180" s="23" t="s">
        <v>1483</v>
      </c>
      <c r="C180" s="23">
        <v>27593</v>
      </c>
      <c r="D180" s="23" t="s">
        <v>2302</v>
      </c>
      <c r="E180" s="24" t="s">
        <v>2303</v>
      </c>
      <c r="F180" s="23" t="s">
        <v>2144</v>
      </c>
      <c r="G180" s="23" t="s">
        <v>2067</v>
      </c>
    </row>
    <row r="181" spans="1:7" ht="12.75" customHeight="1">
      <c r="A181" s="23" t="s">
        <v>2304</v>
      </c>
      <c r="B181" s="23" t="s">
        <v>1544</v>
      </c>
      <c r="C181" s="23">
        <v>63549</v>
      </c>
      <c r="D181" s="23" t="s">
        <v>2305</v>
      </c>
      <c r="E181" s="23" t="s">
        <v>2306</v>
      </c>
      <c r="F181" s="23" t="s">
        <v>2144</v>
      </c>
      <c r="G181" s="23" t="s">
        <v>2067</v>
      </c>
    </row>
    <row r="182" spans="1:7" ht="12.75" customHeight="1">
      <c r="A182" s="23" t="s">
        <v>2307</v>
      </c>
      <c r="B182" s="23" t="s">
        <v>1548</v>
      </c>
      <c r="C182" s="23">
        <v>32713</v>
      </c>
      <c r="D182" s="23" t="s">
        <v>2302</v>
      </c>
      <c r="E182" s="23" t="s">
        <v>2308</v>
      </c>
      <c r="F182" s="23" t="s">
        <v>2144</v>
      </c>
      <c r="G182" s="23" t="s">
        <v>2067</v>
      </c>
    </row>
    <row r="183" spans="1:7" ht="12.75" customHeight="1">
      <c r="A183" s="23" t="s">
        <v>2309</v>
      </c>
      <c r="B183" s="23" t="s">
        <v>1483</v>
      </c>
      <c r="C183" s="23">
        <v>3658383</v>
      </c>
      <c r="D183" s="23" t="s">
        <v>2310</v>
      </c>
      <c r="E183" s="23" t="s">
        <v>2311</v>
      </c>
      <c r="F183" s="23" t="s">
        <v>2153</v>
      </c>
      <c r="G183" s="23" t="s">
        <v>2067</v>
      </c>
    </row>
    <row r="184" spans="1:7" ht="12.75" customHeight="1">
      <c r="A184" s="23" t="s">
        <v>2312</v>
      </c>
      <c r="B184" s="23" t="s">
        <v>1544</v>
      </c>
      <c r="C184" s="23">
        <v>3625078</v>
      </c>
      <c r="D184" s="23" t="s">
        <v>2313</v>
      </c>
      <c r="E184" s="23" t="s">
        <v>2314</v>
      </c>
      <c r="F184" s="23" t="s">
        <v>2153</v>
      </c>
      <c r="G184" s="23" t="s">
        <v>2067</v>
      </c>
    </row>
    <row r="185" spans="1:7" ht="12.75" customHeight="1">
      <c r="A185" s="23" t="s">
        <v>2315</v>
      </c>
      <c r="B185" s="23" t="s">
        <v>1483</v>
      </c>
      <c r="C185" s="23">
        <v>832227</v>
      </c>
      <c r="D185" s="23" t="s">
        <v>2316</v>
      </c>
      <c r="E185" s="23" t="s">
        <v>2317</v>
      </c>
      <c r="F185" s="23" t="s">
        <v>2160</v>
      </c>
      <c r="G185" s="23" t="s">
        <v>2067</v>
      </c>
    </row>
    <row r="186" spans="1:7" ht="12.75" customHeight="1">
      <c r="A186" s="23" t="s">
        <v>1852</v>
      </c>
      <c r="B186" s="23" t="s">
        <v>1544</v>
      </c>
      <c r="C186" s="23">
        <v>799285</v>
      </c>
      <c r="D186" s="23" t="s">
        <v>2318</v>
      </c>
      <c r="E186" s="23" t="s">
        <v>2319</v>
      </c>
      <c r="F186" s="23" t="s">
        <v>2160</v>
      </c>
      <c r="G186" s="23" t="s">
        <v>2067</v>
      </c>
    </row>
    <row r="187" spans="1:7" ht="12.75" customHeight="1">
      <c r="A187" s="23" t="s">
        <v>2320</v>
      </c>
      <c r="B187" s="23" t="s">
        <v>1548</v>
      </c>
      <c r="C187" s="23">
        <v>30</v>
      </c>
      <c r="D187" s="23" t="s">
        <v>2321</v>
      </c>
      <c r="E187" s="23" t="s">
        <v>2322</v>
      </c>
      <c r="F187" s="23" t="s">
        <v>2103</v>
      </c>
      <c r="G187" s="23" t="s">
        <v>2074</v>
      </c>
    </row>
    <row r="188" spans="1:7" ht="12.75" customHeight="1">
      <c r="A188" s="23" t="s">
        <v>2323</v>
      </c>
      <c r="B188" s="23" t="s">
        <v>1548</v>
      </c>
      <c r="C188" s="23">
        <v>30</v>
      </c>
      <c r="D188" s="23" t="s">
        <v>2324</v>
      </c>
      <c r="E188" s="23" t="s">
        <v>2325</v>
      </c>
      <c r="F188" s="23" t="s">
        <v>2103</v>
      </c>
      <c r="G188" s="23" t="s">
        <v>2074</v>
      </c>
    </row>
    <row r="189" spans="1:7" ht="12.75" customHeight="1">
      <c r="A189" s="23" t="s">
        <v>2326</v>
      </c>
      <c r="B189" s="23" t="s">
        <v>1548</v>
      </c>
      <c r="C189" s="23">
        <v>30</v>
      </c>
      <c r="D189" s="23" t="s">
        <v>2327</v>
      </c>
      <c r="E189" s="23" t="s">
        <v>2328</v>
      </c>
      <c r="F189" s="23" t="s">
        <v>2114</v>
      </c>
      <c r="G189" s="23" t="s">
        <v>2074</v>
      </c>
    </row>
    <row r="190" spans="1:7" ht="12.75" customHeight="1">
      <c r="A190" s="23" t="s">
        <v>2329</v>
      </c>
      <c r="B190" s="23" t="s">
        <v>1548</v>
      </c>
      <c r="C190" s="23">
        <v>30</v>
      </c>
      <c r="D190" s="23" t="s">
        <v>2330</v>
      </c>
      <c r="E190" s="23" t="s">
        <v>2331</v>
      </c>
      <c r="F190" s="23" t="s">
        <v>2114</v>
      </c>
      <c r="G190" s="23" t="s">
        <v>2074</v>
      </c>
    </row>
    <row r="191" spans="1:7" ht="12.75" customHeight="1">
      <c r="A191" s="23" t="s">
        <v>2332</v>
      </c>
      <c r="B191" s="23" t="s">
        <v>1537</v>
      </c>
      <c r="C191" s="23">
        <v>2011</v>
      </c>
      <c r="D191" s="23" t="s">
        <v>2333</v>
      </c>
      <c r="E191" s="23" t="s">
        <v>2334</v>
      </c>
      <c r="F191" s="23" t="s">
        <v>2098</v>
      </c>
      <c r="G191" s="23" t="s">
        <v>2074</v>
      </c>
    </row>
    <row r="192" spans="1:7" ht="12.75" customHeight="1">
      <c r="A192" s="23" t="s">
        <v>2335</v>
      </c>
      <c r="B192" s="23" t="s">
        <v>1483</v>
      </c>
      <c r="C192" s="23">
        <v>2992</v>
      </c>
      <c r="D192" s="23" t="s">
        <v>2336</v>
      </c>
      <c r="E192" s="23" t="s">
        <v>2337</v>
      </c>
      <c r="F192" s="23" t="s">
        <v>2124</v>
      </c>
      <c r="G192" s="23" t="s">
        <v>2074</v>
      </c>
    </row>
    <row r="193" spans="1:7" ht="12.75" customHeight="1">
      <c r="A193" s="23" t="s">
        <v>2338</v>
      </c>
      <c r="B193" s="23" t="s">
        <v>1544</v>
      </c>
      <c r="C193" s="23">
        <v>9370</v>
      </c>
      <c r="D193" s="23" t="s">
        <v>2339</v>
      </c>
      <c r="E193" s="23" t="s">
        <v>2340</v>
      </c>
      <c r="F193" s="23" t="s">
        <v>2124</v>
      </c>
      <c r="G193" s="23" t="s">
        <v>2074</v>
      </c>
    </row>
    <row r="194" spans="1:7" ht="12.75" customHeight="1">
      <c r="A194" s="23" t="s">
        <v>2341</v>
      </c>
      <c r="B194" s="23" t="s">
        <v>1548</v>
      </c>
      <c r="C194" s="23">
        <v>1891</v>
      </c>
      <c r="D194" s="23" t="s">
        <v>2339</v>
      </c>
      <c r="E194" s="23" t="s">
        <v>2342</v>
      </c>
      <c r="F194" s="23" t="s">
        <v>2124</v>
      </c>
      <c r="G194" s="23" t="s">
        <v>2074</v>
      </c>
    </row>
    <row r="195" spans="1:7" ht="12.75" customHeight="1">
      <c r="A195" s="23" t="s">
        <v>2343</v>
      </c>
      <c r="B195" s="23" t="s">
        <v>1483</v>
      </c>
      <c r="C195" s="23">
        <v>145</v>
      </c>
      <c r="D195" s="23" t="s">
        <v>2336</v>
      </c>
      <c r="E195" s="23" t="s">
        <v>2133</v>
      </c>
      <c r="F195" s="23" t="s">
        <v>2134</v>
      </c>
      <c r="G195" s="23" t="s">
        <v>2074</v>
      </c>
    </row>
    <row r="196" spans="1:7" ht="12.75" customHeight="1">
      <c r="A196" s="23" t="s">
        <v>2344</v>
      </c>
      <c r="B196" s="23" t="s">
        <v>1548</v>
      </c>
      <c r="C196" s="23">
        <v>80</v>
      </c>
      <c r="D196" s="23" t="s">
        <v>2339</v>
      </c>
      <c r="E196" s="23" t="s">
        <v>2345</v>
      </c>
      <c r="F196" s="23" t="s">
        <v>2134</v>
      </c>
      <c r="G196" s="23" t="s">
        <v>2074</v>
      </c>
    </row>
    <row r="197" spans="1:7" ht="12.75" customHeight="1">
      <c r="A197" s="23" t="s">
        <v>2346</v>
      </c>
      <c r="B197" s="23" t="s">
        <v>1483</v>
      </c>
      <c r="C197" s="23">
        <v>0</v>
      </c>
      <c r="D197" s="23" t="s">
        <v>2347</v>
      </c>
      <c r="E197" s="23" t="s">
        <v>2348</v>
      </c>
      <c r="F197" s="23" t="s">
        <v>2153</v>
      </c>
      <c r="G197" s="23" t="s">
        <v>2074</v>
      </c>
    </row>
    <row r="198" spans="1:7" ht="12.75" customHeight="1">
      <c r="A198" s="23" t="s">
        <v>2349</v>
      </c>
      <c r="B198" s="23" t="s">
        <v>1544</v>
      </c>
      <c r="C198" s="23">
        <v>0</v>
      </c>
      <c r="D198" s="23" t="s">
        <v>2350</v>
      </c>
      <c r="E198" s="23" t="s">
        <v>2348</v>
      </c>
      <c r="F198" s="23" t="s">
        <v>2153</v>
      </c>
      <c r="G198" s="23" t="s">
        <v>2074</v>
      </c>
    </row>
    <row r="199" spans="1:7" ht="12.75" customHeight="1">
      <c r="A199" s="23" t="s">
        <v>2351</v>
      </c>
      <c r="B199" s="23" t="s">
        <v>1483</v>
      </c>
      <c r="C199" s="23">
        <v>0</v>
      </c>
      <c r="D199" s="23" t="s">
        <v>2352</v>
      </c>
      <c r="E199" s="23" t="s">
        <v>2348</v>
      </c>
      <c r="F199" s="23" t="s">
        <v>2160</v>
      </c>
      <c r="G199" s="23" t="s">
        <v>2074</v>
      </c>
    </row>
    <row r="200" spans="1:7" ht="12.75" customHeight="1">
      <c r="A200" s="23" t="s">
        <v>2353</v>
      </c>
      <c r="B200" s="23" t="s">
        <v>1544</v>
      </c>
      <c r="C200" s="23">
        <v>0</v>
      </c>
      <c r="D200" s="23" t="s">
        <v>2354</v>
      </c>
      <c r="E200" s="23" t="s">
        <v>2348</v>
      </c>
      <c r="F200" s="23" t="s">
        <v>2160</v>
      </c>
      <c r="G200" s="23" t="s">
        <v>2074</v>
      </c>
    </row>
    <row r="201" spans="1:7" ht="12.75" customHeight="1">
      <c r="A201" s="23" t="s">
        <v>2355</v>
      </c>
      <c r="B201" s="23" t="s">
        <v>1548</v>
      </c>
      <c r="C201" s="23">
        <v>30</v>
      </c>
      <c r="D201" s="23" t="s">
        <v>2356</v>
      </c>
      <c r="E201" s="23" t="s">
        <v>2357</v>
      </c>
      <c r="F201" s="23" t="s">
        <v>2103</v>
      </c>
      <c r="G201" s="23" t="s">
        <v>2078</v>
      </c>
    </row>
    <row r="202" spans="1:7" ht="12.75" customHeight="1">
      <c r="A202" s="23" t="s">
        <v>2358</v>
      </c>
      <c r="B202" s="23" t="s">
        <v>1548</v>
      </c>
      <c r="C202" s="23">
        <v>30</v>
      </c>
      <c r="D202" s="23" t="s">
        <v>2359</v>
      </c>
      <c r="E202" s="23" t="s">
        <v>2360</v>
      </c>
      <c r="F202" s="23" t="s">
        <v>2103</v>
      </c>
      <c r="G202" s="23" t="s">
        <v>2078</v>
      </c>
    </row>
    <row r="203" spans="1:7" ht="12.75" customHeight="1">
      <c r="A203" s="23" t="s">
        <v>2361</v>
      </c>
      <c r="B203" s="23" t="s">
        <v>1544</v>
      </c>
      <c r="C203" s="23">
        <v>328865</v>
      </c>
      <c r="D203" s="23" t="s">
        <v>2362</v>
      </c>
      <c r="E203" s="23" t="s">
        <v>2363</v>
      </c>
      <c r="F203" s="23" t="s">
        <v>2153</v>
      </c>
      <c r="G203" s="23" t="s">
        <v>2078</v>
      </c>
    </row>
    <row r="204" spans="1:7" ht="12.75" customHeight="1">
      <c r="A204" s="23" t="s">
        <v>2364</v>
      </c>
      <c r="B204" s="23" t="s">
        <v>1483</v>
      </c>
      <c r="C204" s="23">
        <v>312837</v>
      </c>
      <c r="D204" s="23" t="s">
        <v>2365</v>
      </c>
      <c r="E204" s="23" t="s">
        <v>2366</v>
      </c>
      <c r="F204" s="23" t="s">
        <v>2153</v>
      </c>
      <c r="G204" s="23" t="s">
        <v>2078</v>
      </c>
    </row>
    <row r="205" spans="1:7" ht="12.75" customHeight="1">
      <c r="A205" s="23" t="s">
        <v>2367</v>
      </c>
      <c r="B205" s="23" t="s">
        <v>1483</v>
      </c>
      <c r="C205" s="23">
        <v>217976</v>
      </c>
      <c r="D205" s="23" t="s">
        <v>2368</v>
      </c>
      <c r="E205" s="23" t="s">
        <v>2369</v>
      </c>
      <c r="F205" s="23" t="s">
        <v>2160</v>
      </c>
      <c r="G205" s="23" t="s">
        <v>2078</v>
      </c>
    </row>
    <row r="206" spans="1:7" ht="12.75" customHeight="1">
      <c r="A206" s="23" t="s">
        <v>2370</v>
      </c>
      <c r="B206" s="23" t="s">
        <v>1544</v>
      </c>
      <c r="C206" s="23">
        <v>204323</v>
      </c>
      <c r="D206" s="23" t="s">
        <v>2371</v>
      </c>
      <c r="E206" s="23" t="s">
        <v>2372</v>
      </c>
      <c r="F206" s="23" t="s">
        <v>2160</v>
      </c>
      <c r="G206" s="23" t="s">
        <v>2078</v>
      </c>
    </row>
    <row r="207" spans="1:7" ht="12.75" customHeight="1">
      <c r="A207" s="23" t="s">
        <v>2373</v>
      </c>
      <c r="B207" s="23" t="s">
        <v>1548</v>
      </c>
      <c r="C207" s="23">
        <v>30</v>
      </c>
      <c r="D207" s="23" t="s">
        <v>2374</v>
      </c>
      <c r="E207" s="23" t="s">
        <v>2375</v>
      </c>
      <c r="F207" s="23" t="s">
        <v>2114</v>
      </c>
      <c r="G207" s="23" t="s">
        <v>2078</v>
      </c>
    </row>
    <row r="208" spans="1:7" ht="12.75" customHeight="1">
      <c r="A208" s="23" t="s">
        <v>2376</v>
      </c>
      <c r="B208" s="23" t="s">
        <v>1548</v>
      </c>
      <c r="C208" s="23">
        <v>30</v>
      </c>
      <c r="D208" s="23" t="s">
        <v>2377</v>
      </c>
      <c r="E208" s="23" t="s">
        <v>2378</v>
      </c>
      <c r="F208" s="23" t="s">
        <v>2114</v>
      </c>
      <c r="G208" s="23" t="s">
        <v>2078</v>
      </c>
    </row>
    <row r="209" spans="1:7" ht="12.75" customHeight="1">
      <c r="A209" s="23" t="s">
        <v>2379</v>
      </c>
      <c r="B209" s="23" t="s">
        <v>1537</v>
      </c>
      <c r="C209" s="23">
        <v>2013</v>
      </c>
      <c r="D209" s="23" t="s">
        <v>2380</v>
      </c>
      <c r="E209" s="23" t="s">
        <v>2381</v>
      </c>
      <c r="F209" s="23" t="s">
        <v>2098</v>
      </c>
      <c r="G209" s="23" t="s">
        <v>2078</v>
      </c>
    </row>
    <row r="210" spans="1:7" ht="12.75" customHeight="1">
      <c r="A210" s="23" t="s">
        <v>2382</v>
      </c>
      <c r="B210" s="23" t="s">
        <v>1483</v>
      </c>
      <c r="C210" s="23">
        <v>2994</v>
      </c>
      <c r="D210" s="23" t="s">
        <v>2383</v>
      </c>
      <c r="E210" s="23" t="s">
        <v>2384</v>
      </c>
      <c r="F210" s="23" t="s">
        <v>2124</v>
      </c>
      <c r="G210" s="23" t="s">
        <v>2078</v>
      </c>
    </row>
    <row r="211" spans="1:7" ht="12.75" customHeight="1">
      <c r="A211" s="23" t="s">
        <v>2385</v>
      </c>
      <c r="B211" s="23" t="s">
        <v>1544</v>
      </c>
      <c r="C211" s="23">
        <v>9372</v>
      </c>
      <c r="D211" s="23" t="s">
        <v>2386</v>
      </c>
      <c r="E211" s="23" t="s">
        <v>2387</v>
      </c>
      <c r="F211" s="23" t="s">
        <v>2124</v>
      </c>
      <c r="G211" s="23" t="s">
        <v>2078</v>
      </c>
    </row>
    <row r="212" spans="1:7" ht="12.75" customHeight="1">
      <c r="A212" s="23" t="s">
        <v>2388</v>
      </c>
      <c r="B212" s="23" t="s">
        <v>1548</v>
      </c>
      <c r="C212" s="23">
        <v>1891</v>
      </c>
      <c r="D212" s="23" t="s">
        <v>2389</v>
      </c>
      <c r="E212" s="23" t="s">
        <v>2390</v>
      </c>
      <c r="F212" s="23" t="s">
        <v>2124</v>
      </c>
      <c r="G212" s="23" t="s">
        <v>2078</v>
      </c>
    </row>
    <row r="213" spans="1:7" ht="12.75" customHeight="1">
      <c r="A213" s="23" t="s">
        <v>2391</v>
      </c>
      <c r="B213" s="23" t="s">
        <v>1483</v>
      </c>
      <c r="C213" s="23">
        <v>145</v>
      </c>
      <c r="D213" s="23" t="s">
        <v>2392</v>
      </c>
      <c r="E213" s="23" t="s">
        <v>2133</v>
      </c>
      <c r="F213" s="23" t="s">
        <v>2134</v>
      </c>
      <c r="G213" s="23" t="s">
        <v>2078</v>
      </c>
    </row>
    <row r="214" spans="1:7" ht="12.75" customHeight="1">
      <c r="A214" s="23" t="s">
        <v>2393</v>
      </c>
      <c r="B214" s="23" t="s">
        <v>1548</v>
      </c>
      <c r="C214" s="23">
        <v>80</v>
      </c>
      <c r="D214" s="23" t="s">
        <v>2389</v>
      </c>
      <c r="E214" s="23" t="s">
        <v>2394</v>
      </c>
      <c r="F214" s="23" t="s">
        <v>2134</v>
      </c>
      <c r="G214" s="23" t="s">
        <v>2078</v>
      </c>
    </row>
    <row r="215" spans="1:7" ht="12.75" customHeight="1">
      <c r="A215" s="23" t="s">
        <v>2395</v>
      </c>
      <c r="B215" s="23" t="s">
        <v>1537</v>
      </c>
      <c r="C215" s="23">
        <v>56620</v>
      </c>
      <c r="D215" s="23" t="s">
        <v>2396</v>
      </c>
      <c r="E215" s="23" t="s">
        <v>2397</v>
      </c>
      <c r="F215" s="23" t="s">
        <v>2098</v>
      </c>
      <c r="G215" s="23" t="s">
        <v>2078</v>
      </c>
    </row>
    <row r="216" spans="1:7" ht="12.75" customHeight="1">
      <c r="A216" s="23" t="s">
        <v>2398</v>
      </c>
      <c r="B216" s="23" t="s">
        <v>1483</v>
      </c>
      <c r="C216" s="23">
        <v>27592</v>
      </c>
      <c r="D216" s="23" t="s">
        <v>2399</v>
      </c>
      <c r="E216" s="23" t="s">
        <v>2400</v>
      </c>
      <c r="F216" s="23" t="s">
        <v>2144</v>
      </c>
      <c r="G216" s="23" t="s">
        <v>2078</v>
      </c>
    </row>
    <row r="217" spans="1:7" ht="12.75" customHeight="1">
      <c r="A217" s="23" t="s">
        <v>2401</v>
      </c>
      <c r="B217" s="23" t="s">
        <v>1544</v>
      </c>
      <c r="C217" s="23">
        <v>63548</v>
      </c>
      <c r="D217" s="23" t="s">
        <v>2402</v>
      </c>
      <c r="E217" s="23" t="s">
        <v>2403</v>
      </c>
      <c r="F217" s="23" t="s">
        <v>2144</v>
      </c>
      <c r="G217" s="23" t="s">
        <v>2078</v>
      </c>
    </row>
    <row r="218" spans="1:7" ht="12.75" customHeight="1">
      <c r="A218" s="36" t="s">
        <v>2404</v>
      </c>
      <c r="B218" s="23" t="s">
        <v>1548</v>
      </c>
      <c r="C218" s="39">
        <v>32712</v>
      </c>
      <c r="D218" s="23" t="s">
        <v>2405</v>
      </c>
      <c r="E218" s="23" t="s">
        <v>2406</v>
      </c>
      <c r="F218" s="23" t="s">
        <v>2144</v>
      </c>
      <c r="G218" s="23" t="s">
        <v>2078</v>
      </c>
    </row>
    <row r="219" spans="1:7" ht="42" customHeight="1">
      <c r="A219" s="36" t="s">
        <v>2588</v>
      </c>
      <c r="B219" s="36" t="s">
        <v>2593</v>
      </c>
      <c r="C219" s="66">
        <v>1990280</v>
      </c>
      <c r="D219" s="36" t="s">
        <v>2594</v>
      </c>
      <c r="E219" s="36" t="s">
        <v>2595</v>
      </c>
      <c r="F219" s="36" t="s">
        <v>2596</v>
      </c>
      <c r="G219" s="36" t="s">
        <v>2597</v>
      </c>
    </row>
    <row r="220" spans="1:7" ht="42" customHeight="1">
      <c r="A220" s="36" t="s">
        <v>2598</v>
      </c>
      <c r="B220" s="36" t="s">
        <v>1548</v>
      </c>
      <c r="C220" s="66">
        <v>21</v>
      </c>
      <c r="D220" s="36" t="s">
        <v>2599</v>
      </c>
      <c r="E220" s="36" t="s">
        <v>2600</v>
      </c>
      <c r="F220" s="36" t="s">
        <v>2601</v>
      </c>
      <c r="G220" s="36" t="s">
        <v>2602</v>
      </c>
    </row>
    <row r="221" spans="1:7" ht="42" customHeight="1">
      <c r="A221" s="36" t="s">
        <v>2603</v>
      </c>
      <c r="B221" s="36" t="s">
        <v>1548</v>
      </c>
      <c r="C221" s="66">
        <v>21</v>
      </c>
      <c r="D221" s="36" t="s">
        <v>2599</v>
      </c>
      <c r="E221" s="36" t="s">
        <v>2604</v>
      </c>
      <c r="F221" s="36" t="s">
        <v>2601</v>
      </c>
      <c r="G221" s="36" t="s">
        <v>2602</v>
      </c>
    </row>
    <row r="222" spans="1:7" ht="42" customHeight="1">
      <c r="A222" s="36" t="s">
        <v>2605</v>
      </c>
      <c r="B222" s="36" t="s">
        <v>1626</v>
      </c>
      <c r="C222" s="66">
        <v>160796</v>
      </c>
      <c r="D222" s="36" t="s">
        <v>2599</v>
      </c>
      <c r="E222" s="36" t="s">
        <v>2606</v>
      </c>
      <c r="F222" s="36" t="s">
        <v>2607</v>
      </c>
      <c r="G222" s="36" t="s">
        <v>2602</v>
      </c>
    </row>
    <row r="223" spans="1:7" ht="42" customHeight="1">
      <c r="A223" s="36" t="s">
        <v>2608</v>
      </c>
      <c r="B223" s="36" t="s">
        <v>1548</v>
      </c>
      <c r="C223" s="66">
        <v>21</v>
      </c>
      <c r="D223" s="36" t="s">
        <v>2609</v>
      </c>
      <c r="E223" s="36" t="s">
        <v>2610</v>
      </c>
      <c r="F223" s="36" t="s">
        <v>2114</v>
      </c>
      <c r="G223" s="36" t="s">
        <v>2597</v>
      </c>
    </row>
    <row r="224" spans="1:7" ht="42" customHeight="1">
      <c r="A224" s="36" t="s">
        <v>2611</v>
      </c>
      <c r="B224" s="36" t="s">
        <v>1548</v>
      </c>
      <c r="C224" s="66">
        <v>21</v>
      </c>
      <c r="D224" s="36" t="s">
        <v>2609</v>
      </c>
      <c r="E224" s="36" t="s">
        <v>2612</v>
      </c>
      <c r="F224" s="36" t="s">
        <v>2114</v>
      </c>
      <c r="G224" s="36" t="s">
        <v>2597</v>
      </c>
    </row>
    <row r="225" spans="1:7" ht="42" customHeight="1">
      <c r="A225" s="36" t="s">
        <v>2613</v>
      </c>
      <c r="B225" s="36" t="s">
        <v>1626</v>
      </c>
      <c r="C225" s="66">
        <v>431533</v>
      </c>
      <c r="D225" s="36" t="s">
        <v>2609</v>
      </c>
      <c r="E225" s="36" t="s">
        <v>2614</v>
      </c>
      <c r="F225" s="36" t="s">
        <v>2615</v>
      </c>
      <c r="G225" s="36" t="s">
        <v>2597</v>
      </c>
    </row>
    <row r="226" spans="1:7" ht="42" customHeight="1">
      <c r="A226" s="36" t="s">
        <v>2616</v>
      </c>
      <c r="B226" s="36" t="s">
        <v>1626</v>
      </c>
      <c r="C226" s="66">
        <v>314214</v>
      </c>
      <c r="D226" s="36" t="s">
        <v>2617</v>
      </c>
      <c r="E226" s="36" t="s">
        <v>2618</v>
      </c>
      <c r="F226" s="36" t="s">
        <v>2619</v>
      </c>
      <c r="G226" s="36" t="s">
        <v>2620</v>
      </c>
    </row>
    <row r="227" spans="1:7" ht="42" customHeight="1">
      <c r="A227" s="36" t="s">
        <v>2621</v>
      </c>
      <c r="B227" s="36" t="s">
        <v>1666</v>
      </c>
      <c r="C227" s="66">
        <v>3204</v>
      </c>
      <c r="D227" s="36" t="s">
        <v>2622</v>
      </c>
      <c r="E227" s="36" t="s">
        <v>2623</v>
      </c>
      <c r="F227" s="36" t="s">
        <v>2624</v>
      </c>
      <c r="G227" s="36" t="s">
        <v>2620</v>
      </c>
    </row>
    <row r="228" spans="1:7" ht="42" customHeight="1">
      <c r="A228" s="36" t="s">
        <v>2625</v>
      </c>
      <c r="B228" s="36" t="s">
        <v>2626</v>
      </c>
      <c r="C228" s="66">
        <v>1354384</v>
      </c>
      <c r="D228" s="36" t="s">
        <v>2627</v>
      </c>
      <c r="E228" s="36" t="s">
        <v>2628</v>
      </c>
      <c r="F228" s="36" t="s">
        <v>2629</v>
      </c>
      <c r="G228" s="36" t="s">
        <v>2597</v>
      </c>
    </row>
  </sheetData>
  <autoFilter ref="A4:G218" xr:uid="{6890E363-F851-42A1-A262-BAD0C7CC56FA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R80"/>
  <sheetViews>
    <sheetView showGridLines="0" topLeftCell="B30" zoomScale="130" zoomScaleNormal="130" workbookViewId="0">
      <selection activeCell="I73" sqref="I73:J73"/>
    </sheetView>
  </sheetViews>
  <sheetFormatPr baseColWidth="10" defaultRowHeight="12.75"/>
  <cols>
    <col min="1" max="1" width="24.625" style="18" customWidth="1"/>
    <col min="2" max="2" width="11.5" style="18" bestFit="1" customWidth="1"/>
    <col min="3" max="3" width="12.875" style="18" bestFit="1" customWidth="1"/>
    <col min="4" max="4" width="10.125" style="18" bestFit="1" customWidth="1"/>
    <col min="5" max="6" width="6.375" style="18" bestFit="1" customWidth="1"/>
    <col min="7" max="7" width="12.375" style="18" bestFit="1" customWidth="1"/>
    <col min="8" max="10" width="6.375" style="18" bestFit="1" customWidth="1"/>
    <col min="11" max="11" width="30.75" style="18" customWidth="1"/>
    <col min="12" max="12" width="11" style="18"/>
    <col min="13" max="13" width="24.625" style="18" customWidth="1"/>
    <col min="14" max="14" width="8.5" style="18" bestFit="1" customWidth="1"/>
    <col min="15" max="15" width="9.375" style="18" bestFit="1" customWidth="1"/>
    <col min="16" max="16" width="11.25" style="18" bestFit="1" customWidth="1"/>
    <col min="17" max="16384" width="11" style="18"/>
  </cols>
  <sheetData>
    <row r="1" spans="1:8" ht="19.5">
      <c r="A1" s="20" t="s">
        <v>1717</v>
      </c>
    </row>
    <row r="3" spans="1:8">
      <c r="A3" s="26" t="s">
        <v>950</v>
      </c>
      <c r="B3" s="26" t="s">
        <v>958</v>
      </c>
      <c r="C3" s="26" t="s">
        <v>959</v>
      </c>
      <c r="D3" s="26" t="s">
        <v>960</v>
      </c>
      <c r="G3" s="26" t="s">
        <v>1033</v>
      </c>
      <c r="H3" s="26" t="s">
        <v>1365</v>
      </c>
    </row>
    <row r="4" spans="1:8">
      <c r="A4" s="25" t="s">
        <v>62</v>
      </c>
      <c r="B4" s="25">
        <v>4</v>
      </c>
      <c r="C4" s="25">
        <v>3</v>
      </c>
      <c r="D4" s="25">
        <v>0</v>
      </c>
      <c r="G4" s="25" t="s">
        <v>991</v>
      </c>
      <c r="H4" s="25">
        <v>19</v>
      </c>
    </row>
    <row r="5" spans="1:8">
      <c r="A5" s="25" t="s">
        <v>71</v>
      </c>
      <c r="B5" s="25">
        <v>4</v>
      </c>
      <c r="C5" s="25">
        <v>1</v>
      </c>
      <c r="D5" s="25">
        <v>0</v>
      </c>
      <c r="G5" s="25" t="s">
        <v>974</v>
      </c>
      <c r="H5" s="25">
        <v>118</v>
      </c>
    </row>
    <row r="6" spans="1:8">
      <c r="A6" s="25" t="s">
        <v>78</v>
      </c>
      <c r="B6" s="25">
        <v>6</v>
      </c>
      <c r="C6" s="25">
        <v>0</v>
      </c>
      <c r="D6" s="25">
        <v>0</v>
      </c>
      <c r="G6" s="25" t="s">
        <v>599</v>
      </c>
      <c r="H6" s="25">
        <v>109</v>
      </c>
    </row>
    <row r="7" spans="1:8">
      <c r="A7" s="25" t="s">
        <v>86</v>
      </c>
      <c r="B7" s="25">
        <v>5</v>
      </c>
      <c r="C7" s="25">
        <v>0</v>
      </c>
      <c r="D7" s="25">
        <v>0</v>
      </c>
      <c r="G7" s="25" t="s">
        <v>794</v>
      </c>
      <c r="H7" s="25">
        <v>133</v>
      </c>
    </row>
    <row r="8" spans="1:8">
      <c r="A8" s="25" t="s">
        <v>95</v>
      </c>
      <c r="B8" s="25">
        <v>6</v>
      </c>
      <c r="C8" s="25">
        <v>0</v>
      </c>
      <c r="D8" s="25">
        <v>4</v>
      </c>
    </row>
    <row r="9" spans="1:8">
      <c r="A9" s="25" t="s">
        <v>102</v>
      </c>
      <c r="B9" s="25">
        <v>2</v>
      </c>
      <c r="C9" s="25">
        <v>2</v>
      </c>
      <c r="D9" s="25">
        <v>0</v>
      </c>
    </row>
    <row r="10" spans="1:8">
      <c r="A10" s="25" t="s">
        <v>108</v>
      </c>
      <c r="B10" s="25">
        <v>9</v>
      </c>
      <c r="C10" s="25">
        <v>4</v>
      </c>
      <c r="D10" s="25">
        <v>0</v>
      </c>
    </row>
    <row r="11" spans="1:8">
      <c r="A11" s="25" t="s">
        <v>115</v>
      </c>
      <c r="B11" s="25">
        <v>4</v>
      </c>
      <c r="C11" s="25">
        <v>3</v>
      </c>
      <c r="D11" s="25">
        <v>0</v>
      </c>
    </row>
    <row r="12" spans="1:8">
      <c r="A12" s="25" t="s">
        <v>48</v>
      </c>
      <c r="B12" s="25">
        <v>7</v>
      </c>
      <c r="C12" s="25">
        <v>1</v>
      </c>
      <c r="D12" s="25">
        <v>0</v>
      </c>
    </row>
    <row r="18" spans="1:9" ht="25.5">
      <c r="A18" s="26" t="s">
        <v>1283</v>
      </c>
      <c r="B18" s="26" t="s">
        <v>909</v>
      </c>
      <c r="G18" s="58" t="s">
        <v>52</v>
      </c>
      <c r="H18" s="58" t="s">
        <v>1379</v>
      </c>
      <c r="I18" s="58" t="s">
        <v>1384</v>
      </c>
    </row>
    <row r="19" spans="1:9">
      <c r="A19" s="25" t="s">
        <v>928</v>
      </c>
      <c r="B19" s="25">
        <v>10</v>
      </c>
      <c r="G19" s="59" t="s">
        <v>62</v>
      </c>
      <c r="H19" s="59">
        <v>0</v>
      </c>
      <c r="I19" s="59">
        <v>1</v>
      </c>
    </row>
    <row r="20" spans="1:9">
      <c r="A20" s="25" t="s">
        <v>1463</v>
      </c>
      <c r="B20" s="25">
        <v>0</v>
      </c>
      <c r="G20" s="59" t="s">
        <v>71</v>
      </c>
      <c r="H20" s="59">
        <v>1</v>
      </c>
      <c r="I20" s="59">
        <v>0</v>
      </c>
    </row>
    <row r="21" spans="1:9">
      <c r="A21" s="25" t="s">
        <v>1718</v>
      </c>
      <c r="B21" s="25">
        <v>0</v>
      </c>
      <c r="G21" s="59" t="s">
        <v>78</v>
      </c>
      <c r="H21" s="59">
        <v>0</v>
      </c>
      <c r="I21" s="59">
        <v>0</v>
      </c>
    </row>
    <row r="22" spans="1:9">
      <c r="A22" s="25" t="s">
        <v>1719</v>
      </c>
      <c r="B22" s="25">
        <v>0</v>
      </c>
      <c r="G22" s="59" t="s">
        <v>86</v>
      </c>
      <c r="H22" s="59">
        <v>1</v>
      </c>
      <c r="I22" s="59">
        <v>0</v>
      </c>
    </row>
    <row r="23" spans="1:9">
      <c r="A23" s="25" t="s">
        <v>1720</v>
      </c>
      <c r="B23" s="25">
        <v>0</v>
      </c>
      <c r="G23" s="59" t="s">
        <v>95</v>
      </c>
      <c r="H23" s="59">
        <v>0</v>
      </c>
      <c r="I23" s="59">
        <v>1</v>
      </c>
    </row>
    <row r="24" spans="1:9">
      <c r="G24" s="59" t="s">
        <v>102</v>
      </c>
      <c r="H24" s="59">
        <v>1</v>
      </c>
      <c r="I24" s="59">
        <v>0</v>
      </c>
    </row>
    <row r="25" spans="1:9" ht="12.75" customHeight="1">
      <c r="A25" s="96" t="s">
        <v>2425</v>
      </c>
      <c r="B25" s="96"/>
      <c r="C25" s="96"/>
      <c r="D25" s="96"/>
      <c r="E25" s="96"/>
      <c r="G25" s="59" t="s">
        <v>108</v>
      </c>
      <c r="H25" s="59">
        <v>0</v>
      </c>
      <c r="I25" s="59">
        <v>1</v>
      </c>
    </row>
    <row r="26" spans="1:9">
      <c r="A26" s="96"/>
      <c r="B26" s="96"/>
      <c r="C26" s="96"/>
      <c r="D26" s="96"/>
      <c r="E26" s="96"/>
      <c r="G26" s="59" t="s">
        <v>115</v>
      </c>
      <c r="H26" s="59">
        <v>0</v>
      </c>
      <c r="I26" s="59">
        <v>1</v>
      </c>
    </row>
    <row r="27" spans="1:9">
      <c r="A27" s="96"/>
      <c r="B27" s="96"/>
      <c r="C27" s="96"/>
      <c r="D27" s="96"/>
      <c r="E27" s="96"/>
      <c r="G27" s="59" t="s">
        <v>48</v>
      </c>
      <c r="H27" s="59">
        <v>0</v>
      </c>
      <c r="I27" s="59">
        <v>0</v>
      </c>
    </row>
    <row r="28" spans="1:9">
      <c r="A28" s="96"/>
      <c r="B28" s="96"/>
      <c r="C28" s="96"/>
      <c r="D28" s="96"/>
      <c r="E28" s="96"/>
    </row>
    <row r="29" spans="1:9">
      <c r="A29" s="96"/>
      <c r="B29" s="96"/>
      <c r="C29" s="96"/>
      <c r="D29" s="96"/>
      <c r="E29" s="96"/>
    </row>
    <row r="30" spans="1:9">
      <c r="A30" s="96"/>
      <c r="B30" s="96"/>
      <c r="C30" s="96"/>
      <c r="D30" s="96"/>
      <c r="E30" s="96"/>
    </row>
    <row r="34" spans="1:2">
      <c r="A34" s="26" t="s">
        <v>1389</v>
      </c>
      <c r="B34" s="26" t="s">
        <v>1365</v>
      </c>
    </row>
    <row r="35" spans="1:2">
      <c r="A35" s="25">
        <v>110201</v>
      </c>
      <c r="B35" s="25">
        <v>0</v>
      </c>
    </row>
    <row r="36" spans="1:2">
      <c r="A36" s="25">
        <v>110202</v>
      </c>
      <c r="B36" s="25">
        <v>5</v>
      </c>
    </row>
    <row r="37" spans="1:2">
      <c r="A37" s="25">
        <v>110203</v>
      </c>
      <c r="B37" s="25">
        <v>4</v>
      </c>
    </row>
    <row r="38" spans="1:2">
      <c r="A38" s="25">
        <v>110301</v>
      </c>
      <c r="B38" s="25">
        <v>2</v>
      </c>
    </row>
    <row r="39" spans="1:2">
      <c r="A39" s="25">
        <v>110401</v>
      </c>
      <c r="B39" s="25">
        <v>0</v>
      </c>
    </row>
    <row r="40" spans="1:2">
      <c r="A40" s="25">
        <v>110402</v>
      </c>
      <c r="B40" s="25">
        <v>1</v>
      </c>
    </row>
    <row r="41" spans="1:2">
      <c r="A41" s="25">
        <v>110501</v>
      </c>
      <c r="B41" s="25">
        <v>44</v>
      </c>
    </row>
    <row r="49" spans="1:18">
      <c r="A49" s="19" t="s">
        <v>1722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 t="s">
        <v>2421</v>
      </c>
    </row>
    <row r="50" spans="1:18">
      <c r="A50" s="26" t="s">
        <v>1020</v>
      </c>
      <c r="B50" s="26" t="s">
        <v>62</v>
      </c>
      <c r="C50" s="26" t="s">
        <v>71</v>
      </c>
      <c r="D50" s="26" t="s">
        <v>78</v>
      </c>
      <c r="E50" s="26" t="s">
        <v>86</v>
      </c>
      <c r="F50" s="26" t="s">
        <v>95</v>
      </c>
      <c r="G50" s="26" t="s">
        <v>102</v>
      </c>
      <c r="H50" s="26" t="s">
        <v>108</v>
      </c>
      <c r="I50" s="26" t="s">
        <v>115</v>
      </c>
      <c r="J50" s="26" t="s">
        <v>48</v>
      </c>
      <c r="K50" s="26" t="s">
        <v>967</v>
      </c>
      <c r="M50" s="58" t="s">
        <v>2422</v>
      </c>
      <c r="N50" s="58" t="s">
        <v>2423</v>
      </c>
      <c r="O50" s="58" t="s">
        <v>2409</v>
      </c>
      <c r="P50" s="58" t="s">
        <v>1379</v>
      </c>
      <c r="Q50" s="58" t="s">
        <v>1384</v>
      </c>
    </row>
    <row r="51" spans="1:18">
      <c r="A51" s="25" t="s">
        <v>1021</v>
      </c>
      <c r="B51" s="27">
        <v>38</v>
      </c>
      <c r="C51" s="27">
        <v>214</v>
      </c>
      <c r="D51" s="27">
        <v>30</v>
      </c>
      <c r="E51" s="27">
        <v>32</v>
      </c>
      <c r="F51" s="27">
        <v>10</v>
      </c>
      <c r="G51" s="27">
        <v>14</v>
      </c>
      <c r="H51" s="28">
        <v>0</v>
      </c>
      <c r="I51" s="27">
        <v>2</v>
      </c>
      <c r="J51" s="27">
        <v>6</v>
      </c>
      <c r="K51" s="25"/>
      <c r="M51" s="59" t="s">
        <v>188</v>
      </c>
      <c r="N51" s="60">
        <v>2</v>
      </c>
      <c r="O51" s="60">
        <v>2</v>
      </c>
      <c r="P51" s="61">
        <v>1</v>
      </c>
      <c r="Q51" s="62">
        <v>2</v>
      </c>
    </row>
    <row r="52" spans="1:18">
      <c r="A52" s="25" t="s">
        <v>1022</v>
      </c>
      <c r="B52" s="28">
        <v>0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7">
        <v>8</v>
      </c>
      <c r="K52" s="25"/>
      <c r="M52" s="59" t="s">
        <v>626</v>
      </c>
      <c r="N52" s="60">
        <v>2</v>
      </c>
      <c r="O52" s="61">
        <v>1</v>
      </c>
      <c r="P52" s="61">
        <v>1</v>
      </c>
      <c r="Q52" s="62">
        <v>2</v>
      </c>
    </row>
    <row r="53" spans="1:18">
      <c r="A53" s="25" t="s">
        <v>1023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5"/>
      <c r="M53" s="59" t="s">
        <v>820</v>
      </c>
      <c r="N53" s="60">
        <v>2</v>
      </c>
      <c r="O53" s="61">
        <v>1</v>
      </c>
      <c r="P53" s="61">
        <v>1</v>
      </c>
      <c r="Q53" s="62">
        <v>2</v>
      </c>
    </row>
    <row r="54" spans="1:18">
      <c r="A54" s="25" t="s">
        <v>1024</v>
      </c>
      <c r="B54" s="28">
        <v>0</v>
      </c>
      <c r="C54" s="28">
        <v>0</v>
      </c>
      <c r="D54" s="28">
        <v>0</v>
      </c>
      <c r="E54" s="27">
        <v>5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5"/>
      <c r="M54" s="59" t="s">
        <v>560</v>
      </c>
      <c r="N54" s="63">
        <v>0</v>
      </c>
      <c r="O54" s="60">
        <v>2</v>
      </c>
      <c r="P54" s="61">
        <v>1</v>
      </c>
      <c r="Q54" s="64">
        <v>1</v>
      </c>
    </row>
    <row r="55" spans="1:18">
      <c r="A55" s="25" t="s">
        <v>1025</v>
      </c>
      <c r="B55" s="28">
        <v>0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5" t="s">
        <v>1026</v>
      </c>
      <c r="M55" s="59" t="s">
        <v>1721</v>
      </c>
      <c r="N55" s="60">
        <v>2</v>
      </c>
      <c r="O55" s="61">
        <v>1</v>
      </c>
      <c r="P55" s="61">
        <v>1</v>
      </c>
      <c r="Q55" s="64">
        <v>1</v>
      </c>
    </row>
    <row r="56" spans="1:18">
      <c r="A56" s="25" t="s">
        <v>1027</v>
      </c>
      <c r="B56" s="27">
        <v>4</v>
      </c>
      <c r="C56" s="28">
        <v>0</v>
      </c>
      <c r="D56" s="28">
        <v>0</v>
      </c>
      <c r="E56" s="28">
        <v>0</v>
      </c>
      <c r="F56" s="28">
        <v>0</v>
      </c>
      <c r="G56" s="27">
        <v>4</v>
      </c>
      <c r="H56" s="27">
        <v>5</v>
      </c>
      <c r="I56" s="27">
        <v>2</v>
      </c>
      <c r="J56" s="29">
        <v>1</v>
      </c>
      <c r="K56" s="25"/>
    </row>
    <row r="57" spans="1:18">
      <c r="A57" s="25" t="s">
        <v>1028</v>
      </c>
      <c r="B57" s="28">
        <v>0</v>
      </c>
      <c r="C57" s="28">
        <v>0</v>
      </c>
      <c r="D57" s="28">
        <v>0</v>
      </c>
      <c r="E57" s="28">
        <v>0</v>
      </c>
      <c r="F57" s="27">
        <v>4</v>
      </c>
      <c r="G57" s="28">
        <v>0</v>
      </c>
      <c r="H57" s="28">
        <v>0</v>
      </c>
      <c r="I57" s="28">
        <v>0</v>
      </c>
      <c r="J57" s="28">
        <v>0</v>
      </c>
      <c r="K57" s="25"/>
    </row>
    <row r="58" spans="1:18" ht="12.75" customHeight="1">
      <c r="A58" s="25" t="s">
        <v>1029</v>
      </c>
      <c r="B58" s="28">
        <v>0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9">
        <v>1</v>
      </c>
      <c r="K58" s="25"/>
      <c r="M58" s="96" t="s">
        <v>2424</v>
      </c>
      <c r="N58" s="96"/>
      <c r="O58" s="96"/>
      <c r="P58" s="96"/>
      <c r="Q58" s="96"/>
    </row>
    <row r="59" spans="1:18">
      <c r="M59" s="99" t="s">
        <v>2475</v>
      </c>
      <c r="N59" s="99"/>
      <c r="O59" s="99"/>
      <c r="P59" s="99"/>
      <c r="Q59" s="99"/>
    </row>
    <row r="60" spans="1:18" ht="60">
      <c r="A60" s="56" t="s">
        <v>52</v>
      </c>
      <c r="B60" s="56" t="s">
        <v>2423</v>
      </c>
      <c r="C60" s="56" t="s">
        <v>2409</v>
      </c>
      <c r="D60" s="56" t="s">
        <v>1379</v>
      </c>
      <c r="E60" s="56" t="s">
        <v>1384</v>
      </c>
      <c r="F60" s="56" t="s">
        <v>2407</v>
      </c>
      <c r="G60" s="56" t="s">
        <v>2408</v>
      </c>
      <c r="H60" s="1"/>
      <c r="I60" s="37" t="s">
        <v>2407</v>
      </c>
      <c r="J60" s="37" t="s">
        <v>188</v>
      </c>
      <c r="K60" s="37" t="s">
        <v>626</v>
      </c>
      <c r="L60" s="37" t="s">
        <v>820</v>
      </c>
      <c r="M60" s="37"/>
      <c r="N60" s="1"/>
      <c r="O60" s="37" t="s">
        <v>52</v>
      </c>
      <c r="P60" s="37" t="s">
        <v>1729</v>
      </c>
      <c r="Q60" s="37" t="s">
        <v>2409</v>
      </c>
      <c r="R60" s="37" t="s">
        <v>1384</v>
      </c>
    </row>
    <row r="61" spans="1:18" ht="42.75">
      <c r="A61" s="57" t="s">
        <v>62</v>
      </c>
      <c r="B61" s="57">
        <v>1</v>
      </c>
      <c r="C61" s="57">
        <v>1</v>
      </c>
      <c r="D61" s="57">
        <v>0</v>
      </c>
      <c r="E61" s="57">
        <v>1</v>
      </c>
      <c r="F61" s="57" t="s">
        <v>2423</v>
      </c>
      <c r="G61" s="57">
        <f>SUM(B61:B69)</f>
        <v>9</v>
      </c>
      <c r="H61" s="1"/>
      <c r="I61" s="1" t="s">
        <v>1729</v>
      </c>
      <c r="J61" s="1">
        <v>9</v>
      </c>
      <c r="K61" s="1">
        <v>9</v>
      </c>
      <c r="L61" s="1">
        <v>9</v>
      </c>
      <c r="M61" s="1"/>
      <c r="N61" s="1"/>
      <c r="O61" s="1" t="s">
        <v>62</v>
      </c>
      <c r="P61" s="1">
        <f>IF(TECNICAS_REAL_VR!O5="SI_CLIENT_EVENT",1,0)</f>
        <v>1</v>
      </c>
      <c r="Q61" s="1">
        <v>1</v>
      </c>
      <c r="R61" s="1">
        <f>--(SUMIF(WAZUH_DETALLE!$D$5:$D$11,"*TEC-001*",WAZUH_DETALLE!$F$5:$F$11)&gt;0)</f>
        <v>0</v>
      </c>
    </row>
    <row r="62" spans="1:18" ht="28.5">
      <c r="A62" s="57" t="s">
        <v>71</v>
      </c>
      <c r="B62" s="57">
        <v>1</v>
      </c>
      <c r="C62" s="57">
        <v>0</v>
      </c>
      <c r="D62" s="57">
        <v>1</v>
      </c>
      <c r="E62" s="57">
        <v>0</v>
      </c>
      <c r="F62" s="57" t="s">
        <v>2409</v>
      </c>
      <c r="G62" s="57">
        <f>SUM(C61:C69)</f>
        <v>3</v>
      </c>
      <c r="H62" s="1"/>
      <c r="I62" s="1" t="s">
        <v>2410</v>
      </c>
      <c r="J62" s="1">
        <v>9</v>
      </c>
      <c r="K62" s="1">
        <v>3</v>
      </c>
      <c r="L62" s="1">
        <v>3</v>
      </c>
      <c r="M62" s="1"/>
      <c r="N62" s="1"/>
      <c r="O62" s="1" t="s">
        <v>71</v>
      </c>
      <c r="P62" s="1">
        <f>IF(TECNICAS_REAL_VR!O6="SI_CLIENT_EVENT",1,0)</f>
        <v>1</v>
      </c>
      <c r="Q62" s="1">
        <v>0</v>
      </c>
      <c r="R62" s="1">
        <f>--(SUMIF(WAZUH_DETALLE!$D$5:$D$11,"*TEC-002*",WAZUH_DETALLE!$F$5:$F$11)&gt;0)</f>
        <v>1</v>
      </c>
    </row>
    <row r="63" spans="1:18" ht="28.5">
      <c r="A63" s="57" t="s">
        <v>78</v>
      </c>
      <c r="B63" s="57">
        <v>1</v>
      </c>
      <c r="C63" s="57">
        <v>1</v>
      </c>
      <c r="D63" s="57">
        <v>0</v>
      </c>
      <c r="E63" s="57">
        <v>0</v>
      </c>
      <c r="F63" s="57" t="s">
        <v>1379</v>
      </c>
      <c r="G63" s="57">
        <f>SUM(D61:D69)</f>
        <v>3</v>
      </c>
      <c r="H63" s="1"/>
      <c r="I63" s="1"/>
      <c r="J63" s="1"/>
      <c r="K63" s="1"/>
      <c r="L63" s="1"/>
      <c r="M63" s="1"/>
      <c r="N63" s="1"/>
      <c r="O63" s="1" t="s">
        <v>78</v>
      </c>
      <c r="P63" s="1">
        <f>IF(TECNICAS_REAL_VR!O7="SI_CLIENT_EVENT",1,0)</f>
        <v>1</v>
      </c>
      <c r="Q63" s="1">
        <v>1</v>
      </c>
      <c r="R63" s="1">
        <f>--(SUMIF(WAZUH_DETALLE!$D$5:$D$11,"*TEC-003*",WAZUH_DETALLE!$F$5:$F$11)&gt;0)</f>
        <v>0</v>
      </c>
    </row>
    <row r="64" spans="1:18" ht="57">
      <c r="A64" s="57" t="s">
        <v>86</v>
      </c>
      <c r="B64" s="57">
        <v>1</v>
      </c>
      <c r="C64" s="57">
        <v>0</v>
      </c>
      <c r="D64" s="57">
        <v>1</v>
      </c>
      <c r="E64" s="57">
        <v>0</v>
      </c>
      <c r="F64" s="57" t="s">
        <v>1384</v>
      </c>
      <c r="G64" s="57">
        <f>SUM(E61:E69)</f>
        <v>4</v>
      </c>
      <c r="H64" s="1"/>
      <c r="I64" s="1"/>
      <c r="J64" s="1"/>
      <c r="K64" s="1"/>
      <c r="L64" s="1"/>
      <c r="M64" s="1"/>
      <c r="N64" s="1"/>
      <c r="O64" s="1" t="s">
        <v>86</v>
      </c>
      <c r="P64" s="1">
        <f>IF(TECNICAS_REAL_VR!O8="SI_CLIENT_EVENT",1,0)</f>
        <v>1</v>
      </c>
      <c r="Q64" s="1">
        <v>0</v>
      </c>
      <c r="R64" s="1">
        <f>--(SUMIF(WAZUH_DETALLE!$D$5:$D$11,"*TEC-004*",WAZUH_DETALLE!$F$5:$F$11)&gt;0)</f>
        <v>1</v>
      </c>
    </row>
    <row r="65" spans="1:18" ht="14.25">
      <c r="A65" s="57" t="s">
        <v>95</v>
      </c>
      <c r="B65" s="57">
        <v>1</v>
      </c>
      <c r="C65" s="57">
        <v>1</v>
      </c>
      <c r="D65" s="57">
        <v>0</v>
      </c>
      <c r="E65" s="57">
        <v>1</v>
      </c>
      <c r="F65" s="1"/>
      <c r="G65" s="1"/>
      <c r="H65" s="1"/>
      <c r="I65" s="1"/>
      <c r="J65" s="1"/>
      <c r="K65" s="1"/>
      <c r="L65" s="1"/>
      <c r="M65" s="1"/>
      <c r="N65" s="1"/>
      <c r="O65" s="1" t="s">
        <v>95</v>
      </c>
      <c r="P65" s="1">
        <f>IF(TECNICAS_REAL_VR!O9="SI_CLIENT_EVENT",1,0)</f>
        <v>1</v>
      </c>
      <c r="Q65" s="1">
        <v>1</v>
      </c>
      <c r="R65" s="1">
        <f>--(SUMIF(WAZUH_DETALLE!$D$5:$D$11,"*TEC-005*",WAZUH_DETALLE!$F$5:$F$11)&gt;0)</f>
        <v>1</v>
      </c>
    </row>
    <row r="66" spans="1:18" ht="14.25">
      <c r="A66" s="57" t="s">
        <v>102</v>
      </c>
      <c r="B66" s="57">
        <v>1</v>
      </c>
      <c r="C66" s="57">
        <v>0</v>
      </c>
      <c r="D66" s="57">
        <v>1</v>
      </c>
      <c r="E66" s="57">
        <v>0</v>
      </c>
      <c r="F66" s="1"/>
      <c r="G66" s="1"/>
      <c r="H66" s="1"/>
      <c r="I66" s="1"/>
      <c r="J66" s="1"/>
      <c r="K66" s="1"/>
      <c r="L66" s="1"/>
      <c r="M66" s="1"/>
      <c r="N66" s="1"/>
      <c r="O66" s="1" t="s">
        <v>102</v>
      </c>
      <c r="P66" s="1">
        <f>IF(TECNICAS_REAL_VR!O10="SI_CLIENT_EVENT",1,0)</f>
        <v>1</v>
      </c>
      <c r="Q66" s="1">
        <v>0</v>
      </c>
      <c r="R66" s="1">
        <f>--(SUMIF(WAZUH_DETALLE!$D$5:$D$11,"*TEC-006*",WAZUH_DETALLE!$F$5:$F$11)&gt;0)</f>
        <v>1</v>
      </c>
    </row>
    <row r="67" spans="1:18" ht="14.25">
      <c r="A67" s="57" t="s">
        <v>108</v>
      </c>
      <c r="B67" s="57">
        <v>1</v>
      </c>
      <c r="C67" s="57">
        <v>0</v>
      </c>
      <c r="D67" s="57">
        <v>0</v>
      </c>
      <c r="E67" s="57">
        <v>1</v>
      </c>
      <c r="F67" s="1"/>
      <c r="G67" s="1"/>
      <c r="H67" s="1"/>
      <c r="I67" s="1"/>
      <c r="J67" s="1"/>
      <c r="K67" s="1"/>
      <c r="L67" s="1"/>
      <c r="M67" s="1"/>
      <c r="N67" s="1"/>
      <c r="O67" s="1" t="s">
        <v>108</v>
      </c>
      <c r="P67" s="1">
        <f>IF(TECNICAS_REAL_VR!O11="SI_CLIENT_EVENT",1,0)</f>
        <v>1</v>
      </c>
      <c r="Q67" s="1">
        <v>0</v>
      </c>
      <c r="R67" s="1">
        <f>--(SUMIF(WAZUH_DETALLE!$D$5:$D$11,"*TEC-007*",WAZUH_DETALLE!$F$5:$F$11)&gt;0)</f>
        <v>0</v>
      </c>
    </row>
    <row r="68" spans="1:18" ht="14.25">
      <c r="A68" s="57" t="s">
        <v>115</v>
      </c>
      <c r="B68" s="57">
        <v>1</v>
      </c>
      <c r="C68" s="57">
        <v>0</v>
      </c>
      <c r="D68" s="57">
        <v>0</v>
      </c>
      <c r="E68" s="57">
        <v>1</v>
      </c>
      <c r="F68" s="1"/>
      <c r="G68" s="1"/>
      <c r="H68" s="1"/>
      <c r="I68" s="1"/>
      <c r="J68" s="1"/>
      <c r="K68" s="1"/>
      <c r="L68" s="1"/>
      <c r="M68" s="1"/>
      <c r="N68" s="1"/>
      <c r="O68" s="1" t="s">
        <v>115</v>
      </c>
      <c r="P68" s="1">
        <f>IF(TECNICAS_REAL_VR!O12="SI_CLIENT_EVENT",1,0)</f>
        <v>1</v>
      </c>
      <c r="Q68" s="1">
        <v>0</v>
      </c>
      <c r="R68" s="1">
        <f>--(SUMIF(WAZUH_DETALLE!$D$5:$D$11,"*TEC-008*",WAZUH_DETALLE!$F$5:$F$11)&gt;0)</f>
        <v>1</v>
      </c>
    </row>
    <row r="69" spans="1:18" ht="14.25">
      <c r="A69" s="57" t="s">
        <v>48</v>
      </c>
      <c r="B69" s="57">
        <v>1</v>
      </c>
      <c r="C69" s="57">
        <v>0</v>
      </c>
      <c r="D69" s="57">
        <v>0</v>
      </c>
      <c r="E69" s="57">
        <v>0</v>
      </c>
      <c r="F69" s="1"/>
      <c r="G69" s="1"/>
      <c r="H69" s="1"/>
      <c r="I69" s="1"/>
      <c r="J69" s="1"/>
      <c r="K69" s="1"/>
      <c r="L69" s="1"/>
      <c r="M69" s="1"/>
      <c r="N69" s="1"/>
      <c r="O69" s="1" t="s">
        <v>48</v>
      </c>
      <c r="P69" s="1">
        <f>IF(TECNICAS_REAL_VR!O13="SI_CLIENT_EVENT",1,0)</f>
        <v>1</v>
      </c>
      <c r="Q69" s="1">
        <v>0</v>
      </c>
      <c r="R69" s="1">
        <f>--(SUMIF(WAZUH_DETALLE!$D$5:$D$11,"*TEC-009*",WAZUH_DETALLE!$F$5:$F$11)&gt;0)</f>
        <v>0</v>
      </c>
    </row>
    <row r="70" spans="1:18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30">
      <c r="A73" s="37" t="s">
        <v>388</v>
      </c>
      <c r="B73" s="37" t="s">
        <v>2411</v>
      </c>
      <c r="C73" s="37" t="s">
        <v>1778</v>
      </c>
      <c r="D73" s="1"/>
      <c r="E73" s="1"/>
      <c r="F73" s="37" t="s">
        <v>388</v>
      </c>
      <c r="G73" s="37" t="s">
        <v>184</v>
      </c>
      <c r="H73" s="1"/>
      <c r="I73" s="37" t="s">
        <v>179</v>
      </c>
      <c r="J73" s="37" t="s">
        <v>2414</v>
      </c>
      <c r="K73" s="1"/>
      <c r="L73" s="1"/>
      <c r="M73" s="1"/>
      <c r="N73" s="1"/>
      <c r="O73" s="1"/>
      <c r="P73" s="1"/>
      <c r="Q73" s="1"/>
      <c r="R73" s="1"/>
    </row>
    <row r="74" spans="1:18" ht="71.25">
      <c r="A74" s="1" t="s">
        <v>2412</v>
      </c>
      <c r="B74" s="40">
        <f>'15_Publicos_Definitivo'!O5</f>
        <v>73</v>
      </c>
      <c r="C74" s="40">
        <f>'15_Publicos_Definitivo'!P5</f>
        <v>4</v>
      </c>
      <c r="D74" s="1"/>
      <c r="E74" s="1"/>
      <c r="F74" s="1" t="s">
        <v>2412</v>
      </c>
      <c r="G74" s="1" t="s">
        <v>1791</v>
      </c>
      <c r="H74" s="1"/>
      <c r="I74" s="1" t="s">
        <v>1791</v>
      </c>
      <c r="J74" s="1">
        <f>COUNTIF('15_Publicos_Definitivo'!$S$5:$S$10,"POSITIVO")</f>
        <v>5</v>
      </c>
      <c r="K74" s="1"/>
      <c r="L74" s="1"/>
      <c r="M74" s="1"/>
      <c r="N74" s="1"/>
      <c r="O74" s="1"/>
      <c r="P74" s="1"/>
      <c r="Q74" s="1"/>
      <c r="R74" s="1"/>
    </row>
    <row r="75" spans="1:18" ht="57">
      <c r="A75" s="1" t="s">
        <v>341</v>
      </c>
      <c r="B75" s="40">
        <f>'15_Publicos_Definitivo'!O6</f>
        <v>0</v>
      </c>
      <c r="C75" s="40">
        <f>'15_Publicos_Definitivo'!P6</f>
        <v>0</v>
      </c>
      <c r="D75" s="1"/>
      <c r="E75" s="1"/>
      <c r="F75" s="1" t="s">
        <v>341</v>
      </c>
      <c r="G75" s="1" t="s">
        <v>1791</v>
      </c>
      <c r="H75" s="1"/>
      <c r="I75" s="1" t="s">
        <v>2415</v>
      </c>
      <c r="J75" s="1">
        <f>COUNTIF('15_Publicos_Definitivo'!$S$5:$S$10,"NEGATIVO VÁLIDO")</f>
        <v>0</v>
      </c>
      <c r="K75" s="1"/>
      <c r="L75" s="1"/>
      <c r="M75" s="1"/>
      <c r="N75" s="1"/>
      <c r="O75" s="1"/>
      <c r="P75" s="1"/>
      <c r="Q75" s="1"/>
      <c r="R75" s="1"/>
    </row>
    <row r="76" spans="1:18" ht="57">
      <c r="A76" s="1" t="s">
        <v>340</v>
      </c>
      <c r="B76" s="40">
        <f>'15_Publicos_Definitivo'!O7</f>
        <v>18</v>
      </c>
      <c r="C76" s="40">
        <f>'15_Publicos_Definitivo'!P7</f>
        <v>0</v>
      </c>
      <c r="D76" s="1"/>
      <c r="E76" s="1"/>
      <c r="F76" s="1" t="s">
        <v>340</v>
      </c>
      <c r="G76" s="1" t="s">
        <v>1791</v>
      </c>
      <c r="H76" s="1"/>
      <c r="I76" s="1" t="s">
        <v>1822</v>
      </c>
      <c r="J76" s="1">
        <f>COUNTIF('15_Publicos_Definitivo'!$S$5:$S$10,"NO CONCLUYENTE")</f>
        <v>1</v>
      </c>
      <c r="K76" s="1"/>
      <c r="L76" s="1"/>
      <c r="M76" s="1"/>
      <c r="N76" s="1"/>
      <c r="O76" s="1"/>
      <c r="P76" s="1"/>
      <c r="Q76" s="1"/>
      <c r="R76" s="1"/>
    </row>
    <row r="77" spans="1:18" ht="57">
      <c r="A77" s="1" t="s">
        <v>342</v>
      </c>
      <c r="B77" s="40">
        <f>'15_Publicos_Definitivo'!O8</f>
        <v>24</v>
      </c>
      <c r="C77" s="40">
        <f>'15_Publicos_Definitivo'!P8</f>
        <v>0</v>
      </c>
      <c r="D77" s="1"/>
      <c r="E77" s="1"/>
      <c r="F77" s="1" t="s">
        <v>342</v>
      </c>
      <c r="G77" s="1" t="s">
        <v>1791</v>
      </c>
      <c r="H77" s="1"/>
      <c r="I77" s="1" t="s">
        <v>2416</v>
      </c>
      <c r="J77" s="1">
        <f>COUNTIF('15_Publicos_Definitivo'!$S$5:$S$10,"NO EJECUTADO")</f>
        <v>0</v>
      </c>
      <c r="K77" s="1"/>
      <c r="L77" s="1"/>
      <c r="M77" s="1"/>
      <c r="N77" s="1"/>
      <c r="O77" s="1"/>
      <c r="P77" s="1"/>
      <c r="Q77" s="1"/>
      <c r="R77" s="1"/>
    </row>
    <row r="78" spans="1:18" ht="42.75">
      <c r="A78" s="1" t="s">
        <v>2413</v>
      </c>
      <c r="B78" s="40">
        <f>'15_Publicos_Definitivo'!O9</f>
        <v>0</v>
      </c>
      <c r="C78" s="40">
        <f>'15_Publicos_Definitivo'!P9</f>
        <v>0</v>
      </c>
      <c r="D78" s="1"/>
      <c r="E78" s="1"/>
      <c r="F78" s="1" t="s">
        <v>2413</v>
      </c>
      <c r="G78" s="1" t="s">
        <v>1822</v>
      </c>
      <c r="H78" s="1"/>
      <c r="I78" s="1" t="s">
        <v>1863</v>
      </c>
      <c r="J78" s="1">
        <f>COUNTIF('15_Publicos_Definitivo'!$S$5:$S$10,"NO APLICABLE")</f>
        <v>0</v>
      </c>
      <c r="K78" s="1"/>
      <c r="L78" s="1"/>
      <c r="M78" s="1"/>
      <c r="N78" s="1"/>
      <c r="O78" s="1"/>
      <c r="P78" s="1"/>
      <c r="Q78" s="1"/>
      <c r="R78" s="1"/>
    </row>
    <row r="79" spans="1:18" ht="71.25">
      <c r="A79" s="1" t="s">
        <v>2011</v>
      </c>
      <c r="B79" s="40">
        <f>'15_Publicos_Definitivo'!O10</f>
        <v>12</v>
      </c>
      <c r="C79" s="40">
        <f>'15_Publicos_Definitivo'!P10</f>
        <v>0</v>
      </c>
      <c r="D79" s="1"/>
      <c r="E79" s="1"/>
      <c r="F79" s="1" t="s">
        <v>2011</v>
      </c>
      <c r="G79" s="1" t="s">
        <v>1791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3">
    <mergeCell ref="A25:E30"/>
    <mergeCell ref="M58:Q58"/>
    <mergeCell ref="M59:Q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8</vt:i4>
      </vt:variant>
    </vt:vector>
  </HeadingPairs>
  <TitlesOfParts>
    <vt:vector size="38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'01_Dashboard'!Área_de_impresión</vt:lpstr>
      <vt:lpstr>'05_Matriz_Resultados'!Área_de_impresión</vt:lpstr>
      <vt:lpstr>'15_Publicos_Definitivo'!Área_de_impresión</vt:lpstr>
      <vt:lpstr>COMPARACION_VR_WAZUH!Área_de_impresión</vt:lpstr>
      <vt:lpstr>WAZUH_DETALLE!Área_de_impresión</vt:lpstr>
      <vt:lpstr>'05_Matriz_Resultados'!Títulos_a_imprimir</vt:lpstr>
      <vt:lpstr>'15_Publicos_Definitivo'!Títulos_a_imprimir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2026-07-13T16:59:26Z</dcterms:modified>
</cp:coreProperties>
</file>